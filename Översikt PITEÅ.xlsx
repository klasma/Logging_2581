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45759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45759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45759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45759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45759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45759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45759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45759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45759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45759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45759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45759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45759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45759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45759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45759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45759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45759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45759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45759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45759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45759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45759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45759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45759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45759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45759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45759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45759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45759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45759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45759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45759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45759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45759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45759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45759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45759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45759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45759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45759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45759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45759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45759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45759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45759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45759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45759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45759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45759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45759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45759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45759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45759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45759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45759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45759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45759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45759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45759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45759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45759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45759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45759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45759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45759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45759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45759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45759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45759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45759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45759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45759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45759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45759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45759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45759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45759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45759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45759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45759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45759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45759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45759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45759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45759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45759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45759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45759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45759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45759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45759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45759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45759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45759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45759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45759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45759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45759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45759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45759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45759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45759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45759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45759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45759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45759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45759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45759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45759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45759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45759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45759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45759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45759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45759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45759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45759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45759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45759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45759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45759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45759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45759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45759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45759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45759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45759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45759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45759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45759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45759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45759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45759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45759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45759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45759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45759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45759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45759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45759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45759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45759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45759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45759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45759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45759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45759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45759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45759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45759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45759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45759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45759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45759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45759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45759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45759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45759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45759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45759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45759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45759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45759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45759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45759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45759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45759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45759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45759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45759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45759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45759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45759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45759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45759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45759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45759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45759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45759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45759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45759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45759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45759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45759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45759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45759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45759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45759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45759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45759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45759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45759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45759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45759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45759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45759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45759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45759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45759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45759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45759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45759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45759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45759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45759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45759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45759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45759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45759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45759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45759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45759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45759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45759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45759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45759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45759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45759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45759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45759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45759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45759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45759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45759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45759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45759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45759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45759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45759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45759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45759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45759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45759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45759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45759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45759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45759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45759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45759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45759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45759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45759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45759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45759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45759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45759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45759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45759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45759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45759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45759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45759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45759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45759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45759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45759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45759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45759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45759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45759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45759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45759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45759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45759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45759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45759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45759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45759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45759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45759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45759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45759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45759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45759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45759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45759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45759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45759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45759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45759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45759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45759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45759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45759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45759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45759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45759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45759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45759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45759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45759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45759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45759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45759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45759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45759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45759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45759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45759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45759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45759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45759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45759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45759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45759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45759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45759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45759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45759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45759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45759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45759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45759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45759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45759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45759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45759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45759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45759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45759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45759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45759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45759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45759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45759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45759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45759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45759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45759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45759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45759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45759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45759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45759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45759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45759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45759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45759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45759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45759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45759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45759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45759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45759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45759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45759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45759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45759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45759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45759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45759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45759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45759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45759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45759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45759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45759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45759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45759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45759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45759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45759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45759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45759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45759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45759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45759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45759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45759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45759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45759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45759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45759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45759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45759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45759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45759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45759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45759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45759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45759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45759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45759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45759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45759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45759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45759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45759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45759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45759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45759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45759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45759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45759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45759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45759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45759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45759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45759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45759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45759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45759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45759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45759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45759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45759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45759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45759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45759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45759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45759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45759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45759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45759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45759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45759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45759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45759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45759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45759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45759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45759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45759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45759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45759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45759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45759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45759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45759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45759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45759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45759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45759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45759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45759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45759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45759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45759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45759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45759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45759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45759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45759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45759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45759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45759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45759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45759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45759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45759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45759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45759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45759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45759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45759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45759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45759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45759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45759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45759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45759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45759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45759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45759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45759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45759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45759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45759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45759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45759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45759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45759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45759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45759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45759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45759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45759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45759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45759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45759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45759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45759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45759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45759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45759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45759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45759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45759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45759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45759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45759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45759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45759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45759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45759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45759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45759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45759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45759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45759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45759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45759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45759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45759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45759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45759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45759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45759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45759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45759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45759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45759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45759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45759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45759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45759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45759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45759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45759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45759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45759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45759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45759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45759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45759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45759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45759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45759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45759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45759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45759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45759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45759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45759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45759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45759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45759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45759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45759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45759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45759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45759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45759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45759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45759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45759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45759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45759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45759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45759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45759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45759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45759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45759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45759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45759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45759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45759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45759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45759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45759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45759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45759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45759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45759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45759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45759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45759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45759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45759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45759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45759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45759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45759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45759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45759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45759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45759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45759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45759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45759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45759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45759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45759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45759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45759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45759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45759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45759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45759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45759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45759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45759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45759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45759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45759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45759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45759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45759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45759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45759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45759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45759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45759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45759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45759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45759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45759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45759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45759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45759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45759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45759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45759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45759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45759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45759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45759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45759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45759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45759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45759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45759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45759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45759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45759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45759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45759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45759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45759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45759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45759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45759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45759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45759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45759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45759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45759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45759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45759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45759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45759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45759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45759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45759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45759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45759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45759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45759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45759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45759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45759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45759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45759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45759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45759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45759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45759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45759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45759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45759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45759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45759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45759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45759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45759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45759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45759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45759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45759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45759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45759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45759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45759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45759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45759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45759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45759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45759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45759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45759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45759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45759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45759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45759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45759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45759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45759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45759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45759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45759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45759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45759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45759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45759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45759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45759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45759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45759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45759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45759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45759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45759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45759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45759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45759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45759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45759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45759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45759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45759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45759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45759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45759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45759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45759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45759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45759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45759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45759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45759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45759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45759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45759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45759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45759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45759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45759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45759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45759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45759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45759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45759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45759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45759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45759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45759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45759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45759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45759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45759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45759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45759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45759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45759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45759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45759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45759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45759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45759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45759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45759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45759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45759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45759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45759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45759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45759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45759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45759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45759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45759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45759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45759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45759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45759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45759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45759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45759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45759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45759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45759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45759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45759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45759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45759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45759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45759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45759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45759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45759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45759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45759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45759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45759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45759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45759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45759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45759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45759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45759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45759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45759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45759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45759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45759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45759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45759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45759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45759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45759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45759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45759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45759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45759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45759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45759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45759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45759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45759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45759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45759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45759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45759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45759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45759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45759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45759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45759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45759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45759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45759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45759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45759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45759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45759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45759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45759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45759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45759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45759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45759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45759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45759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45759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45759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45759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45759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45759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45759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45759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45759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45759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45759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45759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45759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45759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45759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45759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45759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45759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45759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45759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45759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45759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45759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45759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45759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45759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45759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45759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45759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45759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45759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45759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45759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45759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45759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45759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45759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45759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45759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45759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45759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45759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45759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45759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45759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45759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45759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45759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45759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45759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45759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45759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45759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45759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45759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45759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45759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45759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45759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45759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45759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45759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45759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45759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45759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45759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45759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45759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45759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45759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45759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45759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45759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45759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45759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45759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45759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45759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45759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45759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45759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45759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45759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45759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45759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45759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45759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45759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45759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45759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45759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45759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45759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45759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45759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45759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45759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45759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45759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45759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45759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45759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45759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45759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45759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45759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45759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45759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45759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45759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45759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45759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45759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45759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45759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45759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45759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45759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45759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45759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45759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45759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45759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45759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45759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45759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45759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45759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45759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45759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45759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45759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45759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45759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45759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45759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45759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45759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45759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45759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45759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45759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45759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45759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45759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45759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45759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45759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45759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45759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45759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45759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45759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45759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45759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45759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45759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45759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45759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45759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45759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45759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45759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45759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45759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45759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45759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45759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45759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45759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45759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45759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45759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45759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45759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45759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45759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45759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45759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45759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45759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45759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45759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45759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45759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45759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45759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45759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45759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45759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45759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45759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45759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45759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45759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45759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45759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45759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45759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45759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45759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45759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45759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45759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45759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45759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45759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45759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45759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45759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45759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45759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45759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45759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45759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45759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45759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45759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45759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45759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45759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45759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45759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45759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45759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45759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45759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45759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45759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45759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45759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45759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45759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45759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45759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45759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45759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45759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45759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45759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45759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45759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45759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45759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45759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45759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45759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45759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45759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45759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45759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45759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45759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45759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45759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45759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45759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45759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45759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45759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45759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45759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45759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45759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45759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45759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45759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45759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45759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45759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45759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45759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45759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45759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45759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45759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45759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45759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45759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45759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45759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45759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45759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45759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45759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45759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45759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45759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45759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45759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45759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45759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45759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45759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45759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45759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45759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45759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45759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45759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45759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45759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45759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45759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45759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45759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45759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45759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45759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45759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45759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45759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45759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45759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45759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45759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45759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45759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45759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45759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45759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45759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45759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45759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45759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45759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45759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45759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45759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45759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45759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45759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45759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45759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45759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45759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45759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45759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45759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45759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45759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45759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45759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45759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45759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45759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45759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45759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45759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45759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45759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45759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45759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45759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45759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45759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45759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45759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45759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45759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45759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45759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45759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45759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45759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45759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45759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45759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45759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45759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45759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45759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45759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45759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45759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45759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45759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45759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45759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45759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45759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45759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45759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45759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45759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45759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45759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45759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45759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45759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45759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45759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45759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45759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45759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45759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45759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45759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45759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45759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45759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45759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45759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45759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45759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45759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45759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45759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45759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45759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45759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45759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45759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45759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45759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45759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45759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45759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45759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45759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45759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45759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45759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45759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45759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45759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45759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45759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45759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45759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45759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45759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45759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45759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45759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45759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45759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45759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45759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45759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45759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45759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45759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11511-2025</t>
        </is>
      </c>
      <c r="B1438" s="1" t="n">
        <v>45726</v>
      </c>
      <c r="C1438" s="1" t="n">
        <v>45759</v>
      </c>
      <c r="D1438" t="inlineStr">
        <is>
          <t>NORRBOTTENS LÄN</t>
        </is>
      </c>
      <c r="E1438" t="inlineStr">
        <is>
          <t>PITEÅ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45759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45759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45759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45759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45759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45759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45759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45759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45759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45759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45759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14558-2025</t>
        </is>
      </c>
      <c r="B1450" s="1" t="n">
        <v>45741</v>
      </c>
      <c r="C1450" s="1" t="n">
        <v>45759</v>
      </c>
      <c r="D1450" t="inlineStr">
        <is>
          <t>NORRBOTTENS LÄN</t>
        </is>
      </c>
      <c r="E1450" t="inlineStr">
        <is>
          <t>PITEÅ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14556-2025</t>
        </is>
      </c>
      <c r="B1451" s="1" t="n">
        <v>45741</v>
      </c>
      <c r="C1451" s="1" t="n">
        <v>45759</v>
      </c>
      <c r="D1451" t="inlineStr">
        <is>
          <t>NORRBOTTENS LÄN</t>
        </is>
      </c>
      <c r="E1451" t="inlineStr">
        <is>
          <t>PITEÅ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14559-2025</t>
        </is>
      </c>
      <c r="B1452" s="1" t="n">
        <v>45741</v>
      </c>
      <c r="C1452" s="1" t="n">
        <v>45759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45759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45759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45759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45759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15529-2025</t>
        </is>
      </c>
      <c r="B1457" s="1" t="n">
        <v>45747</v>
      </c>
      <c r="C1457" s="1" t="n">
        <v>45759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15532-2025</t>
        </is>
      </c>
      <c r="B1458" s="1" t="n">
        <v>45747</v>
      </c>
      <c r="C1458" s="1" t="n">
        <v>45759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15530-2025</t>
        </is>
      </c>
      <c r="B1459" s="1" t="n">
        <v>45747</v>
      </c>
      <c r="C1459" s="1" t="n">
        <v>45759</v>
      </c>
      <c r="D1459" t="inlineStr">
        <is>
          <t>NORRBOTTENS LÄN</t>
        </is>
      </c>
      <c r="E1459" t="inlineStr">
        <is>
          <t>PITEÅ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HYPERLINK("https://klasma.github.io/Logging_252581/knärot/A 15530-2025 karta knärot.png", "A 15530-2025")</f>
        <v/>
      </c>
      <c r="V1459">
        <f>HYPERLINK("https://klasma.github.io/Logging_252581/klagomål/A 15530-2025 FSC-klagomål.docx", "A 15530-2025")</f>
        <v/>
      </c>
      <c r="W1459">
        <f>HYPERLINK("https://klasma.github.io/Logging_252581/klagomålsmail/A 15530-2025 FSC-klagomål mail.docx", "A 15530-2025")</f>
        <v/>
      </c>
      <c r="X1459">
        <f>HYPERLINK("https://klasma.github.io/Logging_252581/tillsyn/A 15530-2025 tillsynsbegäran.docx", "A 15530-2025")</f>
        <v/>
      </c>
      <c r="Y1459">
        <f>HYPERLINK("https://klasma.github.io/Logging_252581/tillsynsmail/A 15530-2025 tillsynsbegäran mail.docx", "A 15530-2025")</f>
        <v/>
      </c>
    </row>
    <row r="1460" ht="15" customHeight="1">
      <c r="A1460" t="inlineStr">
        <is>
          <t>A 15815-2025</t>
        </is>
      </c>
      <c r="B1460" s="1" t="n">
        <v>45748</v>
      </c>
      <c r="C1460" s="1" t="n">
        <v>45759</v>
      </c>
      <c r="D1460" t="inlineStr">
        <is>
          <t>NORRBOTTENS LÄN</t>
        </is>
      </c>
      <c r="E1460" t="inlineStr">
        <is>
          <t>PITEÅ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45759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45759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45759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45759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45759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16324-2025</t>
        </is>
      </c>
      <c r="B1466" s="1" t="n">
        <v>45751</v>
      </c>
      <c r="C1466" s="1" t="n">
        <v>45759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16702-2025</t>
        </is>
      </c>
      <c r="B1467" s="1" t="n">
        <v>45754</v>
      </c>
      <c r="C1467" s="1" t="n">
        <v>45759</v>
      </c>
      <c r="D1467" t="inlineStr">
        <is>
          <t>NORRBOTTENS LÄN</t>
        </is>
      </c>
      <c r="E1467" t="inlineStr">
        <is>
          <t>PITEÅ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16906-2025</t>
        </is>
      </c>
      <c r="B1468" s="1" t="n">
        <v>45755</v>
      </c>
      <c r="C1468" s="1" t="n">
        <v>45759</v>
      </c>
      <c r="D1468" t="inlineStr">
        <is>
          <t>NORRBOTTENS LÄN</t>
        </is>
      </c>
      <c r="E1468" t="inlineStr">
        <is>
          <t>PITEÅ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17918-2025</t>
        </is>
      </c>
      <c r="B1469" s="1" t="n">
        <v>45758</v>
      </c>
      <c r="C1469" s="1" t="n">
        <v>45759</v>
      </c>
      <c r="D1469" t="inlineStr">
        <is>
          <t>NORRBOTTENS LÄN</t>
        </is>
      </c>
      <c r="E1469" t="inlineStr">
        <is>
          <t>PITEÅ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2025-04-12T16:24:16Z</dcterms:created>
  <dcterms:modified xmlns:dcterms="http://purl.org/dc/terms/" xmlns:xsi="http://www.w3.org/2001/XMLSchema-instance" xsi:type="dcterms:W3CDTF">2025-04-12T16:24:17Z</dcterms:modified>
</cp:coreProperties>
</file>