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46221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46221</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Y3">
        <f>HYPERLINK("https://klasma.github.io/Logging_2581/klagomål/A 59832-2023 FSC-klagomål.docx", "A 59832-2023")</f>
        <v/>
      </c>
      <c r="Z3">
        <f>HYPERLINK("https://klasma.github.io/Logging_2581/klagomålsmail/A 59832-2023 FSC-klagomål mail.docx", "A 59832-2023")</f>
        <v/>
      </c>
      <c r="AA3">
        <f>HYPERLINK("https://klasma.github.io/Logging_2581/tillsyn/A 59832-2023 tillsynsbegäran.docx", "A 59832-2023")</f>
        <v/>
      </c>
      <c r="AB3">
        <f>HYPERLINK("https://klasma.github.io/Logging_2581/tillsynsmail/A 59832-2023 tillsynsbegäran mail.docx", "A 59832-2023")</f>
        <v/>
      </c>
      <c r="AC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46221</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Y4">
        <f>HYPERLINK("https://klasma.github.io/Logging_2581/klagomål/A 6125-2026 FSC-klagomål.docx", "A 6125-2026")</f>
        <v/>
      </c>
      <c r="Z4">
        <f>HYPERLINK("https://klasma.github.io/Logging_2581/klagomålsmail/A 6125-2026 FSC-klagomål mail.docx", "A 6125-2026")</f>
        <v/>
      </c>
      <c r="AA4">
        <f>HYPERLINK("https://klasma.github.io/Logging_2581/tillsyn/A 6125-2026 tillsynsbegäran.docx", "A 6125-2026")</f>
        <v/>
      </c>
      <c r="AB4">
        <f>HYPERLINK("https://klasma.github.io/Logging_2581/tillsynsmail/A 6125-2026 tillsynsbegäran mail.docx", "A 6125-2026")</f>
        <v/>
      </c>
      <c r="AC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46221</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46221</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46221</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46221</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46221</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46221</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46221</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46221</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Y12">
        <f>HYPERLINK("https://klasma.github.io/Logging_2581/klagomål/A 53728-2025 FSC-klagomål.docx", "A 53728-2025")</f>
        <v/>
      </c>
      <c r="Z12">
        <f>HYPERLINK("https://klasma.github.io/Logging_2581/klagomålsmail/A 53728-2025 FSC-klagomål mail.docx", "A 53728-2025")</f>
        <v/>
      </c>
      <c r="AA12">
        <f>HYPERLINK("https://klasma.github.io/Logging_2581/tillsyn/A 53728-2025 tillsynsbegäran.docx", "A 53728-2025")</f>
        <v/>
      </c>
      <c r="AB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46221</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HYPERLINK("https://klasma.github.io/Logging_2581/knärot/A 60837-2023 karta knärot.png", "A 60837-2023")</f>
        <v/>
      </c>
      <c r="Y13">
        <f>HYPERLINK("https://klasma.github.io/Logging_2581/klagomål/A 60837-2023 FSC-klagomål.docx", "A 60837-2023")</f>
        <v/>
      </c>
      <c r="Z13">
        <f>HYPERLINK("https://klasma.github.io/Logging_2581/klagomålsmail/A 60837-2023 FSC-klagomål mail.docx", "A 60837-2023")</f>
        <v/>
      </c>
      <c r="AA13">
        <f>HYPERLINK("https://klasma.github.io/Logging_2581/tillsyn/A 60837-2023 tillsynsbegäran.docx", "A 60837-2023")</f>
        <v/>
      </c>
      <c r="AB13">
        <f>HYPERLINK("https://klasma.github.io/Logging_2581/tillsynsmail/A 60837-2023 tillsynsbegäran mail.docx", "A 60837-2023")</f>
        <v/>
      </c>
      <c r="AC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46221</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Y14">
        <f>HYPERLINK("https://klasma.github.io/Logging_2581/klagomål/A 71719-2021 FSC-klagomål.docx", "A 71719-2021")</f>
        <v/>
      </c>
      <c r="Z14">
        <f>HYPERLINK("https://klasma.github.io/Logging_2581/klagomålsmail/A 71719-2021 FSC-klagomål mail.docx", "A 71719-2021")</f>
        <v/>
      </c>
      <c r="AA14">
        <f>HYPERLINK("https://klasma.github.io/Logging_2581/tillsyn/A 71719-2021 tillsynsbegäran.docx", "A 71719-2021")</f>
        <v/>
      </c>
      <c r="AB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46221</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Y15">
        <f>HYPERLINK("https://klasma.github.io/Logging_2581/klagomål/A 25028-2025 FSC-klagomål.docx", "A 25028-2025")</f>
        <v/>
      </c>
      <c r="Z15">
        <f>HYPERLINK("https://klasma.github.io/Logging_2581/klagomålsmail/A 25028-2025 FSC-klagomål mail.docx", "A 25028-2025")</f>
        <v/>
      </c>
      <c r="AA15">
        <f>HYPERLINK("https://klasma.github.io/Logging_2581/tillsyn/A 25028-2025 tillsynsbegäran.docx", "A 25028-2025")</f>
        <v/>
      </c>
      <c r="AB15">
        <f>HYPERLINK("https://klasma.github.io/Logging_2581/tillsynsmail/A 25028-2025 tillsynsbegäran mail.docx", "A 25028-2025")</f>
        <v/>
      </c>
      <c r="AC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46221</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46221</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s="2" t="inlineStr">
        <is>
          <t>Knärot
Talltita
Tretåig hackspett
Älg
Kungsfågel</t>
        </is>
      </c>
      <c r="V17">
        <f>HYPERLINK("https://klasma.github.io/Logging_2581/artfynd/A 5331-2026 artfynd.xlsx", "A 5331-2026")</f>
        <v/>
      </c>
      <c r="W17">
        <f>HYPERLINK("https://klasma.github.io/Logging_2581/kartor/A 5331-2026 karta.png", "A 5331-2026")</f>
        <v/>
      </c>
      <c r="X17">
        <f>HYPERLINK("https://klasma.github.io/Logging_2581/knärot/A 5331-2026 karta knärot.png", "A 5331-2026")</f>
        <v/>
      </c>
      <c r="Y17">
        <f>HYPERLINK("https://klasma.github.io/Logging_2581/klagomål/A 5331-2026 FSC-klagomål.docx", "A 5331-2026")</f>
        <v/>
      </c>
      <c r="Z17">
        <f>HYPERLINK("https://klasma.github.io/Logging_2581/klagomålsmail/A 5331-2026 FSC-klagomål mail.docx", "A 5331-2026")</f>
        <v/>
      </c>
      <c r="AA17">
        <f>HYPERLINK("https://klasma.github.io/Logging_2581/tillsyn/A 5331-2026 tillsynsbegäran.docx", "A 5331-2026")</f>
        <v/>
      </c>
      <c r="AB17">
        <f>HYPERLINK("https://klasma.github.io/Logging_2581/tillsynsmail/A 5331-2026 tillsynsbegäran mail.docx", "A 5331-2026")</f>
        <v/>
      </c>
      <c r="AC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46221</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s="2" t="inlineStr">
        <is>
          <t>Garnlav
Rödvingetrast
Tretåig hackspett
Tjäder
Svartvit flugsnappare</t>
        </is>
      </c>
      <c r="V18">
        <f>HYPERLINK("https://klasma.github.io/Logging_2581/artfynd/A 8205-2026 artfynd.xlsx", "A 8205-2026")</f>
        <v/>
      </c>
      <c r="W18">
        <f>HYPERLINK("https://klasma.github.io/Logging_2581/kartor/A 8205-2026 karta.png", "A 8205-2026")</f>
        <v/>
      </c>
      <c r="Y18">
        <f>HYPERLINK("https://klasma.github.io/Logging_2581/klagomål/A 8205-2026 FSC-klagomål.docx", "A 8205-2026")</f>
        <v/>
      </c>
      <c r="Z18">
        <f>HYPERLINK("https://klasma.github.io/Logging_2581/klagomålsmail/A 8205-2026 FSC-klagomål mail.docx", "A 8205-2026")</f>
        <v/>
      </c>
      <c r="AA18">
        <f>HYPERLINK("https://klasma.github.io/Logging_2581/tillsyn/A 8205-2026 tillsynsbegäran.docx", "A 8205-2026")</f>
        <v/>
      </c>
      <c r="AB18">
        <f>HYPERLINK("https://klasma.github.io/Logging_2581/tillsynsmail/A 8205-2026 tillsynsbegäran mail.docx", "A 8205-2026")</f>
        <v/>
      </c>
      <c r="AC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46221</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s="2" t="inlineStr">
        <is>
          <t>Nordtagging
Nästlav
Plattlummer
Vedticka
Fläcknycklar</t>
        </is>
      </c>
      <c r="V19">
        <f>HYPERLINK("https://klasma.github.io/Logging_2581/artfynd/A 54262-2025 artfynd.xlsx", "A 54262-2025")</f>
        <v/>
      </c>
      <c r="W19">
        <f>HYPERLINK("https://klasma.github.io/Logging_2581/kartor/A 54262-2025 karta.png", "A 54262-2025")</f>
        <v/>
      </c>
      <c r="Y19">
        <f>HYPERLINK("https://klasma.github.io/Logging_2581/klagomål/A 54262-2025 FSC-klagomål.docx", "A 54262-2025")</f>
        <v/>
      </c>
      <c r="Z19">
        <f>HYPERLINK("https://klasma.github.io/Logging_2581/klagomålsmail/A 54262-2025 FSC-klagomål mail.docx", "A 54262-2025")</f>
        <v/>
      </c>
      <c r="AA19">
        <f>HYPERLINK("https://klasma.github.io/Logging_2581/tillsyn/A 54262-2025 tillsynsbegäran.docx", "A 54262-2025")</f>
        <v/>
      </c>
      <c r="AB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46221</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Y20">
        <f>HYPERLINK("https://klasma.github.io/Logging_2581/klagomål/A 26725-2026 FSC-klagomål.docx", "A 26725-2026")</f>
        <v/>
      </c>
      <c r="Z20">
        <f>HYPERLINK("https://klasma.github.io/Logging_2581/klagomålsmail/A 26725-2026 FSC-klagomål mail.docx", "A 26725-2026")</f>
        <v/>
      </c>
      <c r="AA20">
        <f>HYPERLINK("https://klasma.github.io/Logging_2581/tillsyn/A 26725-2026 tillsynsbegäran.docx", "A 26725-2026")</f>
        <v/>
      </c>
      <c r="AB20">
        <f>HYPERLINK("https://klasma.github.io/Logging_2581/tillsynsmail/A 26725-2026 tillsynsbegäran mail.docx", "A 26725-2026")</f>
        <v/>
      </c>
      <c r="AC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46221</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46221</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46221</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Y23">
        <f>HYPERLINK("https://klasma.github.io/Logging_2581/klagomål/A 55182-2025 FSC-klagomål.docx", "A 55182-2025")</f>
        <v/>
      </c>
      <c r="Z23">
        <f>HYPERLINK("https://klasma.github.io/Logging_2581/klagomålsmail/A 55182-2025 FSC-klagomål mail.docx", "A 55182-2025")</f>
        <v/>
      </c>
      <c r="AA23">
        <f>HYPERLINK("https://klasma.github.io/Logging_2581/tillsyn/A 55182-2025 tillsynsbegäran.docx", "A 55182-2025")</f>
        <v/>
      </c>
      <c r="AB23">
        <f>HYPERLINK("https://klasma.github.io/Logging_2581/tillsynsmail/A 55182-2025 tillsynsbegäran mail.docx", "A 55182-2025")</f>
        <v/>
      </c>
      <c r="AC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46221</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s="2" t="inlineStr">
        <is>
          <t>Mindre hackspett
Gråspett
Huggorm
Skogsödla</t>
        </is>
      </c>
      <c r="V24">
        <f>HYPERLINK("https://klasma.github.io/Logging_2581/artfynd/A 49685-2025 artfynd.xlsx", "A 49685-2025")</f>
        <v/>
      </c>
      <c r="W24">
        <f>HYPERLINK("https://klasma.github.io/Logging_2581/kartor/A 49685-2025 karta.png", "A 49685-2025")</f>
        <v/>
      </c>
      <c r="Y24">
        <f>HYPERLINK("https://klasma.github.io/Logging_2581/klagomål/A 49685-2025 FSC-klagomål.docx", "A 49685-2025")</f>
        <v/>
      </c>
      <c r="Z24">
        <f>HYPERLINK("https://klasma.github.io/Logging_2581/klagomålsmail/A 49685-2025 FSC-klagomål mail.docx", "A 49685-2025")</f>
        <v/>
      </c>
      <c r="AA24">
        <f>HYPERLINK("https://klasma.github.io/Logging_2581/tillsyn/A 49685-2025 tillsynsbegäran.docx", "A 49685-2025")</f>
        <v/>
      </c>
      <c r="AB24">
        <f>HYPERLINK("https://klasma.github.io/Logging_2581/tillsynsmail/A 49685-2025 tillsynsbegäran mail.docx", "A 49685-2025")</f>
        <v/>
      </c>
      <c r="AC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46221</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s="2" t="inlineStr">
        <is>
          <t>Harticka
Kolflarnlav
Tallticka
Violmussling</t>
        </is>
      </c>
      <c r="V25">
        <f>HYPERLINK("https://klasma.github.io/Logging_2581/artfynd/A 32155-2023 artfynd.xlsx", "A 32155-2023")</f>
        <v/>
      </c>
      <c r="W25">
        <f>HYPERLINK("https://klasma.github.io/Logging_2581/kartor/A 32155-2023 karta.png", "A 32155-2023")</f>
        <v/>
      </c>
      <c r="Y25">
        <f>HYPERLINK("https://klasma.github.io/Logging_2581/klagomål/A 32155-2023 FSC-klagomål.docx", "A 32155-2023")</f>
        <v/>
      </c>
      <c r="Z25">
        <f>HYPERLINK("https://klasma.github.io/Logging_2581/klagomålsmail/A 32155-2023 FSC-klagomål mail.docx", "A 32155-2023")</f>
        <v/>
      </c>
      <c r="AA25">
        <f>HYPERLINK("https://klasma.github.io/Logging_2581/tillsyn/A 32155-2023 tillsynsbegäran.docx", "A 32155-2023")</f>
        <v/>
      </c>
      <c r="AB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46221</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46221</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46221</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46221</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46221</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s="2" t="inlineStr">
        <is>
          <t>Gammelgransskål
Tibast
Spillkråka</t>
        </is>
      </c>
      <c r="V30">
        <f>HYPERLINK("https://klasma.github.io/Logging_2581/artfynd/A 22474-2024 artfynd.xlsx", "A 22474-2024")</f>
        <v/>
      </c>
      <c r="W30">
        <f>HYPERLINK("https://klasma.github.io/Logging_2581/kartor/A 22474-2024 karta.png", "A 22474-2024")</f>
        <v/>
      </c>
      <c r="Y30">
        <f>HYPERLINK("https://klasma.github.io/Logging_2581/klagomål/A 22474-2024 FSC-klagomål.docx", "A 22474-2024")</f>
        <v/>
      </c>
      <c r="Z30">
        <f>HYPERLINK("https://klasma.github.io/Logging_2581/klagomålsmail/A 22474-2024 FSC-klagomål mail.docx", "A 22474-2024")</f>
        <v/>
      </c>
      <c r="AA30">
        <f>HYPERLINK("https://klasma.github.io/Logging_2581/tillsyn/A 22474-2024 tillsynsbegäran.docx", "A 22474-2024")</f>
        <v/>
      </c>
      <c r="AB30">
        <f>HYPERLINK("https://klasma.github.io/Logging_2581/tillsynsmail/A 22474-2024 tillsynsbegäran mail.docx", "A 22474-2024")</f>
        <v/>
      </c>
      <c r="AC30">
        <f>HYPERLINK("https://klasma.github.io/Logging_2581/fåglar/A 22474-2024 prioriterade fågelarter.docx", "A 22474-2024")</f>
        <v/>
      </c>
    </row>
    <row r="31" ht="15" customHeight="1">
      <c r="A31" t="inlineStr">
        <is>
          <t>A 43149-2025</t>
        </is>
      </c>
      <c r="B31" t="inlineStr">
        <is>
          <t>avverkningsanmälan</t>
        </is>
      </c>
      <c r="C31" t="inlineStr">
        <is>
          <t>Föryngringsavverkning</t>
        </is>
      </c>
      <c r="D31" s="1" t="n">
        <v>45910</v>
      </c>
      <c r="E31" s="1" t="n">
        <v>46221</v>
      </c>
      <c r="F31" t="inlineStr">
        <is>
          <t>NORRBOTTENS LÄN</t>
        </is>
      </c>
      <c r="G31" t="inlineStr">
        <is>
          <t>PITEÅ</t>
        </is>
      </c>
      <c r="H31" t="inlineStr">
        <is>
          <t>Sveaskog</t>
        </is>
      </c>
      <c r="I31" t="n">
        <v>10.8</v>
      </c>
      <c r="J31" t="n">
        <v>2</v>
      </c>
      <c r="K31" t="n">
        <v>0</v>
      </c>
      <c r="L31" t="n">
        <v>2</v>
      </c>
      <c r="M31" t="n">
        <v>0</v>
      </c>
      <c r="N31" t="n">
        <v>0</v>
      </c>
      <c r="O31" t="n">
        <v>0</v>
      </c>
      <c r="P31" t="n">
        <v>0</v>
      </c>
      <c r="Q31" t="n">
        <v>2</v>
      </c>
      <c r="R31" t="n">
        <v>0</v>
      </c>
      <c r="S31" t="n">
        <v>3</v>
      </c>
      <c r="T31" t="n">
        <v>4</v>
      </c>
      <c r="U31" s="2" t="inlineStr">
        <is>
          <t>Gammelgransskål
Tretåig hackspett
Tjäder</t>
        </is>
      </c>
      <c r="V31">
        <f>HYPERLINK("https://klasma.github.io/Logging_2581/artfynd/A 43149-2025 artfynd.xlsx", "A 43149-2025")</f>
        <v/>
      </c>
      <c r="W31">
        <f>HYPERLINK("https://klasma.github.io/Logging_2581/kartor/A 43149-2025 karta.png", "A 43149-2025")</f>
        <v/>
      </c>
      <c r="Y31">
        <f>HYPERLINK("https://klasma.github.io/Logging_2581/klagomål/A 43149-2025 FSC-klagomål.docx", "A 43149-2025")</f>
        <v/>
      </c>
      <c r="Z31">
        <f>HYPERLINK("https://klasma.github.io/Logging_2581/klagomålsmail/A 43149-2025 FSC-klagomål mail.docx", "A 43149-2025")</f>
        <v/>
      </c>
      <c r="AA31">
        <f>HYPERLINK("https://klasma.github.io/Logging_2581/tillsyn/A 43149-2025 tillsynsbegäran.docx", "A 43149-2025")</f>
        <v/>
      </c>
      <c r="AB31">
        <f>HYPERLINK("https://klasma.github.io/Logging_2581/tillsynsmail/A 43149-2025 tillsynsbegäran mail.docx", "A 43149-2025")</f>
        <v/>
      </c>
      <c r="AC31">
        <f>HYPERLINK("https://klasma.github.io/Logging_2581/fåglar/A 43149-2025 prioriterade fågelarter.docx", "A 43149-2025")</f>
        <v/>
      </c>
    </row>
    <row r="32" ht="15" customHeight="1">
      <c r="A32" t="inlineStr">
        <is>
          <t>A 6906-2026</t>
        </is>
      </c>
      <c r="B32" t="inlineStr">
        <is>
          <t>avverkningsanmälan</t>
        </is>
      </c>
      <c r="C32" t="inlineStr">
        <is>
          <t>Föryngringsavverkning</t>
        </is>
      </c>
      <c r="D32" s="1" t="n">
        <v>46057</v>
      </c>
      <c r="E32" s="1" t="n">
        <v>46221</v>
      </c>
      <c r="F32" t="inlineStr">
        <is>
          <t>NORRBOTTENS LÄN</t>
        </is>
      </c>
      <c r="G32" t="inlineStr">
        <is>
          <t>PITEÅ</t>
        </is>
      </c>
      <c r="I32" t="n">
        <v>11.2</v>
      </c>
      <c r="J32" t="n">
        <v>2</v>
      </c>
      <c r="K32" t="n">
        <v>0</v>
      </c>
      <c r="L32" t="n">
        <v>2</v>
      </c>
      <c r="M32" t="n">
        <v>0</v>
      </c>
      <c r="N32" t="n">
        <v>0</v>
      </c>
      <c r="O32" t="n">
        <v>0</v>
      </c>
      <c r="P32" t="n">
        <v>0</v>
      </c>
      <c r="Q32" t="n">
        <v>2</v>
      </c>
      <c r="R32" t="n">
        <v>0</v>
      </c>
      <c r="S32" t="n">
        <v>3</v>
      </c>
      <c r="T32" t="n">
        <v>4</v>
      </c>
      <c r="U32" s="2" t="inlineStr">
        <is>
          <t>Dropptaggsvamp
Tretåig hackspett
Spillkråka</t>
        </is>
      </c>
      <c r="V32">
        <f>HYPERLINK("https://klasma.github.io/Logging_2581/artfynd/A 6906-2026 artfynd.xlsx", "A 6906-2026")</f>
        <v/>
      </c>
      <c r="W32">
        <f>HYPERLINK("https://klasma.github.io/Logging_2581/kartor/A 6906-2026 karta.png", "A 6906-2026")</f>
        <v/>
      </c>
      <c r="Y32">
        <f>HYPERLINK("https://klasma.github.io/Logging_2581/klagomål/A 6906-2026 FSC-klagomål.docx", "A 6906-2026")</f>
        <v/>
      </c>
      <c r="Z32">
        <f>HYPERLINK("https://klasma.github.io/Logging_2581/klagomålsmail/A 6906-2026 FSC-klagomål mail.docx", "A 6906-2026")</f>
        <v/>
      </c>
      <c r="AA32">
        <f>HYPERLINK("https://klasma.github.io/Logging_2581/tillsyn/A 6906-2026 tillsynsbegäran.docx", "A 6906-2026")</f>
        <v/>
      </c>
      <c r="AB32">
        <f>HYPERLINK("https://klasma.github.io/Logging_2581/tillsynsmail/A 6906-2026 tillsynsbegäran mail.docx", "A 6906-2026")</f>
        <v/>
      </c>
      <c r="AC32">
        <f>HYPERLINK("https://klasma.github.io/Logging_2581/fåglar/A 6906-2026 prioriterade fågelarter.docx", "A 6906-2026")</f>
        <v/>
      </c>
    </row>
    <row r="33" ht="15" customHeight="1">
      <c r="A33" t="inlineStr">
        <is>
          <t>A 8221-2026</t>
        </is>
      </c>
      <c r="B33" t="inlineStr">
        <is>
          <t>avverkningsanmälan</t>
        </is>
      </c>
      <c r="C33" t="inlineStr">
        <is>
          <t>Föryngringsavverkning</t>
        </is>
      </c>
      <c r="D33" s="1" t="n">
        <v>46064</v>
      </c>
      <c r="E33" s="1" t="n">
        <v>46221</v>
      </c>
      <c r="F33" t="inlineStr">
        <is>
          <t>NORRBOTTENS LÄN</t>
        </is>
      </c>
      <c r="G33" t="inlineStr">
        <is>
          <t>PITEÅ</t>
        </is>
      </c>
      <c r="I33" t="n">
        <v>6.2</v>
      </c>
      <c r="J33" t="n">
        <v>2</v>
      </c>
      <c r="K33" t="n">
        <v>0</v>
      </c>
      <c r="L33" t="n">
        <v>2</v>
      </c>
      <c r="M33" t="n">
        <v>0</v>
      </c>
      <c r="N33" t="n">
        <v>0</v>
      </c>
      <c r="O33" t="n">
        <v>0</v>
      </c>
      <c r="P33" t="n">
        <v>0</v>
      </c>
      <c r="Q33" t="n">
        <v>2</v>
      </c>
      <c r="R33" t="n">
        <v>0</v>
      </c>
      <c r="S33" t="n">
        <v>3</v>
      </c>
      <c r="T33" t="n">
        <v>3</v>
      </c>
      <c r="U33" s="2" t="inlineStr">
        <is>
          <t>Dropptaggsvamp
Talltita
Tjäder</t>
        </is>
      </c>
      <c r="V33">
        <f>HYPERLINK("https://klasma.github.io/Logging_2581/artfynd/A 8221-2026 artfynd.xlsx", "A 8221-2026")</f>
        <v/>
      </c>
      <c r="W33">
        <f>HYPERLINK("https://klasma.github.io/Logging_2581/kartor/A 8221-2026 karta.png", "A 8221-2026")</f>
        <v/>
      </c>
      <c r="Y33">
        <f>HYPERLINK("https://klasma.github.io/Logging_2581/klagomål/A 8221-2026 FSC-klagomål.docx", "A 8221-2026")</f>
        <v/>
      </c>
      <c r="Z33">
        <f>HYPERLINK("https://klasma.github.io/Logging_2581/klagomålsmail/A 8221-2026 FSC-klagomål mail.docx", "A 8221-2026")</f>
        <v/>
      </c>
      <c r="AA33">
        <f>HYPERLINK("https://klasma.github.io/Logging_2581/tillsyn/A 8221-2026 tillsynsbegäran.docx", "A 8221-2026")</f>
        <v/>
      </c>
      <c r="AB33">
        <f>HYPERLINK("https://klasma.github.io/Logging_2581/tillsynsmail/A 8221-2026 tillsynsbegäran mail.docx", "A 8221-2026")</f>
        <v/>
      </c>
      <c r="AC33">
        <f>HYPERLINK("https://klasma.github.io/Logging_2581/fåglar/A 8221-2026 prioriterade fågelarter.docx", "A 8221-2026")</f>
        <v/>
      </c>
    </row>
    <row r="34" ht="15" customHeight="1">
      <c r="A34" t="inlineStr">
        <is>
          <t>A 24589-2022</t>
        </is>
      </c>
      <c r="B34" t="inlineStr">
        <is>
          <t>avverkningsanmälan</t>
        </is>
      </c>
      <c r="C34" t="inlineStr">
        <is>
          <t>Avverkning för annat ändamål</t>
        </is>
      </c>
      <c r="D34" s="1" t="n">
        <v>44727</v>
      </c>
      <c r="E34" s="1" t="n">
        <v>46221</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s="2" t="inlineStr">
        <is>
          <t>Enkelbeckasin
Rosenfink
Spillkråka</t>
        </is>
      </c>
      <c r="V34">
        <f>HYPERLINK("https://klasma.github.io/Logging_2581/artfynd/A 24589-2022 artfynd.xlsx", "A 24589-2022")</f>
        <v/>
      </c>
      <c r="W34">
        <f>HYPERLINK("https://klasma.github.io/Logging_2581/kartor/A 24589-2022 karta.png", "A 24589-2022")</f>
        <v/>
      </c>
      <c r="Y34">
        <f>HYPERLINK("https://klasma.github.io/Logging_2581/klagomål/A 24589-2022 FSC-klagomål.docx", "A 24589-2022")</f>
        <v/>
      </c>
      <c r="Z34">
        <f>HYPERLINK("https://klasma.github.io/Logging_2581/klagomålsmail/A 24589-2022 FSC-klagomål mail.docx", "A 24589-2022")</f>
        <v/>
      </c>
      <c r="AA34">
        <f>HYPERLINK("https://klasma.github.io/Logging_2581/tillsyn/A 24589-2022 tillsynsbegäran.docx", "A 24589-2022")</f>
        <v/>
      </c>
      <c r="AB34">
        <f>HYPERLINK("https://klasma.github.io/Logging_2581/tillsynsmail/A 24589-2022 tillsynsbegäran mail.docx", "A 24589-2022")</f>
        <v/>
      </c>
      <c r="AC34">
        <f>HYPERLINK("https://klasma.github.io/Logging_2581/fåglar/A 24589-2022 prioriterade fågelarter.docx", "A 24589-2022")</f>
        <v/>
      </c>
    </row>
    <row r="35" ht="15" customHeight="1">
      <c r="A35" t="inlineStr">
        <is>
          <t>A 46769-2025</t>
        </is>
      </c>
      <c r="B35" t="inlineStr">
        <is>
          <t>avverkningsanmälan</t>
        </is>
      </c>
      <c r="C35" t="inlineStr">
        <is>
          <t>Föryngringsavverkning</t>
        </is>
      </c>
      <c r="D35" s="1" t="n">
        <v>45926</v>
      </c>
      <c r="E35" s="1" t="n">
        <v>46221</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s="2" t="inlineStr">
        <is>
          <t>Knärot
Talltita
Gråspett</t>
        </is>
      </c>
      <c r="V35">
        <f>HYPERLINK("https://klasma.github.io/Logging_2581/artfynd/A 46769-2025 artfynd.xlsx", "A 46769-2025")</f>
        <v/>
      </c>
      <c r="W35">
        <f>HYPERLINK("https://klasma.github.io/Logging_2581/kartor/A 46769-2025 karta.png", "A 46769-2025")</f>
        <v/>
      </c>
      <c r="X35">
        <f>HYPERLINK("https://klasma.github.io/Logging_2581/knärot/A 46769-2025 karta knärot.png", "A 46769-2025")</f>
        <v/>
      </c>
      <c r="Y35">
        <f>HYPERLINK("https://klasma.github.io/Logging_2581/klagomål/A 46769-2025 FSC-klagomål.docx", "A 46769-2025")</f>
        <v/>
      </c>
      <c r="Z35">
        <f>HYPERLINK("https://klasma.github.io/Logging_2581/klagomålsmail/A 46769-2025 FSC-klagomål mail.docx", "A 46769-2025")</f>
        <v/>
      </c>
      <c r="AA35">
        <f>HYPERLINK("https://klasma.github.io/Logging_2581/tillsyn/A 46769-2025 tillsynsbegäran.docx", "A 46769-2025")</f>
        <v/>
      </c>
      <c r="AB35">
        <f>HYPERLINK("https://klasma.github.io/Logging_2581/tillsynsmail/A 46769-2025 tillsynsbegäran mail.docx", "A 46769-2025")</f>
        <v/>
      </c>
      <c r="AC35">
        <f>HYPERLINK("https://klasma.github.io/Logging_2581/fåglar/A 46769-2025 prioriterade fågelarter.docx", "A 46769-2025")</f>
        <v/>
      </c>
    </row>
    <row r="36" ht="15" customHeight="1">
      <c r="A36" t="inlineStr">
        <is>
          <t>A 73971-2021</t>
        </is>
      </c>
      <c r="B36" t="inlineStr">
        <is>
          <t>avverkningsanmälan</t>
        </is>
      </c>
      <c r="C36" t="inlineStr">
        <is>
          <t>Föryngringsavverkning</t>
        </is>
      </c>
      <c r="D36" s="1" t="n">
        <v>44553</v>
      </c>
      <c r="E36" s="1" t="n">
        <v>46221</v>
      </c>
      <c r="F36" t="inlineStr">
        <is>
          <t>NORRBOTTENS LÄN</t>
        </is>
      </c>
      <c r="G36" t="inlineStr">
        <is>
          <t>PITEÅ</t>
        </is>
      </c>
      <c r="H36" t="inlineStr">
        <is>
          <t>Kyrkan</t>
        </is>
      </c>
      <c r="I36" t="n">
        <v>54.7</v>
      </c>
      <c r="J36" t="n">
        <v>2</v>
      </c>
      <c r="K36" t="n">
        <v>0</v>
      </c>
      <c r="L36" t="n">
        <v>2</v>
      </c>
      <c r="M36" t="n">
        <v>0</v>
      </c>
      <c r="N36" t="n">
        <v>0</v>
      </c>
      <c r="O36" t="n">
        <v>0</v>
      </c>
      <c r="P36" t="n">
        <v>0</v>
      </c>
      <c r="Q36" t="n">
        <v>2</v>
      </c>
      <c r="R36" t="n">
        <v>0</v>
      </c>
      <c r="S36" t="n">
        <v>3</v>
      </c>
      <c r="T36" t="n">
        <v>6</v>
      </c>
      <c r="U36" s="2" t="inlineStr">
        <is>
          <t>Tretåig hackspett
Ullticka
Spillkråka</t>
        </is>
      </c>
      <c r="V36">
        <f>HYPERLINK("https://klasma.github.io/Logging_2581/artfynd/A 73971-2021 artfynd.xlsx", "A 73971-2021")</f>
        <v/>
      </c>
      <c r="W36">
        <f>HYPERLINK("https://klasma.github.io/Logging_2581/kartor/A 73971-2021 karta.png", "A 73971-2021")</f>
        <v/>
      </c>
      <c r="Y36">
        <f>HYPERLINK("https://klasma.github.io/Logging_2581/klagomål/A 73971-2021 FSC-klagomål.docx", "A 73971-2021")</f>
        <v/>
      </c>
      <c r="Z36">
        <f>HYPERLINK("https://klasma.github.io/Logging_2581/klagomålsmail/A 73971-2021 FSC-klagomål mail.docx", "A 73971-2021")</f>
        <v/>
      </c>
      <c r="AA36">
        <f>HYPERLINK("https://klasma.github.io/Logging_2581/tillsyn/A 73971-2021 tillsynsbegäran.docx", "A 73971-2021")</f>
        <v/>
      </c>
      <c r="AB36">
        <f>HYPERLINK("https://klasma.github.io/Logging_2581/tillsynsmail/A 73971-2021 tillsynsbegäran mail.docx", "A 73971-2021")</f>
        <v/>
      </c>
      <c r="AC36">
        <f>HYPERLINK("https://klasma.github.io/Logging_2581/fåglar/A 73971-2021 prioriterade fågelarter.docx", "A 73971-2021")</f>
        <v/>
      </c>
    </row>
    <row r="37" ht="15" customHeight="1">
      <c r="A37" t="inlineStr">
        <is>
          <t>A 46436-2025</t>
        </is>
      </c>
      <c r="B37" t="inlineStr">
        <is>
          <t>avverkningsanmälan</t>
        </is>
      </c>
      <c r="C37" t="inlineStr">
        <is>
          <t>Föryngringsavverkning</t>
        </is>
      </c>
      <c r="D37" s="1" t="n">
        <v>45925</v>
      </c>
      <c r="E37" s="1" t="n">
        <v>46221</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s="2" t="inlineStr">
        <is>
          <t>Talltita
Järpe
Spillkråka</t>
        </is>
      </c>
      <c r="V37">
        <f>HYPERLINK("https://klasma.github.io/Logging_2581/artfynd/A 46436-2025 artfynd.xlsx", "A 46436-2025")</f>
        <v/>
      </c>
      <c r="W37">
        <f>HYPERLINK("https://klasma.github.io/Logging_2581/kartor/A 46436-2025 karta.png", "A 46436-2025")</f>
        <v/>
      </c>
      <c r="Y37">
        <f>HYPERLINK("https://klasma.github.io/Logging_2581/klagomål/A 46436-2025 FSC-klagomål.docx", "A 46436-2025")</f>
        <v/>
      </c>
      <c r="Z37">
        <f>HYPERLINK("https://klasma.github.io/Logging_2581/klagomålsmail/A 46436-2025 FSC-klagomål mail.docx", "A 46436-2025")</f>
        <v/>
      </c>
      <c r="AA37">
        <f>HYPERLINK("https://klasma.github.io/Logging_2581/tillsyn/A 46436-2025 tillsynsbegäran.docx", "A 46436-2025")</f>
        <v/>
      </c>
      <c r="AB37">
        <f>HYPERLINK("https://klasma.github.io/Logging_2581/tillsynsmail/A 46436-2025 tillsynsbegäran mail.docx", "A 46436-2025")</f>
        <v/>
      </c>
      <c r="AC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46221</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s="2" t="inlineStr">
        <is>
          <t>Blanksvart spiklav
Vedflamlav
Vedskivlav</t>
        </is>
      </c>
      <c r="V38">
        <f>HYPERLINK("https://klasma.github.io/Logging_2581/artfynd/A 39511-2025 artfynd.xlsx", "A 39511-2025")</f>
        <v/>
      </c>
      <c r="W38">
        <f>HYPERLINK("https://klasma.github.io/Logging_2581/kartor/A 39511-2025 karta.png", "A 39511-2025")</f>
        <v/>
      </c>
      <c r="Y38">
        <f>HYPERLINK("https://klasma.github.io/Logging_2581/klagomål/A 39511-2025 FSC-klagomål.docx", "A 39511-2025")</f>
        <v/>
      </c>
      <c r="Z38">
        <f>HYPERLINK("https://klasma.github.io/Logging_2581/klagomålsmail/A 39511-2025 FSC-klagomål mail.docx", "A 39511-2025")</f>
        <v/>
      </c>
      <c r="AA38">
        <f>HYPERLINK("https://klasma.github.io/Logging_2581/tillsyn/A 39511-2025 tillsynsbegäran.docx", "A 39511-2025")</f>
        <v/>
      </c>
      <c r="AB38">
        <f>HYPERLINK("https://klasma.github.io/Logging_2581/tillsynsmail/A 39511-2025 tillsynsbegäran mail.docx", "A 39511-2025")</f>
        <v/>
      </c>
    </row>
    <row r="39" ht="15" customHeight="1">
      <c r="A39" t="inlineStr">
        <is>
          <t>A 56592-2023</t>
        </is>
      </c>
      <c r="B39" t="inlineStr">
        <is>
          <t>avverkningsanmälan</t>
        </is>
      </c>
      <c r="C39" t="inlineStr">
        <is>
          <t>Föryngringsavverkning</t>
        </is>
      </c>
      <c r="D39" s="1" t="n">
        <v>45243</v>
      </c>
      <c r="E39" s="1" t="n">
        <v>46221</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Y39">
        <f>HYPERLINK("https://klasma.github.io/Logging_2581/klagomål/A 56592-2023 FSC-klagomål.docx", "A 56592-2023")</f>
        <v/>
      </c>
      <c r="Z39">
        <f>HYPERLINK("https://klasma.github.io/Logging_2581/klagomålsmail/A 56592-2023 FSC-klagomål mail.docx", "A 56592-2023")</f>
        <v/>
      </c>
      <c r="AA39">
        <f>HYPERLINK("https://klasma.github.io/Logging_2581/tillsyn/A 56592-2023 tillsynsbegäran.docx", "A 56592-2023")</f>
        <v/>
      </c>
      <c r="AB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46221</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Y40">
        <f>HYPERLINK("https://klasma.github.io/Logging_2581/klagomål/A 30453-2024 FSC-klagomål.docx", "A 30453-2024")</f>
        <v/>
      </c>
      <c r="Z40">
        <f>HYPERLINK("https://klasma.github.io/Logging_2581/klagomålsmail/A 30453-2024 FSC-klagomål mail.docx", "A 30453-2024")</f>
        <v/>
      </c>
      <c r="AA40">
        <f>HYPERLINK("https://klasma.github.io/Logging_2581/tillsyn/A 30453-2024 tillsynsbegäran.docx", "A 30453-2024")</f>
        <v/>
      </c>
      <c r="AB40">
        <f>HYPERLINK("https://klasma.github.io/Logging_2581/tillsynsmail/A 30453-2024 tillsynsbegäran mail.docx", "A 30453-2024")</f>
        <v/>
      </c>
      <c r="AC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46221</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46221</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4470-2026</t>
        </is>
      </c>
      <c r="B43" t="inlineStr">
        <is>
          <t>avverkningsanmälan</t>
        </is>
      </c>
      <c r="C43" t="inlineStr">
        <is>
          <t>Föryngringsavverkning</t>
        </is>
      </c>
      <c r="D43" s="1" t="n">
        <v>46045</v>
      </c>
      <c r="E43" s="1" t="n">
        <v>46221</v>
      </c>
      <c r="F43" t="inlineStr">
        <is>
          <t>NORRBOTTENS LÄN</t>
        </is>
      </c>
      <c r="G43" t="inlineStr">
        <is>
          <t>PITEÅ</t>
        </is>
      </c>
      <c r="H43" t="inlineStr">
        <is>
          <t>SCA</t>
        </is>
      </c>
      <c r="I43" t="n">
        <v>2.5</v>
      </c>
      <c r="J43" t="n">
        <v>1</v>
      </c>
      <c r="K43" t="n">
        <v>0</v>
      </c>
      <c r="L43" t="n">
        <v>2</v>
      </c>
      <c r="M43" t="n">
        <v>0</v>
      </c>
      <c r="N43" t="n">
        <v>0</v>
      </c>
      <c r="O43" t="n">
        <v>0</v>
      </c>
      <c r="P43" t="n">
        <v>0</v>
      </c>
      <c r="Q43" t="n">
        <v>2</v>
      </c>
      <c r="R43" t="n">
        <v>0</v>
      </c>
      <c r="S43" t="n">
        <v>2</v>
      </c>
      <c r="T43" t="n">
        <v>2</v>
      </c>
      <c r="U43" s="2" t="inlineStr">
        <is>
          <t>Lavskrika
Lunglav</t>
        </is>
      </c>
      <c r="V43">
        <f>HYPERLINK("https://klasma.github.io/Logging_2581/artfynd/A 4470-2026 artfynd.xlsx", "A 4470-2026")</f>
        <v/>
      </c>
      <c r="W43">
        <f>HYPERLINK("https://klasma.github.io/Logging_2581/kartor/A 4470-2026 karta.png", "A 4470-2026")</f>
        <v/>
      </c>
      <c r="Y43">
        <f>HYPERLINK("https://klasma.github.io/Logging_2581/klagomål/A 4470-2026 FSC-klagomål.docx", "A 4470-2026")</f>
        <v/>
      </c>
      <c r="Z43">
        <f>HYPERLINK("https://klasma.github.io/Logging_2581/klagomålsmail/A 4470-2026 FSC-klagomål mail.docx", "A 4470-2026")</f>
        <v/>
      </c>
      <c r="AA43">
        <f>HYPERLINK("https://klasma.github.io/Logging_2581/tillsyn/A 4470-2026 tillsynsbegäran.docx", "A 4470-2026")</f>
        <v/>
      </c>
      <c r="AB43">
        <f>HYPERLINK("https://klasma.github.io/Logging_2581/tillsynsmail/A 4470-2026 tillsynsbegäran mail.docx", "A 4470-2026")</f>
        <v/>
      </c>
      <c r="AC43">
        <f>HYPERLINK("https://klasma.github.io/Logging_2581/fåglar/A 4470-2026 prioriterade fågelarter.docx", "A 4470-2026")</f>
        <v/>
      </c>
    </row>
    <row r="44" ht="15" customHeight="1">
      <c r="A44" t="inlineStr">
        <is>
          <t>A 45580-2025</t>
        </is>
      </c>
      <c r="B44" t="inlineStr">
        <is>
          <t>avverkningsanmälan</t>
        </is>
      </c>
      <c r="C44" t="inlineStr">
        <is>
          <t>Föryngringsavverkning</t>
        </is>
      </c>
      <c r="D44" s="1" t="n">
        <v>45922</v>
      </c>
      <c r="E44" s="1" t="n">
        <v>46221</v>
      </c>
      <c r="F44" t="inlineStr">
        <is>
          <t>NORRBOTTENS LÄN</t>
        </is>
      </c>
      <c r="G44" t="inlineStr">
        <is>
          <t>PITEÅ</t>
        </is>
      </c>
      <c r="H44" t="inlineStr">
        <is>
          <t>Sveaskog</t>
        </is>
      </c>
      <c r="I44" t="n">
        <v>2.8</v>
      </c>
      <c r="J44" t="n">
        <v>0</v>
      </c>
      <c r="K44" t="n">
        <v>1</v>
      </c>
      <c r="L44" t="n">
        <v>1</v>
      </c>
      <c r="M44" t="n">
        <v>0</v>
      </c>
      <c r="N44" t="n">
        <v>0</v>
      </c>
      <c r="O44" t="n">
        <v>0</v>
      </c>
      <c r="P44" t="n">
        <v>0</v>
      </c>
      <c r="Q44" t="n">
        <v>1</v>
      </c>
      <c r="R44" t="n">
        <v>0</v>
      </c>
      <c r="S44" t="n">
        <v>2</v>
      </c>
      <c r="T44" t="n">
        <v>2</v>
      </c>
      <c r="U44" s="2" t="inlineStr">
        <is>
          <t>Koralltaggsvamp
Stuplav</t>
        </is>
      </c>
      <c r="V44">
        <f>HYPERLINK("https://klasma.github.io/Logging_2581/artfynd/A 45580-2025 artfynd.xlsx", "A 45580-2025")</f>
        <v/>
      </c>
      <c r="W44">
        <f>HYPERLINK("https://klasma.github.io/Logging_2581/kartor/A 45580-2025 karta.png", "A 45580-2025")</f>
        <v/>
      </c>
      <c r="Y44">
        <f>HYPERLINK("https://klasma.github.io/Logging_2581/klagomål/A 45580-2025 FSC-klagomål.docx", "A 45580-2025")</f>
        <v/>
      </c>
      <c r="Z44">
        <f>HYPERLINK("https://klasma.github.io/Logging_2581/klagomålsmail/A 45580-2025 FSC-klagomål mail.docx", "A 45580-2025")</f>
        <v/>
      </c>
      <c r="AA44">
        <f>HYPERLINK("https://klasma.github.io/Logging_2581/tillsyn/A 45580-2025 tillsynsbegäran.docx", "A 45580-2025")</f>
        <v/>
      </c>
      <c r="AB44">
        <f>HYPERLINK("https://klasma.github.io/Logging_2581/tillsynsmail/A 45580-2025 tillsynsbegäran mail.docx", "A 45580-2025")</f>
        <v/>
      </c>
    </row>
    <row r="45" ht="15" customHeight="1">
      <c r="A45" t="inlineStr">
        <is>
          <t>A 45647-2025</t>
        </is>
      </c>
      <c r="B45" t="inlineStr">
        <is>
          <t>avverkningsanmälan</t>
        </is>
      </c>
      <c r="C45" t="inlineStr">
        <is>
          <t>Föryngringsavverkning</t>
        </is>
      </c>
      <c r="D45" s="1" t="n">
        <v>45923</v>
      </c>
      <c r="E45" s="1" t="n">
        <v>46221</v>
      </c>
      <c r="F45" t="inlineStr">
        <is>
          <t>NORRBOTTENS LÄN</t>
        </is>
      </c>
      <c r="G45" t="inlineStr">
        <is>
          <t>PITEÅ</t>
        </is>
      </c>
      <c r="H45" t="inlineStr">
        <is>
          <t>Sveaskog</t>
        </is>
      </c>
      <c r="I45" t="n">
        <v>18.9</v>
      </c>
      <c r="J45" t="n">
        <v>0</v>
      </c>
      <c r="K45" t="n">
        <v>0</v>
      </c>
      <c r="L45" t="n">
        <v>2</v>
      </c>
      <c r="M45" t="n">
        <v>0</v>
      </c>
      <c r="N45" t="n">
        <v>0</v>
      </c>
      <c r="O45" t="n">
        <v>0</v>
      </c>
      <c r="P45" t="n">
        <v>0</v>
      </c>
      <c r="Q45" t="n">
        <v>2</v>
      </c>
      <c r="R45" t="n">
        <v>0</v>
      </c>
      <c r="S45" t="n">
        <v>2</v>
      </c>
      <c r="T45" t="n">
        <v>4</v>
      </c>
      <c r="U45" s="2" t="inlineStr">
        <is>
          <t>Doftskinn
Rosenticka</t>
        </is>
      </c>
      <c r="V45">
        <f>HYPERLINK("https://klasma.github.io/Logging_2581/artfynd/A 45647-2025 artfynd.xlsx", "A 45647-2025")</f>
        <v/>
      </c>
      <c r="W45">
        <f>HYPERLINK("https://klasma.github.io/Logging_2581/kartor/A 45647-2025 karta.png", "A 45647-2025")</f>
        <v/>
      </c>
      <c r="Y45">
        <f>HYPERLINK("https://klasma.github.io/Logging_2581/klagomål/A 45647-2025 FSC-klagomål.docx", "A 45647-2025")</f>
        <v/>
      </c>
      <c r="Z45">
        <f>HYPERLINK("https://klasma.github.io/Logging_2581/klagomålsmail/A 45647-2025 FSC-klagomål mail.docx", "A 45647-2025")</f>
        <v/>
      </c>
      <c r="AA45">
        <f>HYPERLINK("https://klasma.github.io/Logging_2581/tillsyn/A 45647-2025 tillsynsbegäran.docx", "A 45647-2025")</f>
        <v/>
      </c>
      <c r="AB45">
        <f>HYPERLINK("https://klasma.github.io/Logging_2581/tillsynsmail/A 45647-2025 tillsynsbegäran mail.docx", "A 45647-2025")</f>
        <v/>
      </c>
    </row>
    <row r="46" ht="15" customHeight="1">
      <c r="A46" t="inlineStr">
        <is>
          <t>A 38570-2024</t>
        </is>
      </c>
      <c r="B46" t="inlineStr">
        <is>
          <t>avverkningsanmälan</t>
        </is>
      </c>
      <c r="C46" t="inlineStr">
        <is>
          <t>Föryngringsavverkning</t>
        </is>
      </c>
      <c r="D46" s="1" t="n">
        <v>45546</v>
      </c>
      <c r="E46" s="1" t="n">
        <v>46221</v>
      </c>
      <c r="F46" t="inlineStr">
        <is>
          <t>NORRBOTTENS LÄN</t>
        </is>
      </c>
      <c r="G46" t="inlineStr">
        <is>
          <t>PITEÅ</t>
        </is>
      </c>
      <c r="I46" t="n">
        <v>13.9</v>
      </c>
      <c r="J46" t="n">
        <v>0</v>
      </c>
      <c r="K46" t="n">
        <v>1</v>
      </c>
      <c r="L46" t="n">
        <v>1</v>
      </c>
      <c r="M46" t="n">
        <v>0</v>
      </c>
      <c r="N46" t="n">
        <v>0</v>
      </c>
      <c r="O46" t="n">
        <v>0</v>
      </c>
      <c r="P46" t="n">
        <v>0</v>
      </c>
      <c r="Q46" t="n">
        <v>1</v>
      </c>
      <c r="R46" t="n">
        <v>0</v>
      </c>
      <c r="S46" t="n">
        <v>2</v>
      </c>
      <c r="T46" t="n">
        <v>5</v>
      </c>
      <c r="U46" s="2" t="inlineStr">
        <is>
          <t>Lunglav
Ögonpyrola</t>
        </is>
      </c>
      <c r="V46">
        <f>HYPERLINK("https://klasma.github.io/Logging_2581/artfynd/A 38570-2024 artfynd.xlsx", "A 38570-2024")</f>
        <v/>
      </c>
      <c r="W46">
        <f>HYPERLINK("https://klasma.github.io/Logging_2581/kartor/A 38570-2024 karta.png", "A 38570-2024")</f>
        <v/>
      </c>
      <c r="Y46">
        <f>HYPERLINK("https://klasma.github.io/Logging_2581/klagomål/A 38570-2024 FSC-klagomål.docx", "A 38570-2024")</f>
        <v/>
      </c>
      <c r="Z46">
        <f>HYPERLINK("https://klasma.github.io/Logging_2581/klagomålsmail/A 38570-2024 FSC-klagomål mail.docx", "A 38570-2024")</f>
        <v/>
      </c>
      <c r="AA46">
        <f>HYPERLINK("https://klasma.github.io/Logging_2581/tillsyn/A 38570-2024 tillsynsbegäran.docx", "A 38570-2024")</f>
        <v/>
      </c>
      <c r="AB46">
        <f>HYPERLINK("https://klasma.github.io/Logging_2581/tillsynsmail/A 38570-2024 tillsynsbegäran mail.docx", "A 38570-2024")</f>
        <v/>
      </c>
    </row>
    <row r="47" ht="15" customHeight="1">
      <c r="A47" t="inlineStr">
        <is>
          <t>A 48434-2025</t>
        </is>
      </c>
      <c r="B47" t="inlineStr">
        <is>
          <t>avverkningsanmälan</t>
        </is>
      </c>
      <c r="C47" t="inlineStr">
        <is>
          <t>Föryngringsavverkning</t>
        </is>
      </c>
      <c r="D47" s="1" t="n">
        <v>45935</v>
      </c>
      <c r="E47" s="1" t="n">
        <v>46221</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s="2" t="inlineStr">
        <is>
          <t>Talltita
Ullticka</t>
        </is>
      </c>
      <c r="V47">
        <f>HYPERLINK("https://klasma.github.io/Logging_2581/artfynd/A 48434-2025 artfynd.xlsx", "A 48434-2025")</f>
        <v/>
      </c>
      <c r="W47">
        <f>HYPERLINK("https://klasma.github.io/Logging_2581/kartor/A 48434-2025 karta.png", "A 48434-2025")</f>
        <v/>
      </c>
      <c r="Y47">
        <f>HYPERLINK("https://klasma.github.io/Logging_2581/klagomål/A 48434-2025 FSC-klagomål.docx", "A 48434-2025")</f>
        <v/>
      </c>
      <c r="Z47">
        <f>HYPERLINK("https://klasma.github.io/Logging_2581/klagomålsmail/A 48434-2025 FSC-klagomål mail.docx", "A 48434-2025")</f>
        <v/>
      </c>
      <c r="AA47">
        <f>HYPERLINK("https://klasma.github.io/Logging_2581/tillsyn/A 48434-2025 tillsynsbegäran.docx", "A 48434-2025")</f>
        <v/>
      </c>
      <c r="AB47">
        <f>HYPERLINK("https://klasma.github.io/Logging_2581/tillsynsmail/A 48434-2025 tillsynsbegäran mail.docx", "A 48434-2025")</f>
        <v/>
      </c>
      <c r="AC47">
        <f>HYPERLINK("https://klasma.github.io/Logging_2581/fåglar/A 48434-2025 prioriterade fågelarter.docx", "A 48434-2025")</f>
        <v/>
      </c>
    </row>
    <row r="48" ht="15" customHeight="1">
      <c r="A48" t="inlineStr">
        <is>
          <t>A 8227-2026</t>
        </is>
      </c>
      <c r="B48" t="inlineStr">
        <is>
          <t>avverkningsanmälan</t>
        </is>
      </c>
      <c r="C48" t="inlineStr">
        <is>
          <t>Föryngringsavverkning</t>
        </is>
      </c>
      <c r="D48" s="1" t="n">
        <v>46064</v>
      </c>
      <c r="E48" s="1" t="n">
        <v>46221</v>
      </c>
      <c r="F48" t="inlineStr">
        <is>
          <t>NORRBOTTENS LÄN</t>
        </is>
      </c>
      <c r="G48" t="inlineStr">
        <is>
          <t>PITEÅ</t>
        </is>
      </c>
      <c r="I48" t="n">
        <v>6.3</v>
      </c>
      <c r="J48" t="n">
        <v>1</v>
      </c>
      <c r="K48" t="n">
        <v>0</v>
      </c>
      <c r="L48" t="n">
        <v>1</v>
      </c>
      <c r="M48" t="n">
        <v>0</v>
      </c>
      <c r="N48" t="n">
        <v>0</v>
      </c>
      <c r="O48" t="n">
        <v>0</v>
      </c>
      <c r="P48" t="n">
        <v>0</v>
      </c>
      <c r="Q48" t="n">
        <v>1</v>
      </c>
      <c r="R48" t="n">
        <v>0</v>
      </c>
      <c r="S48" t="n">
        <v>2</v>
      </c>
      <c r="T48" t="n">
        <v>2</v>
      </c>
      <c r="U48" s="2" t="inlineStr">
        <is>
          <t>Dropptaggsvamp
Revlummer</t>
        </is>
      </c>
      <c r="V48">
        <f>HYPERLINK("https://klasma.github.io/Logging_2581/artfynd/A 8227-2026 artfynd.xlsx", "A 8227-2026")</f>
        <v/>
      </c>
      <c r="W48">
        <f>HYPERLINK("https://klasma.github.io/Logging_2581/kartor/A 8227-2026 karta.png", "A 8227-2026")</f>
        <v/>
      </c>
      <c r="Y48">
        <f>HYPERLINK("https://klasma.github.io/Logging_2581/klagomål/A 8227-2026 FSC-klagomål.docx", "A 8227-2026")</f>
        <v/>
      </c>
      <c r="Z48">
        <f>HYPERLINK("https://klasma.github.io/Logging_2581/klagomålsmail/A 8227-2026 FSC-klagomål mail.docx", "A 8227-2026")</f>
        <v/>
      </c>
      <c r="AA48">
        <f>HYPERLINK("https://klasma.github.io/Logging_2581/tillsyn/A 8227-2026 tillsynsbegäran.docx", "A 8227-2026")</f>
        <v/>
      </c>
      <c r="AB48">
        <f>HYPERLINK("https://klasma.github.io/Logging_2581/tillsynsmail/A 8227-2026 tillsynsbegäran mail.docx", "A 8227-2026")</f>
        <v/>
      </c>
    </row>
    <row r="49" ht="15" customHeight="1">
      <c r="A49" t="inlineStr">
        <is>
          <t>A 52643-2025</t>
        </is>
      </c>
      <c r="B49" t="inlineStr">
        <is>
          <t>avverkningsanmälan</t>
        </is>
      </c>
      <c r="C49" t="inlineStr">
        <is>
          <t>Föryngringsavverkning</t>
        </is>
      </c>
      <c r="D49" s="1" t="n">
        <v>45955</v>
      </c>
      <c r="E49" s="1" t="n">
        <v>46221</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s="2" t="inlineStr">
        <is>
          <t>Talltita
Bergfink</t>
        </is>
      </c>
      <c r="V49">
        <f>HYPERLINK("https://klasma.github.io/Logging_2581/artfynd/A 52643-2025 artfynd.xlsx", "A 52643-2025")</f>
        <v/>
      </c>
      <c r="W49">
        <f>HYPERLINK("https://klasma.github.io/Logging_2581/kartor/A 52643-2025 karta.png", "A 52643-2025")</f>
        <v/>
      </c>
      <c r="Y49">
        <f>HYPERLINK("https://klasma.github.io/Logging_2581/klagomål/A 52643-2025 FSC-klagomål.docx", "A 52643-2025")</f>
        <v/>
      </c>
      <c r="Z49">
        <f>HYPERLINK("https://klasma.github.io/Logging_2581/klagomålsmail/A 52643-2025 FSC-klagomål mail.docx", "A 52643-2025")</f>
        <v/>
      </c>
      <c r="AA49">
        <f>HYPERLINK("https://klasma.github.io/Logging_2581/tillsyn/A 52643-2025 tillsynsbegäran.docx", "A 52643-2025")</f>
        <v/>
      </c>
      <c r="AB49">
        <f>HYPERLINK("https://klasma.github.io/Logging_2581/tillsynsmail/A 52643-2025 tillsynsbegäran mail.docx", "A 52643-2025")</f>
        <v/>
      </c>
      <c r="AC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46221</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s="2" t="inlineStr">
        <is>
          <t>Silverblåvinge
Fläcknycklar</t>
        </is>
      </c>
      <c r="V50">
        <f>HYPERLINK("https://klasma.github.io/Logging_2581/artfynd/A 12849-2025 artfynd.xlsx", "A 12849-2025")</f>
        <v/>
      </c>
      <c r="W50">
        <f>HYPERLINK("https://klasma.github.io/Logging_2581/kartor/A 12849-2025 karta.png", "A 12849-2025")</f>
        <v/>
      </c>
      <c r="Y50">
        <f>HYPERLINK("https://klasma.github.io/Logging_2581/klagomål/A 12849-2025 FSC-klagomål.docx", "A 12849-2025")</f>
        <v/>
      </c>
      <c r="Z50">
        <f>HYPERLINK("https://klasma.github.io/Logging_2581/klagomålsmail/A 12849-2025 FSC-klagomål mail.docx", "A 12849-2025")</f>
        <v/>
      </c>
      <c r="AA50">
        <f>HYPERLINK("https://klasma.github.io/Logging_2581/tillsyn/A 12849-2025 tillsynsbegäran.docx", "A 12849-2025")</f>
        <v/>
      </c>
      <c r="AB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46221</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s="2" t="inlineStr">
        <is>
          <t>Rosenticka
Rynkskinn</t>
        </is>
      </c>
      <c r="V51">
        <f>HYPERLINK("https://klasma.github.io/Logging_2581/artfynd/A 54745-2023 artfynd.xlsx", "A 54745-2023")</f>
        <v/>
      </c>
      <c r="W51">
        <f>HYPERLINK("https://klasma.github.io/Logging_2581/kartor/A 54745-2023 karta.png", "A 54745-2023")</f>
        <v/>
      </c>
      <c r="Y51">
        <f>HYPERLINK("https://klasma.github.io/Logging_2581/klagomål/A 54745-2023 FSC-klagomål.docx", "A 54745-2023")</f>
        <v/>
      </c>
      <c r="Z51">
        <f>HYPERLINK("https://klasma.github.io/Logging_2581/klagomålsmail/A 54745-2023 FSC-klagomål mail.docx", "A 54745-2023")</f>
        <v/>
      </c>
      <c r="AA51">
        <f>HYPERLINK("https://klasma.github.io/Logging_2581/tillsyn/A 54745-2023 tillsynsbegäran.docx", "A 54745-2023")</f>
        <v/>
      </c>
      <c r="AB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46221</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s="2" t="inlineStr">
        <is>
          <t>Luddfingersvamp
Tallticka</t>
        </is>
      </c>
      <c r="V52">
        <f>HYPERLINK("https://klasma.github.io/Logging_2581/artfynd/A 18052-2025 artfynd.xlsx", "A 18052-2025")</f>
        <v/>
      </c>
      <c r="W52">
        <f>HYPERLINK("https://klasma.github.io/Logging_2581/kartor/A 18052-2025 karta.png", "A 18052-2025")</f>
        <v/>
      </c>
      <c r="Y52">
        <f>HYPERLINK("https://klasma.github.io/Logging_2581/klagomål/A 18052-2025 FSC-klagomål.docx", "A 18052-2025")</f>
        <v/>
      </c>
      <c r="Z52">
        <f>HYPERLINK("https://klasma.github.io/Logging_2581/klagomålsmail/A 18052-2025 FSC-klagomål mail.docx", "A 18052-2025")</f>
        <v/>
      </c>
      <c r="AA52">
        <f>HYPERLINK("https://klasma.github.io/Logging_2581/tillsyn/A 18052-2025 tillsynsbegäran.docx", "A 18052-2025")</f>
        <v/>
      </c>
      <c r="AB52">
        <f>HYPERLINK("https://klasma.github.io/Logging_2581/tillsynsmail/A 18052-2025 tillsynsbegäran mail.docx", "A 18052-2025")</f>
        <v/>
      </c>
    </row>
    <row r="53" ht="15" customHeight="1">
      <c r="A53" t="inlineStr">
        <is>
          <t>A 48688-2023</t>
        </is>
      </c>
      <c r="B53" t="inlineStr">
        <is>
          <t>avverkningsanmälan</t>
        </is>
      </c>
      <c r="C53" t="inlineStr">
        <is>
          <t>Föryngringsavverkning</t>
        </is>
      </c>
      <c r="D53" s="1" t="n">
        <v>45202</v>
      </c>
      <c r="E53" s="1" t="n">
        <v>46221</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Y53">
        <f>HYPERLINK("https://klasma.github.io/Logging_2581/klagomål/A 48688-2023 FSC-klagomål.docx", "A 48688-2023")</f>
        <v/>
      </c>
      <c r="Z53">
        <f>HYPERLINK("https://klasma.github.io/Logging_2581/klagomålsmail/A 48688-2023 FSC-klagomål mail.docx", "A 48688-2023")</f>
        <v/>
      </c>
      <c r="AA53">
        <f>HYPERLINK("https://klasma.github.io/Logging_2581/tillsyn/A 48688-2023 tillsynsbegäran.docx", "A 48688-2023")</f>
        <v/>
      </c>
      <c r="AB53">
        <f>HYPERLINK("https://klasma.github.io/Logging_2581/tillsynsmail/A 48688-2023 tillsynsbegäran mail.docx", "A 48688-2023")</f>
        <v/>
      </c>
      <c r="AC53">
        <f>HYPERLINK("https://klasma.github.io/Logging_2581/fåglar/A 48688-2023 prioriterade fågelarter.docx", "A 48688-2023")</f>
        <v/>
      </c>
    </row>
    <row r="54" ht="15" customHeight="1">
      <c r="A54" t="inlineStr">
        <is>
          <t>A 5524-2024</t>
        </is>
      </c>
      <c r="B54" t="inlineStr">
        <is>
          <t>avverkningsanmälan</t>
        </is>
      </c>
      <c r="C54" t="inlineStr">
        <is>
          <t>Föryngringsavverkning</t>
        </is>
      </c>
      <c r="D54" s="1" t="n">
        <v>45334</v>
      </c>
      <c r="E54" s="1" t="n">
        <v>46221</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s="2" t="inlineStr">
        <is>
          <t>Järpe
Sångsvan</t>
        </is>
      </c>
      <c r="V54">
        <f>HYPERLINK("https://klasma.github.io/Logging_2581/artfynd/A 5524-2024 artfynd.xlsx", "A 5524-2024")</f>
        <v/>
      </c>
      <c r="W54">
        <f>HYPERLINK("https://klasma.github.io/Logging_2581/kartor/A 5524-2024 karta.png", "A 5524-2024")</f>
        <v/>
      </c>
      <c r="Y54">
        <f>HYPERLINK("https://klasma.github.io/Logging_2581/klagomål/A 5524-2024 FSC-klagomål.docx", "A 5524-2024")</f>
        <v/>
      </c>
      <c r="Z54">
        <f>HYPERLINK("https://klasma.github.io/Logging_2581/klagomålsmail/A 5524-2024 FSC-klagomål mail.docx", "A 5524-2024")</f>
        <v/>
      </c>
      <c r="AA54">
        <f>HYPERLINK("https://klasma.github.io/Logging_2581/tillsyn/A 5524-2024 tillsynsbegäran.docx", "A 5524-2024")</f>
        <v/>
      </c>
      <c r="AB54">
        <f>HYPERLINK("https://klasma.github.io/Logging_2581/tillsynsmail/A 5524-2024 tillsynsbegäran mail.docx", "A 5524-2024")</f>
        <v/>
      </c>
      <c r="AC54">
        <f>HYPERLINK("https://klasma.github.io/Logging_2581/fåglar/A 5524-2024 prioriterade fågelarter.docx", "A 5524-2024")</f>
        <v/>
      </c>
    </row>
    <row r="55" ht="15" customHeight="1">
      <c r="A55" t="inlineStr">
        <is>
          <t>A 15530-2025</t>
        </is>
      </c>
      <c r="B55" t="inlineStr">
        <is>
          <t>avverkningsanmälan</t>
        </is>
      </c>
      <c r="C55" t="inlineStr">
        <is>
          <t>Föryngringsavverkning</t>
        </is>
      </c>
      <c r="D55" s="1" t="n">
        <v>45747</v>
      </c>
      <c r="E55" s="1" t="n">
        <v>46221</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s="2" t="inlineStr">
        <is>
          <t>Knärot
Lunglav</t>
        </is>
      </c>
      <c r="V55">
        <f>HYPERLINK("https://klasma.github.io/Logging_2581/artfynd/A 15530-2025 artfynd.xlsx", "A 15530-2025")</f>
        <v/>
      </c>
      <c r="W55">
        <f>HYPERLINK("https://klasma.github.io/Logging_2581/kartor/A 15530-2025 karta.png", "A 15530-2025")</f>
        <v/>
      </c>
      <c r="X55">
        <f>HYPERLINK("https://klasma.github.io/Logging_2581/knärot/A 15530-2025 karta knärot.png", "A 15530-2025")</f>
        <v/>
      </c>
      <c r="Y55">
        <f>HYPERLINK("https://klasma.github.io/Logging_2581/klagomål/A 15530-2025 FSC-klagomål.docx", "A 15530-2025")</f>
        <v/>
      </c>
      <c r="Z55">
        <f>HYPERLINK("https://klasma.github.io/Logging_2581/klagomålsmail/A 15530-2025 FSC-klagomål mail.docx", "A 15530-2025")</f>
        <v/>
      </c>
      <c r="AA55">
        <f>HYPERLINK("https://klasma.github.io/Logging_2581/tillsyn/A 15530-2025 tillsynsbegäran.docx", "A 15530-2025")</f>
        <v/>
      </c>
      <c r="AB55">
        <f>HYPERLINK("https://klasma.github.io/Logging_2581/tillsynsmail/A 15530-2025 tillsynsbegäran mail.docx", "A 15530-2025")</f>
        <v/>
      </c>
    </row>
    <row r="56" ht="15" customHeight="1">
      <c r="A56" t="inlineStr">
        <is>
          <t>A 34361-2025</t>
        </is>
      </c>
      <c r="B56" t="inlineStr">
        <is>
          <t>avverkningsanmälan</t>
        </is>
      </c>
      <c r="C56" t="inlineStr">
        <is>
          <t>Föryngringsavverkning</t>
        </is>
      </c>
      <c r="D56" s="1" t="n">
        <v>45846</v>
      </c>
      <c r="E56" s="1" t="n">
        <v>46221</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s="2" t="inlineStr">
        <is>
          <t>Spillkråka
Revlummer</t>
        </is>
      </c>
      <c r="V56">
        <f>HYPERLINK("https://klasma.github.io/Logging_2581/artfynd/A 34361-2025 artfynd.xlsx", "A 34361-2025")</f>
        <v/>
      </c>
      <c r="W56">
        <f>HYPERLINK("https://klasma.github.io/Logging_2581/kartor/A 34361-2025 karta.png", "A 34361-2025")</f>
        <v/>
      </c>
      <c r="Y56">
        <f>HYPERLINK("https://klasma.github.io/Logging_2581/klagomål/A 34361-2025 FSC-klagomål.docx", "A 34361-2025")</f>
        <v/>
      </c>
      <c r="Z56">
        <f>HYPERLINK("https://klasma.github.io/Logging_2581/klagomålsmail/A 34361-2025 FSC-klagomål mail.docx", "A 34361-2025")</f>
        <v/>
      </c>
      <c r="AA56">
        <f>HYPERLINK("https://klasma.github.io/Logging_2581/tillsyn/A 34361-2025 tillsynsbegäran.docx", "A 34361-2025")</f>
        <v/>
      </c>
      <c r="AB56">
        <f>HYPERLINK("https://klasma.github.io/Logging_2581/tillsynsmail/A 34361-2025 tillsynsbegäran mail.docx", "A 34361-2025")</f>
        <v/>
      </c>
      <c r="AC56">
        <f>HYPERLINK("https://klasma.github.io/Logging_2581/fåglar/A 34361-2025 prioriterade fågelarter.docx", "A 34361-2025")</f>
        <v/>
      </c>
    </row>
    <row r="57" ht="15" customHeight="1">
      <c r="A57" t="inlineStr">
        <is>
          <t>A 26710-2026</t>
        </is>
      </c>
      <c r="B57" t="inlineStr">
        <is>
          <t>avverkningsanmälan</t>
        </is>
      </c>
      <c r="C57" t="inlineStr">
        <is>
          <t>Föryngringsavverkning</t>
        </is>
      </c>
      <c r="D57" s="1" t="n">
        <v>46184</v>
      </c>
      <c r="E57" s="1" t="n">
        <v>46221</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Y57">
        <f>HYPERLINK("https://klasma.github.io/Logging_2581/klagomål/A 26710-2026 FSC-klagomål.docx", "A 26710-2026")</f>
        <v/>
      </c>
      <c r="Z57">
        <f>HYPERLINK("https://klasma.github.io/Logging_2581/klagomålsmail/A 26710-2026 FSC-klagomål mail.docx", "A 26710-2026")</f>
        <v/>
      </c>
      <c r="AA57">
        <f>HYPERLINK("https://klasma.github.io/Logging_2581/tillsyn/A 26710-2026 tillsynsbegäran.docx", "A 26710-2026")</f>
        <v/>
      </c>
      <c r="AB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46221</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46221</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46221</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46221</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Y61">
        <f>HYPERLINK("https://klasma.github.io/Logging_2581/klagomål/A 71278-2021 FSC-klagomål.docx", "A 71278-2021")</f>
        <v/>
      </c>
      <c r="Z61">
        <f>HYPERLINK("https://klasma.github.io/Logging_2581/klagomålsmail/A 71278-2021 FSC-klagomål mail.docx", "A 71278-2021")</f>
        <v/>
      </c>
      <c r="AA61">
        <f>HYPERLINK("https://klasma.github.io/Logging_2581/tillsyn/A 71278-2021 tillsynsbegäran.docx", "A 71278-2021")</f>
        <v/>
      </c>
      <c r="AB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46221</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s="2" t="inlineStr">
        <is>
          <t>Flodpärlmussla</t>
        </is>
      </c>
      <c r="V62">
        <f>HYPERLINK("https://klasma.github.io/Logging_2581/artfynd/A 42379-2024 artfynd.xlsx", "A 42379-2024")</f>
        <v/>
      </c>
      <c r="W62">
        <f>HYPERLINK("https://klasma.github.io/Logging_2581/kartor/A 42379-2024 karta.png", "A 42379-2024")</f>
        <v/>
      </c>
      <c r="Y62">
        <f>HYPERLINK("https://klasma.github.io/Logging_2581/klagomål/A 42379-2024 FSC-klagomål.docx", "A 42379-2024")</f>
        <v/>
      </c>
      <c r="Z62">
        <f>HYPERLINK("https://klasma.github.io/Logging_2581/klagomålsmail/A 42379-2024 FSC-klagomål mail.docx", "A 42379-2024")</f>
        <v/>
      </c>
      <c r="AA62">
        <f>HYPERLINK("https://klasma.github.io/Logging_2581/tillsyn/A 42379-2024 tillsynsbegäran.docx", "A 42379-2024")</f>
        <v/>
      </c>
      <c r="AB62">
        <f>HYPERLINK("https://klasma.github.io/Logging_2581/tillsynsmail/A 42379-2024 tillsynsbegäran mail.docx", "A 42379-2024")</f>
        <v/>
      </c>
    </row>
    <row r="63" ht="15" customHeight="1">
      <c r="A63" t="inlineStr">
        <is>
          <t>A 9007-2024</t>
        </is>
      </c>
      <c r="B63" t="inlineStr">
        <is>
          <t>avverkningsanmälan</t>
        </is>
      </c>
      <c r="C63" t="inlineStr">
        <is>
          <t>Föryngringsavverkning</t>
        </is>
      </c>
      <c r="D63" s="1" t="n">
        <v>45356</v>
      </c>
      <c r="E63" s="1" t="n">
        <v>46221</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s="2" t="inlineStr">
        <is>
          <t>Norna</t>
        </is>
      </c>
      <c r="V63">
        <f>HYPERLINK("https://klasma.github.io/Logging_2581/artfynd/A 9007-2024 artfynd.xlsx", "A 9007-2024")</f>
        <v/>
      </c>
      <c r="W63">
        <f>HYPERLINK("https://klasma.github.io/Logging_2581/kartor/A 9007-2024 karta.png", "A 9007-2024")</f>
        <v/>
      </c>
      <c r="Y63">
        <f>HYPERLINK("https://klasma.github.io/Logging_2581/klagomål/A 9007-2024 FSC-klagomål.docx", "A 9007-2024")</f>
        <v/>
      </c>
      <c r="Z63">
        <f>HYPERLINK("https://klasma.github.io/Logging_2581/klagomålsmail/A 9007-2024 FSC-klagomål mail.docx", "A 9007-2024")</f>
        <v/>
      </c>
      <c r="AA63">
        <f>HYPERLINK("https://klasma.github.io/Logging_2581/tillsyn/A 9007-2024 tillsynsbegäran.docx", "A 9007-2024")</f>
        <v/>
      </c>
      <c r="AB63">
        <f>HYPERLINK("https://klasma.github.io/Logging_2581/tillsynsmail/A 9007-2024 tillsynsbegäran mail.docx", "A 9007-2024")</f>
        <v/>
      </c>
    </row>
    <row r="64" ht="15" customHeight="1">
      <c r="A64" t="inlineStr">
        <is>
          <t>A 41703-2025</t>
        </is>
      </c>
      <c r="B64" t="inlineStr">
        <is>
          <t>avverkningsanmälan</t>
        </is>
      </c>
      <c r="C64" t="inlineStr">
        <is>
          <t>Föryngringsavverkning</t>
        </is>
      </c>
      <c r="D64" s="1" t="n">
        <v>45902</v>
      </c>
      <c r="E64" s="1" t="n">
        <v>46221</v>
      </c>
      <c r="F64" t="inlineStr">
        <is>
          <t>NORRBOTTENS LÄN</t>
        </is>
      </c>
      <c r="G64" t="inlineStr">
        <is>
          <t>PITEÅ</t>
        </is>
      </c>
      <c r="I64" t="n">
        <v>3.2</v>
      </c>
      <c r="J64" t="n">
        <v>0</v>
      </c>
      <c r="K64" t="n">
        <v>1</v>
      </c>
      <c r="L64" t="n">
        <v>0</v>
      </c>
      <c r="M64" t="n">
        <v>0</v>
      </c>
      <c r="N64" t="n">
        <v>0</v>
      </c>
      <c r="O64" t="n">
        <v>0</v>
      </c>
      <c r="P64" t="n">
        <v>0</v>
      </c>
      <c r="Q64" t="n">
        <v>0</v>
      </c>
      <c r="R64" t="n">
        <v>0</v>
      </c>
      <c r="S64" t="n">
        <v>1</v>
      </c>
      <c r="T64" t="n">
        <v>1</v>
      </c>
      <c r="U64" s="2" t="inlineStr">
        <is>
          <t>Skinnlav</t>
        </is>
      </c>
      <c r="V64">
        <f>HYPERLINK("https://klasma.github.io/Logging_2581/artfynd/A 41703-2025 artfynd.xlsx", "A 41703-2025")</f>
        <v/>
      </c>
      <c r="W64">
        <f>HYPERLINK("https://klasma.github.io/Logging_2581/kartor/A 41703-2025 karta.png", "A 41703-2025")</f>
        <v/>
      </c>
      <c r="Y64">
        <f>HYPERLINK("https://klasma.github.io/Logging_2581/klagomål/A 41703-2025 FSC-klagomål.docx", "A 41703-2025")</f>
        <v/>
      </c>
      <c r="Z64">
        <f>HYPERLINK("https://klasma.github.io/Logging_2581/klagomålsmail/A 41703-2025 FSC-klagomål mail.docx", "A 41703-2025")</f>
        <v/>
      </c>
      <c r="AA64">
        <f>HYPERLINK("https://klasma.github.io/Logging_2581/tillsyn/A 41703-2025 tillsynsbegäran.docx", "A 41703-2025")</f>
        <v/>
      </c>
      <c r="AB64">
        <f>HYPERLINK("https://klasma.github.io/Logging_2581/tillsynsmail/A 41703-2025 tillsynsbegäran mail.docx", "A 41703-2025")</f>
        <v/>
      </c>
    </row>
    <row r="65" ht="15" customHeight="1">
      <c r="A65" t="inlineStr">
        <is>
          <t>A 30602-2025</t>
        </is>
      </c>
      <c r="B65" t="inlineStr">
        <is>
          <t>avverkningsanmälan</t>
        </is>
      </c>
      <c r="C65" t="inlineStr">
        <is>
          <t>Föryngringsavverkning</t>
        </is>
      </c>
      <c r="D65" s="1" t="n">
        <v>45831</v>
      </c>
      <c r="E65" s="1" t="n">
        <v>46221</v>
      </c>
      <c r="F65" t="inlineStr">
        <is>
          <t>NORRBOTTENS LÄN</t>
        </is>
      </c>
      <c r="G65" t="inlineStr">
        <is>
          <t>PITEÅ</t>
        </is>
      </c>
      <c r="H65" t="inlineStr">
        <is>
          <t>Sveaskog</t>
        </is>
      </c>
      <c r="I65" t="n">
        <v>7.8</v>
      </c>
      <c r="J65" t="n">
        <v>0</v>
      </c>
      <c r="K65" t="n">
        <v>0</v>
      </c>
      <c r="L65" t="n">
        <v>1</v>
      </c>
      <c r="M65" t="n">
        <v>0</v>
      </c>
      <c r="N65" t="n">
        <v>0</v>
      </c>
      <c r="O65" t="n">
        <v>0</v>
      </c>
      <c r="P65" t="n">
        <v>0</v>
      </c>
      <c r="Q65" t="n">
        <v>1</v>
      </c>
      <c r="R65" t="n">
        <v>0</v>
      </c>
      <c r="S65" t="n">
        <v>1</v>
      </c>
      <c r="T65" t="n">
        <v>1</v>
      </c>
      <c r="U65" s="2" t="inlineStr">
        <is>
          <t>Lunglav</t>
        </is>
      </c>
      <c r="V65">
        <f>HYPERLINK("https://klasma.github.io/Logging_2581/artfynd/A 30602-2025 artfynd.xlsx", "A 30602-2025")</f>
        <v/>
      </c>
      <c r="W65">
        <f>HYPERLINK("https://klasma.github.io/Logging_2581/kartor/A 30602-2025 karta.png", "A 30602-2025")</f>
        <v/>
      </c>
      <c r="Y65">
        <f>HYPERLINK("https://klasma.github.io/Logging_2581/klagomål/A 30602-2025 FSC-klagomål.docx", "A 30602-2025")</f>
        <v/>
      </c>
      <c r="Z65">
        <f>HYPERLINK("https://klasma.github.io/Logging_2581/klagomålsmail/A 30602-2025 FSC-klagomål mail.docx", "A 30602-2025")</f>
        <v/>
      </c>
      <c r="AA65">
        <f>HYPERLINK("https://klasma.github.io/Logging_2581/tillsyn/A 30602-2025 tillsynsbegäran.docx", "A 30602-2025")</f>
        <v/>
      </c>
      <c r="AB65">
        <f>HYPERLINK("https://klasma.github.io/Logging_2581/tillsynsmail/A 30602-2025 tillsynsbegäran mail.docx", "A 30602-2025")</f>
        <v/>
      </c>
    </row>
    <row r="66" ht="15" customHeight="1">
      <c r="A66" t="inlineStr">
        <is>
          <t>A 5113-2026</t>
        </is>
      </c>
      <c r="B66" t="inlineStr">
        <is>
          <t>avverkningsanmälan</t>
        </is>
      </c>
      <c r="C66" t="inlineStr">
        <is>
          <t>Föryngringsavverkning</t>
        </is>
      </c>
      <c r="D66" s="1" t="n">
        <v>46049</v>
      </c>
      <c r="E66" s="1" t="n">
        <v>46221</v>
      </c>
      <c r="F66" t="inlineStr">
        <is>
          <t>NORRBOTTENS LÄN</t>
        </is>
      </c>
      <c r="G66" t="inlineStr">
        <is>
          <t>PITEÅ</t>
        </is>
      </c>
      <c r="I66" t="n">
        <v>4.6</v>
      </c>
      <c r="J66" t="n">
        <v>0</v>
      </c>
      <c r="K66" t="n">
        <v>0</v>
      </c>
      <c r="L66" t="n">
        <v>0</v>
      </c>
      <c r="M66" t="n">
        <v>1</v>
      </c>
      <c r="N66" t="n">
        <v>0</v>
      </c>
      <c r="O66" t="n">
        <v>0</v>
      </c>
      <c r="P66" t="n">
        <v>0</v>
      </c>
      <c r="Q66" t="n">
        <v>1</v>
      </c>
      <c r="R66" t="n">
        <v>1</v>
      </c>
      <c r="S66" t="n">
        <v>1</v>
      </c>
      <c r="T66" t="n">
        <v>1</v>
      </c>
      <c r="U66" s="2" t="inlineStr">
        <is>
          <t>Garnlav</t>
        </is>
      </c>
      <c r="V66">
        <f>HYPERLINK("https://klasma.github.io/Logging_2581/artfynd/A 5113-2026 artfynd.xlsx", "A 5113-2026")</f>
        <v/>
      </c>
      <c r="W66">
        <f>HYPERLINK("https://klasma.github.io/Logging_2581/kartor/A 5113-2026 karta.png", "A 5113-2026")</f>
        <v/>
      </c>
      <c r="Y66">
        <f>HYPERLINK("https://klasma.github.io/Logging_2581/klagomål/A 5113-2026 FSC-klagomål.docx", "A 5113-2026")</f>
        <v/>
      </c>
      <c r="Z66">
        <f>HYPERLINK("https://klasma.github.io/Logging_2581/klagomålsmail/A 5113-2026 FSC-klagomål mail.docx", "A 5113-2026")</f>
        <v/>
      </c>
      <c r="AA66">
        <f>HYPERLINK("https://klasma.github.io/Logging_2581/tillsyn/A 5113-2026 tillsynsbegäran.docx", "A 5113-2026")</f>
        <v/>
      </c>
      <c r="AB66">
        <f>HYPERLINK("https://klasma.github.io/Logging_2581/tillsynsmail/A 5113-2026 tillsynsbegäran mail.docx", "A 5113-2026")</f>
        <v/>
      </c>
    </row>
    <row r="67" ht="15" customHeight="1">
      <c r="A67" t="inlineStr">
        <is>
          <t>A 43147-2025</t>
        </is>
      </c>
      <c r="B67" t="inlineStr">
        <is>
          <t>avverkningsanmälan</t>
        </is>
      </c>
      <c r="C67" t="inlineStr">
        <is>
          <t>Föryngringsavverkning</t>
        </is>
      </c>
      <c r="D67" s="1" t="n">
        <v>45910</v>
      </c>
      <c r="E67" s="1" t="n">
        <v>46221</v>
      </c>
      <c r="F67" t="inlineStr">
        <is>
          <t>NORRBOTTENS LÄN</t>
        </is>
      </c>
      <c r="G67" t="inlineStr">
        <is>
          <t>PITEÅ</t>
        </is>
      </c>
      <c r="H67" t="inlineStr">
        <is>
          <t>Sveaskog</t>
        </is>
      </c>
      <c r="I67" t="n">
        <v>3</v>
      </c>
      <c r="J67" t="n">
        <v>0</v>
      </c>
      <c r="K67" t="n">
        <v>0</v>
      </c>
      <c r="L67" t="n">
        <v>1</v>
      </c>
      <c r="M67" t="n">
        <v>0</v>
      </c>
      <c r="N67" t="n">
        <v>0</v>
      </c>
      <c r="O67" t="n">
        <v>0</v>
      </c>
      <c r="P67" t="n">
        <v>0</v>
      </c>
      <c r="Q67" t="n">
        <v>1</v>
      </c>
      <c r="R67" t="n">
        <v>0</v>
      </c>
      <c r="S67" t="n">
        <v>1</v>
      </c>
      <c r="T67" t="n">
        <v>1</v>
      </c>
      <c r="U67" s="2" t="inlineStr">
        <is>
          <t>Gammelgransskål</t>
        </is>
      </c>
      <c r="V67">
        <f>HYPERLINK("https://klasma.github.io/Logging_2581/artfynd/A 43147-2025 artfynd.xlsx", "A 43147-2025")</f>
        <v/>
      </c>
      <c r="W67">
        <f>HYPERLINK("https://klasma.github.io/Logging_2581/kartor/A 43147-2025 karta.png", "A 43147-2025")</f>
        <v/>
      </c>
      <c r="Y67">
        <f>HYPERLINK("https://klasma.github.io/Logging_2581/klagomål/A 43147-2025 FSC-klagomål.docx", "A 43147-2025")</f>
        <v/>
      </c>
      <c r="Z67">
        <f>HYPERLINK("https://klasma.github.io/Logging_2581/klagomålsmail/A 43147-2025 FSC-klagomål mail.docx", "A 43147-2025")</f>
        <v/>
      </c>
      <c r="AA67">
        <f>HYPERLINK("https://klasma.github.io/Logging_2581/tillsyn/A 43147-2025 tillsynsbegäran.docx", "A 43147-2025")</f>
        <v/>
      </c>
      <c r="AB67">
        <f>HYPERLINK("https://klasma.github.io/Logging_2581/tillsynsmail/A 43147-2025 tillsynsbegäran mail.docx", "A 43147-2025")</f>
        <v/>
      </c>
    </row>
    <row r="68" ht="15" customHeight="1">
      <c r="A68" t="inlineStr">
        <is>
          <t>A 50015-2021</t>
        </is>
      </c>
      <c r="B68" t="inlineStr">
        <is>
          <t>avverkningsanmälan</t>
        </is>
      </c>
      <c r="C68" t="inlineStr">
        <is>
          <t>Föryngringsavverkning</t>
        </is>
      </c>
      <c r="D68" s="1" t="n">
        <v>44454</v>
      </c>
      <c r="E68" s="1" t="n">
        <v>46221</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s="2" t="inlineStr">
        <is>
          <t>Vanlig groda</t>
        </is>
      </c>
      <c r="V68">
        <f>HYPERLINK("https://klasma.github.io/Logging_2581/artfynd/A 50015-2021 artfynd.xlsx", "A 50015-2021")</f>
        <v/>
      </c>
      <c r="W68">
        <f>HYPERLINK("https://klasma.github.io/Logging_2581/kartor/A 50015-2021 karta.png", "A 50015-2021")</f>
        <v/>
      </c>
      <c r="Y68">
        <f>HYPERLINK("https://klasma.github.io/Logging_2581/klagomål/A 50015-2021 FSC-klagomål.docx", "A 50015-2021")</f>
        <v/>
      </c>
      <c r="Z68">
        <f>HYPERLINK("https://klasma.github.io/Logging_2581/klagomålsmail/A 50015-2021 FSC-klagomål mail.docx", "A 50015-2021")</f>
        <v/>
      </c>
      <c r="AA68">
        <f>HYPERLINK("https://klasma.github.io/Logging_2581/tillsyn/A 50015-2021 tillsynsbegäran.docx", "A 50015-2021")</f>
        <v/>
      </c>
      <c r="AB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46221</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s="2" t="inlineStr">
        <is>
          <t>Blodticka</t>
        </is>
      </c>
      <c r="V69">
        <f>HYPERLINK("https://klasma.github.io/Logging_2581/artfynd/A 50080-2024 artfynd.xlsx", "A 50080-2024")</f>
        <v/>
      </c>
      <c r="W69">
        <f>HYPERLINK("https://klasma.github.io/Logging_2581/kartor/A 50080-2024 karta.png", "A 50080-2024")</f>
        <v/>
      </c>
      <c r="Y69">
        <f>HYPERLINK("https://klasma.github.io/Logging_2581/klagomål/A 50080-2024 FSC-klagomål.docx", "A 50080-2024")</f>
        <v/>
      </c>
      <c r="Z69">
        <f>HYPERLINK("https://klasma.github.io/Logging_2581/klagomålsmail/A 50080-2024 FSC-klagomål mail.docx", "A 50080-2024")</f>
        <v/>
      </c>
      <c r="AA69">
        <f>HYPERLINK("https://klasma.github.io/Logging_2581/tillsyn/A 50080-2024 tillsynsbegäran.docx", "A 50080-2024")</f>
        <v/>
      </c>
      <c r="AB69">
        <f>HYPERLINK("https://klasma.github.io/Logging_2581/tillsynsmail/A 50080-2024 tillsynsbegäran mail.docx", "A 50080-2024")</f>
        <v/>
      </c>
    </row>
    <row r="70" ht="15" customHeight="1">
      <c r="A70" t="inlineStr">
        <is>
          <t>A 44447-2025</t>
        </is>
      </c>
      <c r="B70" t="inlineStr">
        <is>
          <t>avverkningsanmälan</t>
        </is>
      </c>
      <c r="C70" t="inlineStr">
        <is>
          <t>Föryngringsavverkning</t>
        </is>
      </c>
      <c r="D70" s="1" t="n">
        <v>45916</v>
      </c>
      <c r="E70" s="1" t="n">
        <v>46221</v>
      </c>
      <c r="F70" t="inlineStr">
        <is>
          <t>NORRBOTTENS LÄN</t>
        </is>
      </c>
      <c r="G70" t="inlineStr">
        <is>
          <t>PITEÅ</t>
        </is>
      </c>
      <c r="H70" t="inlineStr">
        <is>
          <t>Sveaskog</t>
        </is>
      </c>
      <c r="I70" t="n">
        <v>35.9</v>
      </c>
      <c r="J70" t="n">
        <v>0</v>
      </c>
      <c r="K70" t="n">
        <v>0</v>
      </c>
      <c r="L70" t="n">
        <v>1</v>
      </c>
      <c r="M70" t="n">
        <v>0</v>
      </c>
      <c r="N70" t="n">
        <v>0</v>
      </c>
      <c r="O70" t="n">
        <v>0</v>
      </c>
      <c r="P70" t="n">
        <v>0</v>
      </c>
      <c r="Q70" t="n">
        <v>1</v>
      </c>
      <c r="R70" t="n">
        <v>0</v>
      </c>
      <c r="S70" t="n">
        <v>1</v>
      </c>
      <c r="T70" t="n">
        <v>1</v>
      </c>
      <c r="U70" s="2" t="inlineStr">
        <is>
          <t>Gammelgransskål</t>
        </is>
      </c>
      <c r="V70">
        <f>HYPERLINK("https://klasma.github.io/Logging_2581/artfynd/A 44447-2025 artfynd.xlsx", "A 44447-2025")</f>
        <v/>
      </c>
      <c r="W70">
        <f>HYPERLINK("https://klasma.github.io/Logging_2581/kartor/A 44447-2025 karta.png", "A 44447-2025")</f>
        <v/>
      </c>
      <c r="Y70">
        <f>HYPERLINK("https://klasma.github.io/Logging_2581/klagomål/A 44447-2025 FSC-klagomål.docx", "A 44447-2025")</f>
        <v/>
      </c>
      <c r="Z70">
        <f>HYPERLINK("https://klasma.github.io/Logging_2581/klagomålsmail/A 44447-2025 FSC-klagomål mail.docx", "A 44447-2025")</f>
        <v/>
      </c>
      <c r="AA70">
        <f>HYPERLINK("https://klasma.github.io/Logging_2581/tillsyn/A 44447-2025 tillsynsbegäran.docx", "A 44447-2025")</f>
        <v/>
      </c>
      <c r="AB70">
        <f>HYPERLINK("https://klasma.github.io/Logging_2581/tillsynsmail/A 44447-2025 tillsynsbegäran mail.docx", "A 44447-2025")</f>
        <v/>
      </c>
    </row>
    <row r="71" ht="15" customHeight="1">
      <c r="A71" t="inlineStr">
        <is>
          <t>A 44858-2025</t>
        </is>
      </c>
      <c r="B71" t="inlineStr">
        <is>
          <t>avverkningsanmälan</t>
        </is>
      </c>
      <c r="C71" t="inlineStr">
        <is>
          <t>Föryngringsavverkning</t>
        </is>
      </c>
      <c r="D71" s="1" t="n">
        <v>45918</v>
      </c>
      <c r="E71" s="1" t="n">
        <v>46221</v>
      </c>
      <c r="F71" t="inlineStr">
        <is>
          <t>NORRBOTTENS LÄN</t>
        </is>
      </c>
      <c r="G71" t="inlineStr">
        <is>
          <t>PITEÅ</t>
        </is>
      </c>
      <c r="I71" t="n">
        <v>2.1</v>
      </c>
      <c r="J71" t="n">
        <v>1</v>
      </c>
      <c r="K71" t="n">
        <v>0</v>
      </c>
      <c r="L71" t="n">
        <v>1</v>
      </c>
      <c r="M71" t="n">
        <v>0</v>
      </c>
      <c r="N71" t="n">
        <v>0</v>
      </c>
      <c r="O71" t="n">
        <v>0</v>
      </c>
      <c r="P71" t="n">
        <v>0</v>
      </c>
      <c r="Q71" t="n">
        <v>1</v>
      </c>
      <c r="R71" t="n">
        <v>0</v>
      </c>
      <c r="S71" t="n">
        <v>1</v>
      </c>
      <c r="T71" t="n">
        <v>2</v>
      </c>
      <c r="U71" s="2" t="inlineStr">
        <is>
          <t>Talltita</t>
        </is>
      </c>
      <c r="V71">
        <f>HYPERLINK("https://klasma.github.io/Logging_2581/artfynd/A 44858-2025 artfynd.xlsx", "A 44858-2025")</f>
        <v/>
      </c>
      <c r="W71">
        <f>HYPERLINK("https://klasma.github.io/Logging_2581/kartor/A 44858-2025 karta.png", "A 44858-2025")</f>
        <v/>
      </c>
      <c r="Y71">
        <f>HYPERLINK("https://klasma.github.io/Logging_2581/klagomål/A 44858-2025 FSC-klagomål.docx", "A 44858-2025")</f>
        <v/>
      </c>
      <c r="Z71">
        <f>HYPERLINK("https://klasma.github.io/Logging_2581/klagomålsmail/A 44858-2025 FSC-klagomål mail.docx", "A 44858-2025")</f>
        <v/>
      </c>
      <c r="AA71">
        <f>HYPERLINK("https://klasma.github.io/Logging_2581/tillsyn/A 44858-2025 tillsynsbegäran.docx", "A 44858-2025")</f>
        <v/>
      </c>
      <c r="AB71">
        <f>HYPERLINK("https://klasma.github.io/Logging_2581/tillsynsmail/A 44858-2025 tillsynsbegäran mail.docx", "A 44858-2025")</f>
        <v/>
      </c>
      <c r="AC71">
        <f>HYPERLINK("https://klasma.github.io/Logging_2581/fåglar/A 44858-2025 prioriterade fågelarter.docx", "A 44858-2025")</f>
        <v/>
      </c>
    </row>
    <row r="72" ht="15" customHeight="1">
      <c r="A72" t="inlineStr">
        <is>
          <t>A 45629-2025</t>
        </is>
      </c>
      <c r="B72" t="inlineStr">
        <is>
          <t>avverkningsanmälan</t>
        </is>
      </c>
      <c r="C72" t="inlineStr">
        <is>
          <t>Föryngringsavverkning</t>
        </is>
      </c>
      <c r="D72" s="1" t="n">
        <v>45922</v>
      </c>
      <c r="E72" s="1" t="n">
        <v>46221</v>
      </c>
      <c r="F72" t="inlineStr">
        <is>
          <t>NORRBOTTENS LÄN</t>
        </is>
      </c>
      <c r="G72" t="inlineStr">
        <is>
          <t>PITEÅ</t>
        </is>
      </c>
      <c r="H72" t="inlineStr">
        <is>
          <t>Sveaskog</t>
        </is>
      </c>
      <c r="I72" t="n">
        <v>10.3</v>
      </c>
      <c r="J72" t="n">
        <v>0</v>
      </c>
      <c r="K72" t="n">
        <v>0</v>
      </c>
      <c r="L72" t="n">
        <v>0</v>
      </c>
      <c r="M72" t="n">
        <v>1</v>
      </c>
      <c r="N72" t="n">
        <v>0</v>
      </c>
      <c r="O72" t="n">
        <v>0</v>
      </c>
      <c r="P72" t="n">
        <v>0</v>
      </c>
      <c r="Q72" t="n">
        <v>1</v>
      </c>
      <c r="R72" t="n">
        <v>1</v>
      </c>
      <c r="S72" t="n">
        <v>1</v>
      </c>
      <c r="T72" t="n">
        <v>1</v>
      </c>
      <c r="U72" s="2" t="inlineStr">
        <is>
          <t>Garnlav</t>
        </is>
      </c>
      <c r="V72">
        <f>HYPERLINK("https://klasma.github.io/Logging_2581/artfynd/A 45629-2025 artfynd.xlsx", "A 45629-2025")</f>
        <v/>
      </c>
      <c r="W72">
        <f>HYPERLINK("https://klasma.github.io/Logging_2581/kartor/A 45629-2025 karta.png", "A 45629-2025")</f>
        <v/>
      </c>
      <c r="Y72">
        <f>HYPERLINK("https://klasma.github.io/Logging_2581/klagomål/A 45629-2025 FSC-klagomål.docx", "A 45629-2025")</f>
        <v/>
      </c>
      <c r="Z72">
        <f>HYPERLINK("https://klasma.github.io/Logging_2581/klagomålsmail/A 45629-2025 FSC-klagomål mail.docx", "A 45629-2025")</f>
        <v/>
      </c>
      <c r="AA72">
        <f>HYPERLINK("https://klasma.github.io/Logging_2581/tillsyn/A 45629-2025 tillsynsbegäran.docx", "A 45629-2025")</f>
        <v/>
      </c>
      <c r="AB72">
        <f>HYPERLINK("https://klasma.github.io/Logging_2581/tillsynsmail/A 45629-2025 tillsynsbegäran mail.docx", "A 45629-2025")</f>
        <v/>
      </c>
    </row>
    <row r="73" ht="15" customHeight="1">
      <c r="A73" t="inlineStr">
        <is>
          <t>A 6217-2026</t>
        </is>
      </c>
      <c r="B73" t="inlineStr">
        <is>
          <t>avverkningsanmälan</t>
        </is>
      </c>
      <c r="C73" t="inlineStr">
        <is>
          <t>Föryngringsavverkning</t>
        </is>
      </c>
      <c r="D73" s="1" t="n">
        <v>46055</v>
      </c>
      <c r="E73" s="1" t="n">
        <v>46221</v>
      </c>
      <c r="F73" t="inlineStr">
        <is>
          <t>NORRBOTTENS LÄN</t>
        </is>
      </c>
      <c r="G73" t="inlineStr">
        <is>
          <t>PITEÅ</t>
        </is>
      </c>
      <c r="I73" t="n">
        <v>1.2</v>
      </c>
      <c r="J73" t="n">
        <v>1</v>
      </c>
      <c r="K73" t="n">
        <v>0</v>
      </c>
      <c r="L73" t="n">
        <v>0</v>
      </c>
      <c r="M73" t="n">
        <v>0</v>
      </c>
      <c r="N73" t="n">
        <v>0</v>
      </c>
      <c r="O73" t="n">
        <v>0</v>
      </c>
      <c r="P73" t="n">
        <v>0</v>
      </c>
      <c r="Q73" t="n">
        <v>0</v>
      </c>
      <c r="R73" t="n">
        <v>0</v>
      </c>
      <c r="S73" t="n">
        <v>1</v>
      </c>
      <c r="T73" t="n">
        <v>1</v>
      </c>
      <c r="U73" s="2" t="inlineStr">
        <is>
          <t>Fläcknycklar</t>
        </is>
      </c>
      <c r="V73">
        <f>HYPERLINK("https://klasma.github.io/Logging_2581/artfynd/A 6217-2026 artfynd.xlsx", "A 6217-2026")</f>
        <v/>
      </c>
      <c r="W73">
        <f>HYPERLINK("https://klasma.github.io/Logging_2581/kartor/A 6217-2026 karta.png", "A 6217-2026")</f>
        <v/>
      </c>
      <c r="Y73">
        <f>HYPERLINK("https://klasma.github.io/Logging_2581/klagomål/A 6217-2026 FSC-klagomål.docx", "A 6217-2026")</f>
        <v/>
      </c>
      <c r="Z73">
        <f>HYPERLINK("https://klasma.github.io/Logging_2581/klagomålsmail/A 6217-2026 FSC-klagomål mail.docx", "A 6217-2026")</f>
        <v/>
      </c>
      <c r="AA73">
        <f>HYPERLINK("https://klasma.github.io/Logging_2581/tillsyn/A 6217-2026 tillsynsbegäran.docx", "A 6217-2026")</f>
        <v/>
      </c>
      <c r="AB73">
        <f>HYPERLINK("https://klasma.github.io/Logging_2581/tillsynsmail/A 6217-2026 tillsynsbegäran mail.docx", "A 6217-2026")</f>
        <v/>
      </c>
    </row>
    <row r="74" ht="15" customHeight="1">
      <c r="A74" t="inlineStr">
        <is>
          <t>A 56501-2023</t>
        </is>
      </c>
      <c r="B74" t="inlineStr">
        <is>
          <t>avverkningsanmälan</t>
        </is>
      </c>
      <c r="C74" t="inlineStr">
        <is>
          <t>Föryngringsavverkning</t>
        </is>
      </c>
      <c r="D74" s="1" t="n">
        <v>45243</v>
      </c>
      <c r="E74" s="1" t="n">
        <v>46221</v>
      </c>
      <c r="F74" t="inlineStr">
        <is>
          <t>NORRBOTTENS LÄN</t>
        </is>
      </c>
      <c r="G74" t="inlineStr">
        <is>
          <t>PITEÅ</t>
        </is>
      </c>
      <c r="H74" t="inlineStr">
        <is>
          <t>Sveaskog</t>
        </is>
      </c>
      <c r="I74" t="n">
        <v>1.1</v>
      </c>
      <c r="J74" t="n">
        <v>0</v>
      </c>
      <c r="K74" t="n">
        <v>1</v>
      </c>
      <c r="L74" t="n">
        <v>0</v>
      </c>
      <c r="M74" t="n">
        <v>0</v>
      </c>
      <c r="N74" t="n">
        <v>0</v>
      </c>
      <c r="O74" t="n">
        <v>0</v>
      </c>
      <c r="P74" t="n">
        <v>0</v>
      </c>
      <c r="Q74" t="n">
        <v>0</v>
      </c>
      <c r="R74" t="n">
        <v>0</v>
      </c>
      <c r="S74" t="n">
        <v>1</v>
      </c>
      <c r="T74" t="n">
        <v>1</v>
      </c>
      <c r="U74" s="2" t="inlineStr">
        <is>
          <t>Vedticka</t>
        </is>
      </c>
      <c r="V74">
        <f>HYPERLINK("https://klasma.github.io/Logging_2581/artfynd/A 56501-2023 artfynd.xlsx", "A 56501-2023")</f>
        <v/>
      </c>
      <c r="W74">
        <f>HYPERLINK("https://klasma.github.io/Logging_2581/kartor/A 56501-2023 karta.png", "A 56501-2023")</f>
        <v/>
      </c>
      <c r="Y74">
        <f>HYPERLINK("https://klasma.github.io/Logging_2581/klagomål/A 56501-2023 FSC-klagomål.docx", "A 56501-2023")</f>
        <v/>
      </c>
      <c r="Z74">
        <f>HYPERLINK("https://klasma.github.io/Logging_2581/klagomålsmail/A 56501-2023 FSC-klagomål mail.docx", "A 56501-2023")</f>
        <v/>
      </c>
      <c r="AA74">
        <f>HYPERLINK("https://klasma.github.io/Logging_2581/tillsyn/A 56501-2023 tillsynsbegäran.docx", "A 56501-2023")</f>
        <v/>
      </c>
      <c r="AB74">
        <f>HYPERLINK("https://klasma.github.io/Logging_2581/tillsynsmail/A 56501-2023 tillsynsbegäran mail.docx", "A 56501-2023")</f>
        <v/>
      </c>
    </row>
    <row r="75" ht="15" customHeight="1">
      <c r="A75" t="inlineStr">
        <is>
          <t>A 37818-2024</t>
        </is>
      </c>
      <c r="B75" t="inlineStr">
        <is>
          <t>avverkningsanmälan</t>
        </is>
      </c>
      <c r="C75" t="inlineStr">
        <is>
          <t>Föryngringsavverkning</t>
        </is>
      </c>
      <c r="D75" s="1" t="n">
        <v>45544</v>
      </c>
      <c r="E75" s="1" t="n">
        <v>46221</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s="2" t="inlineStr">
        <is>
          <t>Kolflarnlav</t>
        </is>
      </c>
      <c r="V75">
        <f>HYPERLINK("https://klasma.github.io/Logging_2581/artfynd/A 37818-2024 artfynd.xlsx", "A 37818-2024")</f>
        <v/>
      </c>
      <c r="W75">
        <f>HYPERLINK("https://klasma.github.io/Logging_2581/kartor/A 37818-2024 karta.png", "A 37818-2024")</f>
        <v/>
      </c>
      <c r="Y75">
        <f>HYPERLINK("https://klasma.github.io/Logging_2581/klagomål/A 37818-2024 FSC-klagomål.docx", "A 37818-2024")</f>
        <v/>
      </c>
      <c r="Z75">
        <f>HYPERLINK("https://klasma.github.io/Logging_2581/klagomålsmail/A 37818-2024 FSC-klagomål mail.docx", "A 37818-2024")</f>
        <v/>
      </c>
      <c r="AA75">
        <f>HYPERLINK("https://klasma.github.io/Logging_2581/tillsyn/A 37818-2024 tillsynsbegäran.docx", "A 37818-2024")</f>
        <v/>
      </c>
      <c r="AB75">
        <f>HYPERLINK("https://klasma.github.io/Logging_2581/tillsynsmail/A 37818-2024 tillsynsbegäran mail.docx", "A 37818-2024")</f>
        <v/>
      </c>
    </row>
    <row r="76" ht="15" customHeight="1">
      <c r="A76" t="inlineStr">
        <is>
          <t>A 50486-2025</t>
        </is>
      </c>
      <c r="B76" t="inlineStr">
        <is>
          <t>avverkningsanmälan</t>
        </is>
      </c>
      <c r="C76" t="inlineStr">
        <is>
          <t>Föryngringsavverkning</t>
        </is>
      </c>
      <c r="D76" s="1" t="n">
        <v>45945</v>
      </c>
      <c r="E76" s="1" t="n">
        <v>46221</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s="2" t="inlineStr">
        <is>
          <t>Fläcknycklar</t>
        </is>
      </c>
      <c r="V76">
        <f>HYPERLINK("https://klasma.github.io/Logging_2581/artfynd/A 50486-2025 artfynd.xlsx", "A 50486-2025")</f>
        <v/>
      </c>
      <c r="W76">
        <f>HYPERLINK("https://klasma.github.io/Logging_2581/kartor/A 50486-2025 karta.png", "A 50486-2025")</f>
        <v/>
      </c>
      <c r="Y76">
        <f>HYPERLINK("https://klasma.github.io/Logging_2581/klagomål/A 50486-2025 FSC-klagomål.docx", "A 50486-2025")</f>
        <v/>
      </c>
      <c r="Z76">
        <f>HYPERLINK("https://klasma.github.io/Logging_2581/klagomålsmail/A 50486-2025 FSC-klagomål mail.docx", "A 50486-2025")</f>
        <v/>
      </c>
      <c r="AA76">
        <f>HYPERLINK("https://klasma.github.io/Logging_2581/tillsyn/A 50486-2025 tillsynsbegäran.docx", "A 50486-2025")</f>
        <v/>
      </c>
      <c r="AB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46221</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s="2" t="inlineStr">
        <is>
          <t>Doftticka</t>
        </is>
      </c>
      <c r="V77">
        <f>HYPERLINK("https://klasma.github.io/Logging_2581/artfynd/A 50447-2025 artfynd.xlsx", "A 50447-2025")</f>
        <v/>
      </c>
      <c r="W77">
        <f>HYPERLINK("https://klasma.github.io/Logging_2581/kartor/A 50447-2025 karta.png", "A 50447-2025")</f>
        <v/>
      </c>
      <c r="Y77">
        <f>HYPERLINK("https://klasma.github.io/Logging_2581/klagomål/A 50447-2025 FSC-klagomål.docx", "A 50447-2025")</f>
        <v/>
      </c>
      <c r="Z77">
        <f>HYPERLINK("https://klasma.github.io/Logging_2581/klagomålsmail/A 50447-2025 FSC-klagomål mail.docx", "A 50447-2025")</f>
        <v/>
      </c>
      <c r="AA77">
        <f>HYPERLINK("https://klasma.github.io/Logging_2581/tillsyn/A 50447-2025 tillsynsbegäran.docx", "A 50447-2025")</f>
        <v/>
      </c>
      <c r="AB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46221</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s="2" t="inlineStr">
        <is>
          <t>Tallticka</t>
        </is>
      </c>
      <c r="V78">
        <f>HYPERLINK("https://klasma.github.io/Logging_2581/artfynd/A 55338-2025 artfynd.xlsx", "A 55338-2025")</f>
        <v/>
      </c>
      <c r="W78">
        <f>HYPERLINK("https://klasma.github.io/Logging_2581/kartor/A 55338-2025 karta.png", "A 55338-2025")</f>
        <v/>
      </c>
      <c r="Y78">
        <f>HYPERLINK("https://klasma.github.io/Logging_2581/klagomål/A 55338-2025 FSC-klagomål.docx", "A 55338-2025")</f>
        <v/>
      </c>
      <c r="Z78">
        <f>HYPERLINK("https://klasma.github.io/Logging_2581/klagomålsmail/A 55338-2025 FSC-klagomål mail.docx", "A 55338-2025")</f>
        <v/>
      </c>
      <c r="AA78">
        <f>HYPERLINK("https://klasma.github.io/Logging_2581/tillsyn/A 55338-2025 tillsynsbegäran.docx", "A 55338-2025")</f>
        <v/>
      </c>
      <c r="AB78">
        <f>HYPERLINK("https://klasma.github.io/Logging_2581/tillsynsmail/A 55338-2025 tillsynsbegäran mail.docx", "A 55338-2025")</f>
        <v/>
      </c>
    </row>
    <row r="79" ht="15" customHeight="1">
      <c r="A79" t="inlineStr">
        <is>
          <t>A 67917-2021</t>
        </is>
      </c>
      <c r="B79" t="inlineStr">
        <is>
          <t>avverkningsanmälan</t>
        </is>
      </c>
      <c r="C79" t="inlineStr">
        <is>
          <t>Avverkning för att bevara och utveckla /försöksver</t>
        </is>
      </c>
      <c r="D79" s="1" t="n">
        <v>44525</v>
      </c>
      <c r="E79" s="1" t="n">
        <v>46221</v>
      </c>
      <c r="F79" t="inlineStr">
        <is>
          <t>NORRBOTTENS LÄN</t>
        </is>
      </c>
      <c r="G79" t="inlineStr">
        <is>
          <t>PITEÅ</t>
        </is>
      </c>
      <c r="H79" t="inlineStr">
        <is>
          <t>Sveaskog</t>
        </is>
      </c>
      <c r="I79" t="n">
        <v>4.2</v>
      </c>
      <c r="J79" t="n">
        <v>0</v>
      </c>
      <c r="K79" t="n">
        <v>1</v>
      </c>
      <c r="L79" t="n">
        <v>0</v>
      </c>
      <c r="M79" t="n">
        <v>0</v>
      </c>
      <c r="N79" t="n">
        <v>0</v>
      </c>
      <c r="O79" t="n">
        <v>0</v>
      </c>
      <c r="P79" t="n">
        <v>0</v>
      </c>
      <c r="Q79" t="n">
        <v>0</v>
      </c>
      <c r="R79" t="n">
        <v>0</v>
      </c>
      <c r="S79" t="n">
        <v>1</v>
      </c>
      <c r="T79" t="n">
        <v>1</v>
      </c>
      <c r="U79" s="2" t="inlineStr">
        <is>
          <t>Stor aspticka</t>
        </is>
      </c>
      <c r="V79">
        <f>HYPERLINK("https://klasma.github.io/Logging_2581/artfynd/A 67917-2021 artfynd.xlsx", "A 67917-2021")</f>
        <v/>
      </c>
      <c r="W79">
        <f>HYPERLINK("https://klasma.github.io/Logging_2581/kartor/A 67917-2021 karta.png", "A 67917-2021")</f>
        <v/>
      </c>
      <c r="Y79">
        <f>HYPERLINK("https://klasma.github.io/Logging_2581/klagomål/A 67917-2021 FSC-klagomål.docx", "A 67917-2021")</f>
        <v/>
      </c>
      <c r="Z79">
        <f>HYPERLINK("https://klasma.github.io/Logging_2581/klagomålsmail/A 67917-2021 FSC-klagomål mail.docx", "A 67917-2021")</f>
        <v/>
      </c>
      <c r="AA79">
        <f>HYPERLINK("https://klasma.github.io/Logging_2581/tillsyn/A 67917-2021 tillsynsbegäran.docx", "A 67917-2021")</f>
        <v/>
      </c>
      <c r="AB79">
        <f>HYPERLINK("https://klasma.github.io/Logging_2581/tillsynsmail/A 67917-2021 tillsynsbegäran mail.docx", "A 67917-2021")</f>
        <v/>
      </c>
    </row>
    <row r="80" ht="15" customHeight="1">
      <c r="A80" t="inlineStr">
        <is>
          <t>A 59828-2025</t>
        </is>
      </c>
      <c r="B80" t="inlineStr">
        <is>
          <t>avverkningsanmälan</t>
        </is>
      </c>
      <c r="C80" t="inlineStr">
        <is>
          <t>Föryngringsavverkning</t>
        </is>
      </c>
      <c r="D80" s="1" t="n">
        <v>45992</v>
      </c>
      <c r="E80" s="1" t="n">
        <v>46221</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s="2" t="inlineStr">
        <is>
          <t>Doftticka</t>
        </is>
      </c>
      <c r="V80">
        <f>HYPERLINK("https://klasma.github.io/Logging_2581/artfynd/A 59828-2025 artfynd.xlsx", "A 59828-2025")</f>
        <v/>
      </c>
      <c r="W80">
        <f>HYPERLINK("https://klasma.github.io/Logging_2581/kartor/A 59828-2025 karta.png", "A 59828-2025")</f>
        <v/>
      </c>
      <c r="Y80">
        <f>HYPERLINK("https://klasma.github.io/Logging_2581/klagomål/A 59828-2025 FSC-klagomål.docx", "A 59828-2025")</f>
        <v/>
      </c>
      <c r="Z80">
        <f>HYPERLINK("https://klasma.github.io/Logging_2581/klagomålsmail/A 59828-2025 FSC-klagomål mail.docx", "A 59828-2025")</f>
        <v/>
      </c>
      <c r="AA80">
        <f>HYPERLINK("https://klasma.github.io/Logging_2581/tillsyn/A 59828-2025 tillsynsbegäran.docx", "A 59828-2025")</f>
        <v/>
      </c>
      <c r="AB80">
        <f>HYPERLINK("https://klasma.github.io/Logging_2581/tillsynsmail/A 59828-2025 tillsynsbegäran mail.docx", "A 59828-2025")</f>
        <v/>
      </c>
    </row>
    <row r="81" ht="15" customHeight="1">
      <c r="A81" t="inlineStr">
        <is>
          <t>A 59422-2025</t>
        </is>
      </c>
      <c r="B81" t="inlineStr">
        <is>
          <t>avverkningsanmälan</t>
        </is>
      </c>
      <c r="C81" t="inlineStr">
        <is>
          <t>Föryngringsavverkning</t>
        </is>
      </c>
      <c r="D81" s="1" t="n">
        <v>45989</v>
      </c>
      <c r="E81" s="1" t="n">
        <v>46221</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s="2" t="inlineStr">
        <is>
          <t>Större aspvedbock</t>
        </is>
      </c>
      <c r="V81">
        <f>HYPERLINK("https://klasma.github.io/Logging_2581/artfynd/A 59422-2025 artfynd.xlsx", "A 59422-2025")</f>
        <v/>
      </c>
      <c r="W81">
        <f>HYPERLINK("https://klasma.github.io/Logging_2581/kartor/A 59422-2025 karta.png", "A 59422-2025")</f>
        <v/>
      </c>
      <c r="Y81">
        <f>HYPERLINK("https://klasma.github.io/Logging_2581/klagomål/A 59422-2025 FSC-klagomål.docx", "A 59422-2025")</f>
        <v/>
      </c>
      <c r="Z81">
        <f>HYPERLINK("https://klasma.github.io/Logging_2581/klagomålsmail/A 59422-2025 FSC-klagomål mail.docx", "A 59422-2025")</f>
        <v/>
      </c>
      <c r="AA81">
        <f>HYPERLINK("https://klasma.github.io/Logging_2581/tillsyn/A 59422-2025 tillsynsbegäran.docx", "A 59422-2025")</f>
        <v/>
      </c>
      <c r="AB81">
        <f>HYPERLINK("https://klasma.github.io/Logging_2581/tillsynsmail/A 59422-2025 tillsynsbegäran mail.docx", "A 59422-2025")</f>
        <v/>
      </c>
    </row>
    <row r="82" ht="15" customHeight="1">
      <c r="A82" t="inlineStr">
        <is>
          <t>A 62725-2025</t>
        </is>
      </c>
      <c r="B82" t="inlineStr">
        <is>
          <t>avverkningsanmälan</t>
        </is>
      </c>
      <c r="C82" t="inlineStr">
        <is>
          <t>Föryngringsavverkning</t>
        </is>
      </c>
      <c r="D82" s="1" t="n">
        <v>46008</v>
      </c>
      <c r="E82" s="1" t="n">
        <v>46221</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s="2" t="inlineStr">
        <is>
          <t>Vanlig groda</t>
        </is>
      </c>
      <c r="V82">
        <f>HYPERLINK("https://klasma.github.io/Logging_2581/artfynd/A 62725-2025 artfynd.xlsx", "A 62725-2025")</f>
        <v/>
      </c>
      <c r="W82">
        <f>HYPERLINK("https://klasma.github.io/Logging_2581/kartor/A 62725-2025 karta.png", "A 62725-2025")</f>
        <v/>
      </c>
      <c r="Y82">
        <f>HYPERLINK("https://klasma.github.io/Logging_2581/klagomål/A 62725-2025 FSC-klagomål.docx", "A 62725-2025")</f>
        <v/>
      </c>
      <c r="Z82">
        <f>HYPERLINK("https://klasma.github.io/Logging_2581/klagomålsmail/A 62725-2025 FSC-klagomål mail.docx", "A 62725-2025")</f>
        <v/>
      </c>
      <c r="AA82">
        <f>HYPERLINK("https://klasma.github.io/Logging_2581/tillsyn/A 62725-2025 tillsynsbegäran.docx", "A 62725-2025")</f>
        <v/>
      </c>
      <c r="AB82">
        <f>HYPERLINK("https://klasma.github.io/Logging_2581/tillsynsmail/A 62725-2025 tillsynsbegäran mail.docx", "A 62725-2025")</f>
        <v/>
      </c>
    </row>
    <row r="83" ht="15" customHeight="1">
      <c r="A83" t="inlineStr">
        <is>
          <t>A 31488-2023</t>
        </is>
      </c>
      <c r="B83" t="inlineStr">
        <is>
          <t>avverkningsanmälan</t>
        </is>
      </c>
      <c r="C83" t="inlineStr">
        <is>
          <t>Föryngringsavverkning</t>
        </is>
      </c>
      <c r="D83" s="1" t="n">
        <v>45114</v>
      </c>
      <c r="E83" s="1" t="n">
        <v>46221</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s="2" t="inlineStr">
        <is>
          <t>Motaggsvamp</t>
        </is>
      </c>
      <c r="V83">
        <f>HYPERLINK("https://klasma.github.io/Logging_2581/artfynd/A 31488-2023 artfynd.xlsx", "A 31488-2023")</f>
        <v/>
      </c>
      <c r="W83">
        <f>HYPERLINK("https://klasma.github.io/Logging_2581/kartor/A 31488-2023 karta.png", "A 31488-2023")</f>
        <v/>
      </c>
      <c r="Y83">
        <f>HYPERLINK("https://klasma.github.io/Logging_2581/klagomål/A 31488-2023 FSC-klagomål.docx", "A 31488-2023")</f>
        <v/>
      </c>
      <c r="Z83">
        <f>HYPERLINK("https://klasma.github.io/Logging_2581/klagomålsmail/A 31488-2023 FSC-klagomål mail.docx", "A 31488-2023")</f>
        <v/>
      </c>
      <c r="AA83">
        <f>HYPERLINK("https://klasma.github.io/Logging_2581/tillsyn/A 31488-2023 tillsynsbegäran.docx", "A 31488-2023")</f>
        <v/>
      </c>
      <c r="AB83">
        <f>HYPERLINK("https://klasma.github.io/Logging_2581/tillsynsmail/A 31488-2023 tillsynsbegäran mail.docx", "A 31488-2023")</f>
        <v/>
      </c>
    </row>
    <row r="84" ht="15" customHeight="1">
      <c r="A84" t="inlineStr">
        <is>
          <t>A 23075-2024</t>
        </is>
      </c>
      <c r="B84" t="inlineStr">
        <is>
          <t>avverkningsanmälan</t>
        </is>
      </c>
      <c r="C84" t="inlineStr">
        <is>
          <t>Föryngringsavverkning</t>
        </is>
      </c>
      <c r="D84" s="1" t="n">
        <v>45450</v>
      </c>
      <c r="E84" s="1" t="n">
        <v>46221</v>
      </c>
      <c r="F84" t="inlineStr">
        <is>
          <t>NORRBOTTENS LÄN</t>
        </is>
      </c>
      <c r="G84" t="inlineStr">
        <is>
          <t>PITEÅ</t>
        </is>
      </c>
      <c r="H84" t="inlineStr">
        <is>
          <t>Sveaskog</t>
        </is>
      </c>
      <c r="I84" t="n">
        <v>21.7</v>
      </c>
      <c r="J84" t="n">
        <v>0</v>
      </c>
      <c r="K84" t="n">
        <v>0</v>
      </c>
      <c r="L84" t="n">
        <v>1</v>
      </c>
      <c r="M84" t="n">
        <v>0</v>
      </c>
      <c r="N84" t="n">
        <v>0</v>
      </c>
      <c r="O84" t="n">
        <v>0</v>
      </c>
      <c r="P84" t="n">
        <v>0</v>
      </c>
      <c r="Q84" t="n">
        <v>1</v>
      </c>
      <c r="R84" t="n">
        <v>0</v>
      </c>
      <c r="S84" t="n">
        <v>1</v>
      </c>
      <c r="T84" t="n">
        <v>1</v>
      </c>
      <c r="U84" s="2" t="inlineStr">
        <is>
          <t>Violmussling</t>
        </is>
      </c>
      <c r="V84">
        <f>HYPERLINK("https://klasma.github.io/Logging_2581/artfynd/A 23075-2024 artfynd.xlsx", "A 23075-2024")</f>
        <v/>
      </c>
      <c r="W84">
        <f>HYPERLINK("https://klasma.github.io/Logging_2581/kartor/A 23075-2024 karta.png", "A 23075-2024")</f>
        <v/>
      </c>
      <c r="Y84">
        <f>HYPERLINK("https://klasma.github.io/Logging_2581/klagomål/A 23075-2024 FSC-klagomål.docx", "A 23075-2024")</f>
        <v/>
      </c>
      <c r="Z84">
        <f>HYPERLINK("https://klasma.github.io/Logging_2581/klagomålsmail/A 23075-2024 FSC-klagomål mail.docx", "A 23075-2024")</f>
        <v/>
      </c>
      <c r="AA84">
        <f>HYPERLINK("https://klasma.github.io/Logging_2581/tillsyn/A 23075-2024 tillsynsbegäran.docx", "A 23075-2024")</f>
        <v/>
      </c>
      <c r="AB84">
        <f>HYPERLINK("https://klasma.github.io/Logging_2581/tillsynsmail/A 23075-2024 tillsynsbegäran mail.docx", "A 23075-2024")</f>
        <v/>
      </c>
    </row>
    <row r="85" ht="15" customHeight="1">
      <c r="A85" t="inlineStr">
        <is>
          <t>A 60686-2024</t>
        </is>
      </c>
      <c r="B85" t="inlineStr">
        <is>
          <t>avverkningsanmälan</t>
        </is>
      </c>
      <c r="C85" t="inlineStr">
        <is>
          <t>Föryngringsavverkning</t>
        </is>
      </c>
      <c r="D85" s="1" t="n">
        <v>45644</v>
      </c>
      <c r="E85" s="1" t="n">
        <v>46221</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s="2" t="inlineStr">
        <is>
          <t>Norrlandslav</t>
        </is>
      </c>
      <c r="V85">
        <f>HYPERLINK("https://klasma.github.io/Logging_2581/artfynd/A 60686-2024 artfynd.xlsx", "A 60686-2024")</f>
        <v/>
      </c>
      <c r="W85">
        <f>HYPERLINK("https://klasma.github.io/Logging_2581/kartor/A 60686-2024 karta.png", "A 60686-2024")</f>
        <v/>
      </c>
      <c r="Y85">
        <f>HYPERLINK("https://klasma.github.io/Logging_2581/klagomål/A 60686-2024 FSC-klagomål.docx", "A 60686-2024")</f>
        <v/>
      </c>
      <c r="Z85">
        <f>HYPERLINK("https://klasma.github.io/Logging_2581/klagomålsmail/A 60686-2024 FSC-klagomål mail.docx", "A 60686-2024")</f>
        <v/>
      </c>
      <c r="AA85">
        <f>HYPERLINK("https://klasma.github.io/Logging_2581/tillsyn/A 60686-2024 tillsynsbegäran.docx", "A 60686-2024")</f>
        <v/>
      </c>
      <c r="AB85">
        <f>HYPERLINK("https://klasma.github.io/Logging_2581/tillsynsmail/A 60686-2024 tillsynsbegäran mail.docx", "A 60686-2024")</f>
        <v/>
      </c>
    </row>
    <row r="86" ht="15" customHeight="1">
      <c r="A86" t="inlineStr">
        <is>
          <t>A 67902-2021</t>
        </is>
      </c>
      <c r="B86" t="inlineStr">
        <is>
          <t>avverkningsanmälan</t>
        </is>
      </c>
      <c r="C86" t="inlineStr">
        <is>
          <t>Avverkning för att bevara och utveckla /försöksver</t>
        </is>
      </c>
      <c r="D86" s="1" t="n">
        <v>44525</v>
      </c>
      <c r="E86" s="1" t="n">
        <v>46221</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s="2" t="inlineStr">
        <is>
          <t>Stor aspticka</t>
        </is>
      </c>
      <c r="V86">
        <f>HYPERLINK("https://klasma.github.io/Logging_2581/artfynd/A 67902-2021 artfynd.xlsx", "A 67902-2021")</f>
        <v/>
      </c>
      <c r="W86">
        <f>HYPERLINK("https://klasma.github.io/Logging_2581/kartor/A 67902-2021 karta.png", "A 67902-2021")</f>
        <v/>
      </c>
      <c r="Y86">
        <f>HYPERLINK("https://klasma.github.io/Logging_2581/klagomål/A 67902-2021 FSC-klagomål.docx", "A 67902-2021")</f>
        <v/>
      </c>
      <c r="Z86">
        <f>HYPERLINK("https://klasma.github.io/Logging_2581/klagomålsmail/A 67902-2021 FSC-klagomål mail.docx", "A 67902-2021")</f>
        <v/>
      </c>
      <c r="AA86">
        <f>HYPERLINK("https://klasma.github.io/Logging_2581/tillsyn/A 67902-2021 tillsynsbegäran.docx", "A 67902-2021")</f>
        <v/>
      </c>
      <c r="AB86">
        <f>HYPERLINK("https://klasma.github.io/Logging_2581/tillsynsmail/A 67902-2021 tillsynsbegäran mail.docx", "A 67902-2021")</f>
        <v/>
      </c>
    </row>
    <row r="87" ht="15" customHeight="1">
      <c r="A87" t="inlineStr">
        <is>
          <t>A 56518-2024</t>
        </is>
      </c>
      <c r="B87" t="inlineStr">
        <is>
          <t>avverkningsanmälan</t>
        </is>
      </c>
      <c r="C87" t="inlineStr">
        <is>
          <t>Föryngringsavverkning</t>
        </is>
      </c>
      <c r="D87" s="1" t="n">
        <v>45625</v>
      </c>
      <c r="E87" s="1" t="n">
        <v>46221</v>
      </c>
      <c r="F87" t="inlineStr">
        <is>
          <t>NORRBOTTENS LÄN</t>
        </is>
      </c>
      <c r="G87" t="inlineStr">
        <is>
          <t>PITEÅ</t>
        </is>
      </c>
      <c r="I87" t="n">
        <v>2.6</v>
      </c>
      <c r="J87" t="n">
        <v>1</v>
      </c>
      <c r="K87" t="n">
        <v>0</v>
      </c>
      <c r="L87" t="n">
        <v>0</v>
      </c>
      <c r="M87" t="n">
        <v>0</v>
      </c>
      <c r="N87" t="n">
        <v>0</v>
      </c>
      <c r="O87" t="n">
        <v>0</v>
      </c>
      <c r="P87" t="n">
        <v>0</v>
      </c>
      <c r="Q87" t="n">
        <v>0</v>
      </c>
      <c r="R87" t="n">
        <v>0</v>
      </c>
      <c r="S87" t="n">
        <v>1</v>
      </c>
      <c r="T87" t="n">
        <v>2</v>
      </c>
      <c r="U87" s="2" t="inlineStr">
        <is>
          <t>Nattviol</t>
        </is>
      </c>
      <c r="V87">
        <f>HYPERLINK("https://klasma.github.io/Logging_2581/artfynd/A 56518-2024 artfynd.xlsx", "A 56518-2024")</f>
        <v/>
      </c>
      <c r="W87">
        <f>HYPERLINK("https://klasma.github.io/Logging_2581/kartor/A 56518-2024 karta.png", "A 56518-2024")</f>
        <v/>
      </c>
      <c r="Y87">
        <f>HYPERLINK("https://klasma.github.io/Logging_2581/klagomål/A 56518-2024 FSC-klagomål.docx", "A 56518-2024")</f>
        <v/>
      </c>
      <c r="Z87">
        <f>HYPERLINK("https://klasma.github.io/Logging_2581/klagomålsmail/A 56518-2024 FSC-klagomål mail.docx", "A 56518-2024")</f>
        <v/>
      </c>
      <c r="AA87">
        <f>HYPERLINK("https://klasma.github.io/Logging_2581/tillsyn/A 56518-2024 tillsynsbegäran.docx", "A 56518-2024")</f>
        <v/>
      </c>
      <c r="AB87">
        <f>HYPERLINK("https://klasma.github.io/Logging_2581/tillsynsmail/A 56518-2024 tillsynsbegäran mail.docx", "A 56518-2024")</f>
        <v/>
      </c>
    </row>
    <row r="88" ht="15" customHeight="1">
      <c r="A88" t="inlineStr">
        <is>
          <t>A 52268-2023</t>
        </is>
      </c>
      <c r="B88" t="inlineStr">
        <is>
          <t>avverkningsanmälan</t>
        </is>
      </c>
      <c r="C88" t="inlineStr">
        <is>
          <t>Föryngringsavverkning</t>
        </is>
      </c>
      <c r="D88" s="1" t="n">
        <v>45224</v>
      </c>
      <c r="E88" s="1" t="n">
        <v>46221</v>
      </c>
      <c r="F88" t="inlineStr">
        <is>
          <t>NORRBOTTENS LÄN</t>
        </is>
      </c>
      <c r="G88" t="inlineStr">
        <is>
          <t>PITEÅ</t>
        </is>
      </c>
      <c r="I88" t="n">
        <v>4</v>
      </c>
      <c r="J88" t="n">
        <v>1</v>
      </c>
      <c r="K88" t="n">
        <v>0</v>
      </c>
      <c r="L88" t="n">
        <v>0</v>
      </c>
      <c r="M88" t="n">
        <v>0</v>
      </c>
      <c r="N88" t="n">
        <v>0</v>
      </c>
      <c r="O88" t="n">
        <v>0</v>
      </c>
      <c r="P88" t="n">
        <v>0</v>
      </c>
      <c r="Q88" t="n">
        <v>0</v>
      </c>
      <c r="R88" t="n">
        <v>0</v>
      </c>
      <c r="S88" t="n">
        <v>1</v>
      </c>
      <c r="T88" t="n">
        <v>1</v>
      </c>
      <c r="U88" s="2" t="inlineStr">
        <is>
          <t>Revlummer</t>
        </is>
      </c>
      <c r="V88">
        <f>HYPERLINK("https://klasma.github.io/Logging_2581/artfynd/A 52268-2023 artfynd.xlsx", "A 52268-2023")</f>
        <v/>
      </c>
      <c r="W88">
        <f>HYPERLINK("https://klasma.github.io/Logging_2581/kartor/A 52268-2023 karta.png", "A 52268-2023")</f>
        <v/>
      </c>
      <c r="Y88">
        <f>HYPERLINK("https://klasma.github.io/Logging_2581/klagomål/A 52268-2023 FSC-klagomål.docx", "A 52268-2023")</f>
        <v/>
      </c>
      <c r="Z88">
        <f>HYPERLINK("https://klasma.github.io/Logging_2581/klagomålsmail/A 52268-2023 FSC-klagomål mail.docx", "A 52268-2023")</f>
        <v/>
      </c>
      <c r="AA88">
        <f>HYPERLINK("https://klasma.github.io/Logging_2581/tillsyn/A 52268-2023 tillsynsbegäran.docx", "A 52268-2023")</f>
        <v/>
      </c>
      <c r="AB88">
        <f>HYPERLINK("https://klasma.github.io/Logging_2581/tillsynsmail/A 52268-2023 tillsynsbegäran mail.docx", "A 52268-2023")</f>
        <v/>
      </c>
    </row>
    <row r="89" ht="15" customHeight="1">
      <c r="A89" t="inlineStr">
        <is>
          <t>A 21102-2024</t>
        </is>
      </c>
      <c r="B89" t="inlineStr">
        <is>
          <t>avverkningsanmälan</t>
        </is>
      </c>
      <c r="C89" t="inlineStr">
        <is>
          <t>Föryngringsavverkning</t>
        </is>
      </c>
      <c r="D89" s="1" t="n">
        <v>45439</v>
      </c>
      <c r="E89" s="1" t="n">
        <v>46221</v>
      </c>
      <c r="F89" t="inlineStr">
        <is>
          <t>NORRBOTTENS LÄN</t>
        </is>
      </c>
      <c r="G89" t="inlineStr">
        <is>
          <t>PITEÅ</t>
        </is>
      </c>
      <c r="H89" t="inlineStr">
        <is>
          <t>SCA</t>
        </is>
      </c>
      <c r="I89" t="n">
        <v>1.4</v>
      </c>
      <c r="J89" t="n">
        <v>0</v>
      </c>
      <c r="K89" t="n">
        <v>1</v>
      </c>
      <c r="L89" t="n">
        <v>0</v>
      </c>
      <c r="M89" t="n">
        <v>0</v>
      </c>
      <c r="N89" t="n">
        <v>0</v>
      </c>
      <c r="O89" t="n">
        <v>0</v>
      </c>
      <c r="P89" t="n">
        <v>0</v>
      </c>
      <c r="Q89" t="n">
        <v>0</v>
      </c>
      <c r="R89" t="n">
        <v>0</v>
      </c>
      <c r="S89" t="n">
        <v>1</v>
      </c>
      <c r="T89" t="n">
        <v>2</v>
      </c>
      <c r="U89" s="2" t="inlineStr">
        <is>
          <t>Tibast</t>
        </is>
      </c>
      <c r="V89">
        <f>HYPERLINK("https://klasma.github.io/Logging_2581/artfynd/A 21102-2024 artfynd.xlsx", "A 21102-2024")</f>
        <v/>
      </c>
      <c r="W89">
        <f>HYPERLINK("https://klasma.github.io/Logging_2581/kartor/A 21102-2024 karta.png", "A 21102-2024")</f>
        <v/>
      </c>
      <c r="Y89">
        <f>HYPERLINK("https://klasma.github.io/Logging_2581/klagomål/A 21102-2024 FSC-klagomål.docx", "A 21102-2024")</f>
        <v/>
      </c>
      <c r="Z89">
        <f>HYPERLINK("https://klasma.github.io/Logging_2581/klagomålsmail/A 21102-2024 FSC-klagomål mail.docx", "A 21102-2024")</f>
        <v/>
      </c>
      <c r="AA89">
        <f>HYPERLINK("https://klasma.github.io/Logging_2581/tillsyn/A 21102-2024 tillsynsbegäran.docx", "A 21102-2024")</f>
        <v/>
      </c>
      <c r="AB89">
        <f>HYPERLINK("https://klasma.github.io/Logging_2581/tillsynsmail/A 21102-2024 tillsynsbegäran mail.docx", "A 21102-2024")</f>
        <v/>
      </c>
    </row>
    <row r="90" ht="15" customHeight="1">
      <c r="A90" t="inlineStr">
        <is>
          <t>A 30408-2025</t>
        </is>
      </c>
      <c r="B90" t="inlineStr">
        <is>
          <t>avverkningsanmälan</t>
        </is>
      </c>
      <c r="C90" t="inlineStr">
        <is>
          <t>Föryngringsavverkning</t>
        </is>
      </c>
      <c r="D90" s="1" t="n">
        <v>45827</v>
      </c>
      <c r="E90" s="1" t="n">
        <v>46221</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s="2" t="inlineStr">
        <is>
          <t>Spillkråka</t>
        </is>
      </c>
      <c r="V90">
        <f>HYPERLINK("https://klasma.github.io/Logging_2581/artfynd/A 30408-2025 artfynd.xlsx", "A 30408-2025")</f>
        <v/>
      </c>
      <c r="W90">
        <f>HYPERLINK("https://klasma.github.io/Logging_2581/kartor/A 30408-2025 karta.png", "A 30408-2025")</f>
        <v/>
      </c>
      <c r="Y90">
        <f>HYPERLINK("https://klasma.github.io/Logging_2581/klagomål/A 30408-2025 FSC-klagomål.docx", "A 30408-2025")</f>
        <v/>
      </c>
      <c r="Z90">
        <f>HYPERLINK("https://klasma.github.io/Logging_2581/klagomålsmail/A 30408-2025 FSC-klagomål mail.docx", "A 30408-2025")</f>
        <v/>
      </c>
      <c r="AA90">
        <f>HYPERLINK("https://klasma.github.io/Logging_2581/tillsyn/A 30408-2025 tillsynsbegäran.docx", "A 30408-2025")</f>
        <v/>
      </c>
      <c r="AB90">
        <f>HYPERLINK("https://klasma.github.io/Logging_2581/tillsynsmail/A 30408-2025 tillsynsbegäran mail.docx", "A 30408-2025")</f>
        <v/>
      </c>
      <c r="AC90">
        <f>HYPERLINK("https://klasma.github.io/Logging_2581/fåglar/A 30408-2025 prioriterade fågelarter.docx", "A 30408-2025")</f>
        <v/>
      </c>
    </row>
    <row r="91" ht="15" customHeight="1">
      <c r="A91" t="inlineStr">
        <is>
          <t>A 27818-2026</t>
        </is>
      </c>
      <c r="B91" t="inlineStr">
        <is>
          <t>avverkningsanmälan</t>
        </is>
      </c>
      <c r="C91" t="inlineStr">
        <is>
          <t>Föryngringsavverkning</t>
        </is>
      </c>
      <c r="D91" s="1" t="n">
        <v>46191</v>
      </c>
      <c r="E91" s="1" t="n">
        <v>46221</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s="2" t="inlineStr">
        <is>
          <t>Tallticka</t>
        </is>
      </c>
      <c r="V91">
        <f>HYPERLINK("https://klasma.github.io/Logging_2581/artfynd/A 27818-2026 artfynd.xlsx", "A 27818-2026")</f>
        <v/>
      </c>
      <c r="W91">
        <f>HYPERLINK("https://klasma.github.io/Logging_2581/kartor/A 27818-2026 karta.png", "A 27818-2026")</f>
        <v/>
      </c>
      <c r="Y91">
        <f>HYPERLINK("https://klasma.github.io/Logging_2581/klagomål/A 27818-2026 FSC-klagomål.docx", "A 27818-2026")</f>
        <v/>
      </c>
      <c r="Z91">
        <f>HYPERLINK("https://klasma.github.io/Logging_2581/klagomålsmail/A 27818-2026 FSC-klagomål mail.docx", "A 27818-2026")</f>
        <v/>
      </c>
      <c r="AA91">
        <f>HYPERLINK("https://klasma.github.io/Logging_2581/tillsyn/A 27818-2026 tillsynsbegäran.docx", "A 27818-2026")</f>
        <v/>
      </c>
      <c r="AB91">
        <f>HYPERLINK("https://klasma.github.io/Logging_2581/tillsynsmail/A 27818-2026 tillsynsbegäran mail.docx", "A 27818-2026")</f>
        <v/>
      </c>
    </row>
    <row r="92" ht="15" customHeight="1">
      <c r="A92" t="inlineStr">
        <is>
          <t>A 23727-2026</t>
        </is>
      </c>
      <c r="B92" t="inlineStr">
        <is>
          <t>avverkningsanmälan</t>
        </is>
      </c>
      <c r="C92" t="inlineStr">
        <is>
          <t>Föryngringsavverkning</t>
        </is>
      </c>
      <c r="D92" s="1" t="n">
        <v>46164</v>
      </c>
      <c r="E92" s="1" t="n">
        <v>46221</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s="2" t="inlineStr">
        <is>
          <t>Dropptaggsvamp</t>
        </is>
      </c>
      <c r="V92">
        <f>HYPERLINK("https://klasma.github.io/Logging_2581/artfynd/A 23727-2026 artfynd.xlsx", "A 23727-2026")</f>
        <v/>
      </c>
      <c r="W92">
        <f>HYPERLINK("https://klasma.github.io/Logging_2581/kartor/A 23727-2026 karta.png", "A 23727-2026")</f>
        <v/>
      </c>
      <c r="Y92">
        <f>HYPERLINK("https://klasma.github.io/Logging_2581/klagomål/A 23727-2026 FSC-klagomål.docx", "A 23727-2026")</f>
        <v/>
      </c>
      <c r="Z92">
        <f>HYPERLINK("https://klasma.github.io/Logging_2581/klagomålsmail/A 23727-2026 FSC-klagomål mail.docx", "A 23727-2026")</f>
        <v/>
      </c>
      <c r="AA92">
        <f>HYPERLINK("https://klasma.github.io/Logging_2581/tillsyn/A 23727-2026 tillsynsbegäran.docx", "A 23727-2026")</f>
        <v/>
      </c>
      <c r="AB92">
        <f>HYPERLINK("https://klasma.github.io/Logging_2581/tillsynsmail/A 23727-2026 tillsynsbegäran mail.docx", "A 23727-2026")</f>
        <v/>
      </c>
    </row>
    <row r="93" ht="15" customHeight="1">
      <c r="A93" t="inlineStr">
        <is>
          <t>A 30012-2026</t>
        </is>
      </c>
      <c r="B93" t="inlineStr">
        <is>
          <t>avverkningsanmälan</t>
        </is>
      </c>
      <c r="C93" t="inlineStr">
        <is>
          <t>Avverkning för annat ändamål</t>
        </is>
      </c>
      <c r="D93" s="1" t="n">
        <v>46206</v>
      </c>
      <c r="E93" s="1" t="n">
        <v>46221</v>
      </c>
      <c r="F93" t="inlineStr">
        <is>
          <t>NORRBOTTENS LÄN</t>
        </is>
      </c>
      <c r="G93" t="inlineStr">
        <is>
          <t>PITEÅ</t>
        </is>
      </c>
      <c r="H93" t="inlineStr">
        <is>
          <t>Sveaskog</t>
        </is>
      </c>
      <c r="I93" t="n">
        <v>2.1</v>
      </c>
      <c r="J93" t="n">
        <v>1</v>
      </c>
      <c r="K93" t="n">
        <v>0</v>
      </c>
      <c r="L93" t="n">
        <v>0</v>
      </c>
      <c r="M93" t="n">
        <v>0</v>
      </c>
      <c r="N93" t="n">
        <v>0</v>
      </c>
      <c r="O93" t="n">
        <v>0</v>
      </c>
      <c r="P93" t="n">
        <v>0</v>
      </c>
      <c r="Q93" t="n">
        <v>0</v>
      </c>
      <c r="R93" t="n">
        <v>0</v>
      </c>
      <c r="S93" t="n">
        <v>1</v>
      </c>
      <c r="T93" t="n">
        <v>1</v>
      </c>
      <c r="U93" s="2" t="inlineStr">
        <is>
          <t>Revlummer</t>
        </is>
      </c>
      <c r="V93">
        <f>HYPERLINK("https://klasma.github.io/Logging_2581/artfynd/A 30012-2026 artfynd.xlsx", "A 30012-2026")</f>
        <v/>
      </c>
      <c r="W93">
        <f>HYPERLINK("https://klasma.github.io/Logging_2581/kartor/A 30012-2026 karta.png", "A 30012-2026")</f>
        <v/>
      </c>
      <c r="Y93">
        <f>HYPERLINK("https://klasma.github.io/Logging_2581/klagomål/A 30012-2026 FSC-klagomål.docx", "A 30012-2026")</f>
        <v/>
      </c>
      <c r="Z93">
        <f>HYPERLINK("https://klasma.github.io/Logging_2581/klagomålsmail/A 30012-2026 FSC-klagomål mail.docx", "A 30012-2026")</f>
        <v/>
      </c>
      <c r="AA93">
        <f>HYPERLINK("https://klasma.github.io/Logging_2581/tillsyn/A 30012-2026 tillsynsbegäran.docx", "A 30012-2026")</f>
        <v/>
      </c>
      <c r="AB93">
        <f>HYPERLINK("https://klasma.github.io/Logging_2581/tillsynsmail/A 30012-2026 tillsynsbegäran mail.docx", "A 30012-2026")</f>
        <v/>
      </c>
    </row>
    <row r="94" ht="15" customHeight="1">
      <c r="A94" t="inlineStr">
        <is>
          <t>A 30497-2026</t>
        </is>
      </c>
      <c r="B94" t="inlineStr">
        <is>
          <t>avverkningsanmälan</t>
        </is>
      </c>
      <c r="C94" t="inlineStr">
        <is>
          <t>Föryngringsavverkning</t>
        </is>
      </c>
      <c r="D94" s="1" t="n">
        <v>46210</v>
      </c>
      <c r="E94" s="1" t="n">
        <v>46221</v>
      </c>
      <c r="F94" t="inlineStr">
        <is>
          <t>NORRBOTTENS LÄN</t>
        </is>
      </c>
      <c r="G94" t="inlineStr">
        <is>
          <t>PITEÅ</t>
        </is>
      </c>
      <c r="H94" t="inlineStr">
        <is>
          <t>Sveaskog</t>
        </is>
      </c>
      <c r="I94" t="n">
        <v>36.2</v>
      </c>
      <c r="J94" t="n">
        <v>0</v>
      </c>
      <c r="K94" t="n">
        <v>0</v>
      </c>
      <c r="L94" t="n">
        <v>1</v>
      </c>
      <c r="M94" t="n">
        <v>0</v>
      </c>
      <c r="N94" t="n">
        <v>0</v>
      </c>
      <c r="O94" t="n">
        <v>0</v>
      </c>
      <c r="P94" t="n">
        <v>0</v>
      </c>
      <c r="Q94" t="n">
        <v>1</v>
      </c>
      <c r="R94" t="n">
        <v>0</v>
      </c>
      <c r="S94" t="n">
        <v>1</v>
      </c>
      <c r="T94" t="n">
        <v>1</v>
      </c>
      <c r="U94" s="2" t="inlineStr">
        <is>
          <t>Lunglav</t>
        </is>
      </c>
      <c r="V94">
        <f>HYPERLINK("https://klasma.github.io/Logging_2581/artfynd/A 30497-2026 artfynd.xlsx", "A 30497-2026")</f>
        <v/>
      </c>
      <c r="W94">
        <f>HYPERLINK("https://klasma.github.io/Logging_2581/kartor/A 30497-2026 karta.png", "A 30497-2026")</f>
        <v/>
      </c>
      <c r="Y94">
        <f>HYPERLINK("https://klasma.github.io/Logging_2581/klagomål/A 30497-2026 FSC-klagomål.docx", "A 30497-2026")</f>
        <v/>
      </c>
      <c r="Z94">
        <f>HYPERLINK("https://klasma.github.io/Logging_2581/klagomålsmail/A 30497-2026 FSC-klagomål mail.docx", "A 30497-2026")</f>
        <v/>
      </c>
      <c r="AA94">
        <f>HYPERLINK("https://klasma.github.io/Logging_2581/tillsyn/A 30497-2026 tillsynsbegäran.docx", "A 30497-2026")</f>
        <v/>
      </c>
      <c r="AB94">
        <f>HYPERLINK("https://klasma.github.io/Logging_2581/tillsynsmail/A 30497-2026 tillsynsbegäran mail.docx", "A 30497-2026")</f>
        <v/>
      </c>
    </row>
    <row r="95" ht="15" customHeight="1">
      <c r="A95" t="inlineStr">
        <is>
          <t>A 23944-2026</t>
        </is>
      </c>
      <c r="B95" t="inlineStr">
        <is>
          <t>avverkningsanmälan</t>
        </is>
      </c>
      <c r="C95" t="inlineStr">
        <is>
          <t>Föryngringsavverkning</t>
        </is>
      </c>
      <c r="D95" s="1" t="n">
        <v>46167</v>
      </c>
      <c r="E95" s="1" t="n">
        <v>46221</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s="2" t="inlineStr">
        <is>
          <t>Lunglav</t>
        </is>
      </c>
      <c r="V95">
        <f>HYPERLINK("https://klasma.github.io/Logging_2581/artfynd/A 23944-2026 artfynd.xlsx", "A 23944-2026")</f>
        <v/>
      </c>
      <c r="W95">
        <f>HYPERLINK("https://klasma.github.io/Logging_2581/kartor/A 23944-2026 karta.png", "A 23944-2026")</f>
        <v/>
      </c>
      <c r="Y95">
        <f>HYPERLINK("https://klasma.github.io/Logging_2581/klagomål/A 23944-2026 FSC-klagomål.docx", "A 23944-2026")</f>
        <v/>
      </c>
      <c r="Z95">
        <f>HYPERLINK("https://klasma.github.io/Logging_2581/klagomålsmail/A 23944-2026 FSC-klagomål mail.docx", "A 23944-2026")</f>
        <v/>
      </c>
      <c r="AA95">
        <f>HYPERLINK("https://klasma.github.io/Logging_2581/tillsyn/A 23944-2026 tillsynsbegäran.docx", "A 23944-2026")</f>
        <v/>
      </c>
      <c r="AB95">
        <f>HYPERLINK("https://klasma.github.io/Logging_2581/tillsynsmail/A 23944-2026 tillsynsbegäran mail.docx", "A 23944-2026")</f>
        <v/>
      </c>
    </row>
    <row r="96" ht="15" customHeight="1">
      <c r="A96" t="inlineStr">
        <is>
          <t>A 32153-2023</t>
        </is>
      </c>
      <c r="B96" t="inlineStr">
        <is>
          <t>avverkningsanmälan</t>
        </is>
      </c>
      <c r="C96" t="inlineStr">
        <is>
          <t>Föryngringsavverkning</t>
        </is>
      </c>
      <c r="D96" s="1" t="n">
        <v>45119</v>
      </c>
      <c r="E96" s="1" t="n">
        <v>46221</v>
      </c>
      <c r="F96" t="inlineStr">
        <is>
          <t>NORRBOTTENS LÄN</t>
        </is>
      </c>
      <c r="G96" t="inlineStr">
        <is>
          <t>PITEÅ</t>
        </is>
      </c>
      <c r="H96" t="inlineStr">
        <is>
          <t>Sveaskog</t>
        </is>
      </c>
      <c r="I96" t="n">
        <v>18.5</v>
      </c>
      <c r="J96" t="n">
        <v>0</v>
      </c>
      <c r="K96" t="n">
        <v>0</v>
      </c>
      <c r="L96" t="n">
        <v>1</v>
      </c>
      <c r="M96" t="n">
        <v>0</v>
      </c>
      <c r="N96" t="n">
        <v>0</v>
      </c>
      <c r="O96" t="n">
        <v>0</v>
      </c>
      <c r="P96" t="n">
        <v>0</v>
      </c>
      <c r="Q96" t="n">
        <v>1</v>
      </c>
      <c r="R96" t="n">
        <v>0</v>
      </c>
      <c r="S96" t="n">
        <v>1</v>
      </c>
      <c r="T96" t="n">
        <v>3</v>
      </c>
      <c r="U96" s="2" t="inlineStr">
        <is>
          <t>Lunglav</t>
        </is>
      </c>
      <c r="V96">
        <f>HYPERLINK("https://klasma.github.io/Logging_2581/artfynd/A 32153-2023 artfynd.xlsx", "A 32153-2023")</f>
        <v/>
      </c>
      <c r="W96">
        <f>HYPERLINK("https://klasma.github.io/Logging_2581/kartor/A 32153-2023 karta.png", "A 32153-2023")</f>
        <v/>
      </c>
      <c r="Y96">
        <f>HYPERLINK("https://klasma.github.io/Logging_2581/klagomål/A 32153-2023 FSC-klagomål.docx", "A 32153-2023")</f>
        <v/>
      </c>
      <c r="Z96">
        <f>HYPERLINK("https://klasma.github.io/Logging_2581/klagomålsmail/A 32153-2023 FSC-klagomål mail.docx", "A 32153-2023")</f>
        <v/>
      </c>
      <c r="AA96">
        <f>HYPERLINK("https://klasma.github.io/Logging_2581/tillsyn/A 32153-2023 tillsynsbegäran.docx", "A 32153-2023")</f>
        <v/>
      </c>
      <c r="AB96">
        <f>HYPERLINK("https://klasma.github.io/Logging_2581/tillsynsmail/A 32153-2023 tillsynsbegäran mail.docx", "A 32153-2023")</f>
        <v/>
      </c>
    </row>
    <row r="97" ht="15" customHeight="1">
      <c r="A97" t="inlineStr">
        <is>
          <t>A 25114-2026</t>
        </is>
      </c>
      <c r="B97" t="inlineStr">
        <is>
          <t>avverkningsanmälan</t>
        </is>
      </c>
      <c r="C97" t="inlineStr">
        <is>
          <t>Föryngringsavverkning</t>
        </is>
      </c>
      <c r="D97" s="1" t="n">
        <v>46175</v>
      </c>
      <c r="E97" s="1" t="n">
        <v>46221</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s="2" t="inlineStr">
        <is>
          <t>Tallticka</t>
        </is>
      </c>
      <c r="V97">
        <f>HYPERLINK("https://klasma.github.io/Logging_2581/artfynd/A 25114-2026 artfynd.xlsx", "A 25114-2026")</f>
        <v/>
      </c>
      <c r="W97">
        <f>HYPERLINK("https://klasma.github.io/Logging_2581/kartor/A 25114-2026 karta.png", "A 25114-2026")</f>
        <v/>
      </c>
      <c r="Y97">
        <f>HYPERLINK("https://klasma.github.io/Logging_2581/klagomål/A 25114-2026 FSC-klagomål.docx", "A 25114-2026")</f>
        <v/>
      </c>
      <c r="Z97">
        <f>HYPERLINK("https://klasma.github.io/Logging_2581/klagomålsmail/A 25114-2026 FSC-klagomål mail.docx", "A 25114-2026")</f>
        <v/>
      </c>
      <c r="AA97">
        <f>HYPERLINK("https://klasma.github.io/Logging_2581/tillsyn/A 25114-2026 tillsynsbegäran.docx", "A 25114-2026")</f>
        <v/>
      </c>
      <c r="AB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46221</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s="2" t="inlineStr">
        <is>
          <t>Lavskrika</t>
        </is>
      </c>
      <c r="V98">
        <f>HYPERLINK("https://klasma.github.io/Logging_2581/artfynd/A 31401-2026 artfynd.xlsx", "A 31401-2026")</f>
        <v/>
      </c>
      <c r="W98">
        <f>HYPERLINK("https://klasma.github.io/Logging_2581/kartor/A 31401-2026 karta.png", "A 31401-2026")</f>
        <v/>
      </c>
      <c r="Y98">
        <f>HYPERLINK("https://klasma.github.io/Logging_2581/klagomål/A 31401-2026 FSC-klagomål.docx", "A 31401-2026")</f>
        <v/>
      </c>
      <c r="Z98">
        <f>HYPERLINK("https://klasma.github.io/Logging_2581/klagomålsmail/A 31401-2026 FSC-klagomål mail.docx", "A 31401-2026")</f>
        <v/>
      </c>
      <c r="AA98">
        <f>HYPERLINK("https://klasma.github.io/Logging_2581/tillsyn/A 31401-2026 tillsynsbegäran.docx", "A 31401-2026")</f>
        <v/>
      </c>
      <c r="AB98">
        <f>HYPERLINK("https://klasma.github.io/Logging_2581/tillsynsmail/A 31401-2026 tillsynsbegäran mail.docx", "A 31401-2026")</f>
        <v/>
      </c>
      <c r="AC98">
        <f>HYPERLINK("https://klasma.github.io/Logging_2581/fåglar/A 31401-2026 prioriterade fågelarter.docx", "A 31401-2026")</f>
        <v/>
      </c>
    </row>
    <row r="99" ht="15" customHeight="1">
      <c r="A99" t="inlineStr">
        <is>
          <t>A 30454-2024</t>
        </is>
      </c>
      <c r="B99" t="inlineStr">
        <is>
          <t>avverkningsanmälan</t>
        </is>
      </c>
      <c r="C99" t="inlineStr">
        <is>
          <t>Föryngringsavverkning</t>
        </is>
      </c>
      <c r="D99" s="1" t="n">
        <v>45491</v>
      </c>
      <c r="E99" s="1" t="n">
        <v>46221</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s="2" t="inlineStr">
        <is>
          <t>Tretåig hackspett</t>
        </is>
      </c>
      <c r="V99">
        <f>HYPERLINK("https://klasma.github.io/Logging_2581/artfynd/A 30454-2024 artfynd.xlsx", "A 30454-2024")</f>
        <v/>
      </c>
      <c r="W99">
        <f>HYPERLINK("https://klasma.github.io/Logging_2581/kartor/A 30454-2024 karta.png", "A 30454-2024")</f>
        <v/>
      </c>
      <c r="Y99">
        <f>HYPERLINK("https://klasma.github.io/Logging_2581/klagomål/A 30454-2024 FSC-klagomål.docx", "A 30454-2024")</f>
        <v/>
      </c>
      <c r="Z99">
        <f>HYPERLINK("https://klasma.github.io/Logging_2581/klagomålsmail/A 30454-2024 FSC-klagomål mail.docx", "A 30454-2024")</f>
        <v/>
      </c>
      <c r="AA99">
        <f>HYPERLINK("https://klasma.github.io/Logging_2581/tillsyn/A 30454-2024 tillsynsbegäran.docx", "A 30454-2024")</f>
        <v/>
      </c>
      <c r="AB99">
        <f>HYPERLINK("https://klasma.github.io/Logging_2581/tillsynsmail/A 30454-2024 tillsynsbegäran mail.docx", "A 30454-2024")</f>
        <v/>
      </c>
      <c r="AC99">
        <f>HYPERLINK("https://klasma.github.io/Logging_2581/fåglar/A 30454-2024 prioriterade fågelarter.docx", "A 30454-2024")</f>
        <v/>
      </c>
    </row>
    <row r="100" ht="15" customHeight="1">
      <c r="A100" t="inlineStr">
        <is>
          <t>S 1470-2022</t>
        </is>
      </c>
      <c r="B100" t="inlineStr">
        <is>
          <t>samrådsanmälan</t>
        </is>
      </c>
      <c r="C100" t="inlineStr">
        <is>
          <t>Skogsbilväg</t>
        </is>
      </c>
      <c r="D100" s="1" t="n">
        <v>44636</v>
      </c>
      <c r="E100" s="1" t="n">
        <v>46221</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Y100">
        <f>HYPERLINK("https://klasma.github.io/Logging_2581/klagomål/S 1470-2022 FSC-klagomål.docx", "S 1470-2022")</f>
        <v/>
      </c>
      <c r="Z100">
        <f>HYPERLINK("https://klasma.github.io/Logging_2581/klagomålsmail/S 1470-2022 FSC-klagomål mail.docx", "S 1470-2022")</f>
        <v/>
      </c>
      <c r="AA100">
        <f>HYPERLINK("https://klasma.github.io/Logging_2581/tillsyn/S 1470-2022 tillsynsbegäran.docx", "S 1470-2022")</f>
        <v/>
      </c>
      <c r="AB100">
        <f>HYPERLINK("https://klasma.github.io/Logging_2581/tillsynsmail/S 1470-2022 tillsynsbegäran mail.docx", "S 1470-2022")</f>
        <v/>
      </c>
      <c r="AC100">
        <f>HYPERLINK("https://klasma.github.io/Logging_2581/fåglar/S 1470-2022 prioriterade fågelarter.docx", "S 1470-2022")</f>
        <v/>
      </c>
    </row>
    <row r="101" ht="15" customHeight="1">
      <c r="A101" t="inlineStr">
        <is>
          <t>S 193-2023</t>
        </is>
      </c>
      <c r="B101" t="inlineStr">
        <is>
          <t>samrådsanmälan</t>
        </is>
      </c>
      <c r="C101" t="inlineStr">
        <is>
          <t>Skogsgödsling</t>
        </is>
      </c>
      <c r="D101" s="1" t="n">
        <v>44945</v>
      </c>
      <c r="E101" s="1" t="n">
        <v>46221</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s="2" t="inlineStr">
        <is>
          <t>Gammelgransskål</t>
        </is>
      </c>
      <c r="V101">
        <f>HYPERLINK("https://klasma.github.io/Logging_2581/artfynd/S 193-2023 artfynd.xlsx", "S 193-2023")</f>
        <v/>
      </c>
      <c r="W101">
        <f>HYPERLINK("https://klasma.github.io/Logging_2581/kartor/S 193-2023 karta.png", "S 193-2023")</f>
        <v/>
      </c>
      <c r="Y101">
        <f>HYPERLINK("https://klasma.github.io/Logging_2581/klagomål/S 193-2023 FSC-klagomål.docx", "S 193-2023")</f>
        <v/>
      </c>
      <c r="Z101">
        <f>HYPERLINK("https://klasma.github.io/Logging_2581/klagomålsmail/S 193-2023 FSC-klagomål mail.docx", "S 193-2023")</f>
        <v/>
      </c>
      <c r="AA101">
        <f>HYPERLINK("https://klasma.github.io/Logging_2581/tillsyn/S 193-2023 tillsynsbegäran.docx", "S 193-2023")</f>
        <v/>
      </c>
      <c r="AB101">
        <f>HYPERLINK("https://klasma.github.io/Logging_2581/tillsynsmail/S 193-2023 tillsynsbegäran mail.docx", "S 193-2023")</f>
        <v/>
      </c>
    </row>
    <row r="102" ht="15" customHeight="1">
      <c r="A102" t="inlineStr">
        <is>
          <t>S 1285-2025</t>
        </is>
      </c>
      <c r="B102" t="inlineStr">
        <is>
          <t>samrådsanmälan</t>
        </is>
      </c>
      <c r="C102" t="inlineStr">
        <is>
          <t>Annan skogsbruksåtgärd</t>
        </is>
      </c>
      <c r="D102" s="1" t="n">
        <v>45768</v>
      </c>
      <c r="E102" s="1" t="n">
        <v>46221</v>
      </c>
      <c r="F102" t="inlineStr">
        <is>
          <t>NORRBOTTENS LÄN</t>
        </is>
      </c>
      <c r="G102" t="inlineStr">
        <is>
          <t>PITEÅ</t>
        </is>
      </c>
      <c r="I102" t="n">
        <v>62.2</v>
      </c>
      <c r="J102" t="n">
        <v>0</v>
      </c>
      <c r="K102" t="n">
        <v>0</v>
      </c>
      <c r="L102" t="n">
        <v>1</v>
      </c>
      <c r="M102" t="n">
        <v>0</v>
      </c>
      <c r="N102" t="n">
        <v>0</v>
      </c>
      <c r="O102" t="n">
        <v>0</v>
      </c>
      <c r="P102" t="n">
        <v>0</v>
      </c>
      <c r="Q102" t="n">
        <v>1</v>
      </c>
      <c r="R102" t="n">
        <v>0</v>
      </c>
      <c r="S102" t="n">
        <v>1</v>
      </c>
      <c r="T102" t="n">
        <v>1</v>
      </c>
      <c r="U102" s="2" t="inlineStr">
        <is>
          <t>Blanksvart spiklav</t>
        </is>
      </c>
      <c r="V102">
        <f>HYPERLINK("https://klasma.github.io/Logging_2581/artfynd/S 1285-2025 artfynd.xlsx", "S 1285-2025")</f>
        <v/>
      </c>
      <c r="W102">
        <f>HYPERLINK("https://klasma.github.io/Logging_2581/kartor/S 1285-2025 karta.png", "S 1285-2025")</f>
        <v/>
      </c>
      <c r="Y102">
        <f>HYPERLINK("https://klasma.github.io/Logging_2581/klagomål/S 1285-2025 FSC-klagomål.docx", "S 1285-2025")</f>
        <v/>
      </c>
      <c r="Z102">
        <f>HYPERLINK("https://klasma.github.io/Logging_2581/klagomålsmail/S 1285-2025 FSC-klagomål mail.docx", "S 1285-2025")</f>
        <v/>
      </c>
      <c r="AA102">
        <f>HYPERLINK("https://klasma.github.io/Logging_2581/tillsyn/S 1285-2025 tillsynsbegäran.docx", "S 1285-2025")</f>
        <v/>
      </c>
      <c r="AB102">
        <f>HYPERLINK("https://klasma.github.io/Logging_2581/tillsynsmail/S 1285-2025 tillsynsbegäran mail.docx", "S 1285-2025")</f>
        <v/>
      </c>
    </row>
    <row r="103" ht="15" customHeight="1">
      <c r="A103" t="inlineStr">
        <is>
          <t>S 3310-2025</t>
        </is>
      </c>
      <c r="B103" t="inlineStr">
        <is>
          <t>samrådsanmälan</t>
        </is>
      </c>
      <c r="C103" t="inlineStr">
        <is>
          <t>Annan skogsbruksåtgärd</t>
        </is>
      </c>
      <c r="D103" s="1" t="n">
        <v>45987</v>
      </c>
      <c r="E103" s="1" t="n">
        <v>46221</v>
      </c>
      <c r="F103" t="inlineStr">
        <is>
          <t>NORRBOTTENS LÄN</t>
        </is>
      </c>
      <c r="G103" t="inlineStr">
        <is>
          <t>PITEÅ</t>
        </is>
      </c>
      <c r="H103" t="inlineStr">
        <is>
          <t>Övriga statliga verk och myndigheter</t>
        </is>
      </c>
      <c r="I103" t="n">
        <v>8</v>
      </c>
      <c r="J103" t="n">
        <v>1</v>
      </c>
      <c r="K103" t="n">
        <v>0</v>
      </c>
      <c r="L103" t="n">
        <v>1</v>
      </c>
      <c r="M103" t="n">
        <v>0</v>
      </c>
      <c r="N103" t="n">
        <v>0</v>
      </c>
      <c r="O103" t="n">
        <v>0</v>
      </c>
      <c r="P103" t="n">
        <v>0</v>
      </c>
      <c r="Q103" t="n">
        <v>1</v>
      </c>
      <c r="R103" t="n">
        <v>0</v>
      </c>
      <c r="S103" t="n">
        <v>1</v>
      </c>
      <c r="T103" t="n">
        <v>1</v>
      </c>
      <c r="U103" s="2" t="inlineStr">
        <is>
          <t>Talltita</t>
        </is>
      </c>
      <c r="V103">
        <f>HYPERLINK("https://klasma.github.io/Logging_2581/artfynd/S 3310-2025 artfynd.xlsx", "S 3310-2025")</f>
        <v/>
      </c>
      <c r="W103">
        <f>HYPERLINK("https://klasma.github.io/Logging_2581/kartor/S 3310-2025 karta.png", "S 3310-2025")</f>
        <v/>
      </c>
      <c r="Y103">
        <f>HYPERLINK("https://klasma.github.io/Logging_2581/klagomål/S 3310-2025 FSC-klagomål.docx", "S 3310-2025")</f>
        <v/>
      </c>
      <c r="Z103">
        <f>HYPERLINK("https://klasma.github.io/Logging_2581/klagomålsmail/S 3310-2025 FSC-klagomål mail.docx", "S 3310-2025")</f>
        <v/>
      </c>
      <c r="AA103">
        <f>HYPERLINK("https://klasma.github.io/Logging_2581/tillsyn/S 3310-2025 tillsynsbegäran.docx", "S 3310-2025")</f>
        <v/>
      </c>
      <c r="AB103">
        <f>HYPERLINK("https://klasma.github.io/Logging_2581/tillsynsmail/S 3310-2025 tillsynsbegäran mail.docx", "S 3310-2025")</f>
        <v/>
      </c>
      <c r="AC103">
        <f>HYPERLINK("https://klasma.github.io/Logging_2581/fåglar/S 3310-2025 prioriterade fågelarter.docx", "S 3310-2025")</f>
        <v/>
      </c>
    </row>
    <row r="104" ht="15" customHeight="1">
      <c r="A104" t="inlineStr">
        <is>
          <t>A 50644-2022</t>
        </is>
      </c>
      <c r="B104" t="inlineStr">
        <is>
          <t>avverkningsanmälan</t>
        </is>
      </c>
      <c r="C104" t="inlineStr">
        <is>
          <t>Föryngringsavverkning</t>
        </is>
      </c>
      <c r="D104" s="1" t="n">
        <v>44866</v>
      </c>
      <c r="E104" s="1" t="n">
        <v>46221</v>
      </c>
      <c r="F104" t="inlineStr">
        <is>
          <t>NORRBOTTENS LÄN</t>
        </is>
      </c>
      <c r="G104" t="inlineStr">
        <is>
          <t>PITEÅ</t>
        </is>
      </c>
      <c r="H104" t="inlineStr">
        <is>
          <t>SCA</t>
        </is>
      </c>
      <c r="I104" t="n">
        <v>17.6</v>
      </c>
      <c r="J104" t="n">
        <v>0</v>
      </c>
      <c r="K104" t="n">
        <v>0</v>
      </c>
      <c r="L104" t="n">
        <v>0</v>
      </c>
      <c r="M104" t="n">
        <v>0</v>
      </c>
      <c r="N104" t="n">
        <v>0</v>
      </c>
      <c r="O104" t="n">
        <v>0</v>
      </c>
      <c r="P104" t="n">
        <v>0</v>
      </c>
      <c r="Q104" t="n">
        <v>0</v>
      </c>
      <c r="R104" t="n">
        <v>0</v>
      </c>
      <c r="S104" t="n">
        <v>0</v>
      </c>
      <c r="T104" t="n">
        <v>0</v>
      </c>
      <c r="U104" s="2" t="inlineStr"/>
    </row>
    <row r="105" ht="15" customHeight="1">
      <c r="A105" t="inlineStr">
        <is>
          <t>A 52003-2021</t>
        </is>
      </c>
      <c r="B105" t="inlineStr">
        <is>
          <t>avverkningsanmälan</t>
        </is>
      </c>
      <c r="C105" t="inlineStr">
        <is>
          <t>Avverkning för annat ändamål</t>
        </is>
      </c>
      <c r="D105" s="1" t="n">
        <v>44463</v>
      </c>
      <c r="E105" s="1" t="n">
        <v>46221</v>
      </c>
      <c r="F105" t="inlineStr">
        <is>
          <t>NORRBOTTENS LÄN</t>
        </is>
      </c>
      <c r="G105" t="inlineStr">
        <is>
          <t>PITEÅ</t>
        </is>
      </c>
      <c r="H105" t="inlineStr">
        <is>
          <t>Sveaskog</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70706-2021</t>
        </is>
      </c>
      <c r="B106" t="inlineStr">
        <is>
          <t>avverkningsanmälan</t>
        </is>
      </c>
      <c r="C106" t="inlineStr">
        <is>
          <t>Föryngringsavverkning</t>
        </is>
      </c>
      <c r="D106" s="1" t="n">
        <v>44536</v>
      </c>
      <c r="E106" s="1" t="n">
        <v>46221</v>
      </c>
      <c r="F106" t="inlineStr">
        <is>
          <t>NORRBOTTENS LÄN</t>
        </is>
      </c>
      <c r="G106" t="inlineStr">
        <is>
          <t>PITEÅ</t>
        </is>
      </c>
      <c r="I106" t="n">
        <v>4.9</v>
      </c>
      <c r="J106" t="n">
        <v>0</v>
      </c>
      <c r="K106" t="n">
        <v>0</v>
      </c>
      <c r="L106" t="n">
        <v>0</v>
      </c>
      <c r="M106" t="n">
        <v>0</v>
      </c>
      <c r="N106" t="n">
        <v>0</v>
      </c>
      <c r="O106" t="n">
        <v>0</v>
      </c>
      <c r="P106" t="n">
        <v>0</v>
      </c>
      <c r="Q106" t="n">
        <v>0</v>
      </c>
      <c r="R106" t="n">
        <v>0</v>
      </c>
      <c r="S106" t="n">
        <v>0</v>
      </c>
      <c r="T106" t="n">
        <v>0</v>
      </c>
      <c r="U106" s="2" t="inlineStr"/>
    </row>
    <row r="107" ht="15" customHeight="1">
      <c r="A107" t="inlineStr">
        <is>
          <t>A 70093-2021</t>
        </is>
      </c>
      <c r="B107" t="inlineStr">
        <is>
          <t>avverkningsanmälan</t>
        </is>
      </c>
      <c r="C107" t="inlineStr">
        <is>
          <t>Föryngringsavverkning</t>
        </is>
      </c>
      <c r="D107" s="1" t="n">
        <v>44531</v>
      </c>
      <c r="E107" s="1" t="n">
        <v>46221</v>
      </c>
      <c r="F107" t="inlineStr">
        <is>
          <t>NORRBOTTENS LÄN</t>
        </is>
      </c>
      <c r="G107" t="inlineStr">
        <is>
          <t>PITEÅ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71242-2021</t>
        </is>
      </c>
      <c r="B108" t="inlineStr">
        <is>
          <t>avverkningsanmälan</t>
        </is>
      </c>
      <c r="C108" t="inlineStr">
        <is>
          <t>Föryngringsavverkning</t>
        </is>
      </c>
      <c r="D108" s="1" t="n">
        <v>44538</v>
      </c>
      <c r="E108" s="1" t="n">
        <v>46221</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39410-2022</t>
        </is>
      </c>
      <c r="B109" t="inlineStr">
        <is>
          <t>avverkningsanmälan</t>
        </is>
      </c>
      <c r="C109" t="inlineStr">
        <is>
          <t>Föryngringsavverkning</t>
        </is>
      </c>
      <c r="D109" s="1" t="n">
        <v>44817</v>
      </c>
      <c r="E109" s="1" t="n">
        <v>46221</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28488-2022</t>
        </is>
      </c>
      <c r="B110" t="inlineStr">
        <is>
          <t>avverkningsanmälan</t>
        </is>
      </c>
      <c r="C110" t="inlineStr">
        <is>
          <t>Föryngringsavverkning</t>
        </is>
      </c>
      <c r="D110" s="1" t="n">
        <v>44747</v>
      </c>
      <c r="E110" s="1" t="n">
        <v>46221</v>
      </c>
      <c r="F110" t="inlineStr">
        <is>
          <t>NORRBOTTENS LÄN</t>
        </is>
      </c>
      <c r="G110" t="inlineStr">
        <is>
          <t>PITEÅ</t>
        </is>
      </c>
      <c r="H110" t="inlineStr">
        <is>
          <t>SCA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39948-2021</t>
        </is>
      </c>
      <c r="B111" t="inlineStr">
        <is>
          <t>avverkningsanmälan</t>
        </is>
      </c>
      <c r="C111" t="inlineStr">
        <is>
          <t>Föryngringsavverkning</t>
        </is>
      </c>
      <c r="D111" s="1" t="n">
        <v>44417</v>
      </c>
      <c r="E111" s="1" t="n">
        <v>46221</v>
      </c>
      <c r="F111" t="inlineStr">
        <is>
          <t>NORRBOTTENS LÄN</t>
        </is>
      </c>
      <c r="G111" t="inlineStr">
        <is>
          <t>PITEÅ</t>
        </is>
      </c>
      <c r="H111" t="inlineStr">
        <is>
          <t>SCA</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42787-2021</t>
        </is>
      </c>
      <c r="B112" t="inlineStr">
        <is>
          <t>avverkningsanmälan</t>
        </is>
      </c>
      <c r="C112" t="inlineStr">
        <is>
          <t>Föryngringsavverkning</t>
        </is>
      </c>
      <c r="D112" s="1" t="n">
        <v>44428</v>
      </c>
      <c r="E112" s="1" t="n">
        <v>46221</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s="2" t="inlineStr"/>
    </row>
    <row r="113" ht="15" customHeight="1">
      <c r="A113" t="inlineStr">
        <is>
          <t>A 61112-2021</t>
        </is>
      </c>
      <c r="B113" t="inlineStr">
        <is>
          <t>avverkningsanmälan</t>
        </is>
      </c>
      <c r="C113" t="inlineStr">
        <is>
          <t>Föryngringsavverkning</t>
        </is>
      </c>
      <c r="D113" s="1" t="n">
        <v>44498</v>
      </c>
      <c r="E113" s="1" t="n">
        <v>46221</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48118-2022</t>
        </is>
      </c>
      <c r="B114" t="inlineStr">
        <is>
          <t>avverkningsanmälan</t>
        </is>
      </c>
      <c r="C114" t="inlineStr">
        <is>
          <t>Föryngringsavverkning</t>
        </is>
      </c>
      <c r="D114" s="1" t="n">
        <v>44857</v>
      </c>
      <c r="E114" s="1" t="n">
        <v>46221</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31977-2022</t>
        </is>
      </c>
      <c r="B115" t="inlineStr">
        <is>
          <t>avverkningsanmälan</t>
        </is>
      </c>
      <c r="C115" t="inlineStr">
        <is>
          <t>Föryngringsavverkning</t>
        </is>
      </c>
      <c r="D115" s="1" t="n">
        <v>44777</v>
      </c>
      <c r="E115" s="1" t="n">
        <v>46221</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60797-2021</t>
        </is>
      </c>
      <c r="B116" t="inlineStr">
        <is>
          <t>avverkningsanmälan</t>
        </is>
      </c>
      <c r="C116" t="inlineStr">
        <is>
          <t>Föryngringsavverkning</t>
        </is>
      </c>
      <c r="D116" s="1" t="n">
        <v>44495</v>
      </c>
      <c r="E116" s="1" t="n">
        <v>46221</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s="2" t="inlineStr"/>
    </row>
    <row r="117" ht="15" customHeight="1">
      <c r="A117" t="inlineStr">
        <is>
          <t>A 38902-2022</t>
        </is>
      </c>
      <c r="B117" t="inlineStr">
        <is>
          <t>avverkningsanmälan</t>
        </is>
      </c>
      <c r="C117" t="inlineStr">
        <is>
          <t>Föryngringsavverkning</t>
        </is>
      </c>
      <c r="D117" s="1" t="n">
        <v>44816</v>
      </c>
      <c r="E117" s="1" t="n">
        <v>46221</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s="2" t="inlineStr"/>
    </row>
    <row r="118" ht="15" customHeight="1">
      <c r="A118" t="inlineStr">
        <is>
          <t>A 46605-2022</t>
        </is>
      </c>
      <c r="B118" t="inlineStr">
        <is>
          <t>avverkningsanmälan</t>
        </is>
      </c>
      <c r="C118" t="inlineStr">
        <is>
          <t>Föryngringsavverkning</t>
        </is>
      </c>
      <c r="D118" s="1" t="n">
        <v>44848</v>
      </c>
      <c r="E118" s="1" t="n">
        <v>46221</v>
      </c>
      <c r="F118" t="inlineStr">
        <is>
          <t>NORRBOTTENS LÄN</t>
        </is>
      </c>
      <c r="G118" t="inlineStr">
        <is>
          <t>PITEÅ</t>
        </is>
      </c>
      <c r="H118" t="inlineStr">
        <is>
          <t>SCA</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3089-2022</t>
        </is>
      </c>
      <c r="B119" t="inlineStr">
        <is>
          <t>avverkningsanmälan</t>
        </is>
      </c>
      <c r="C119" t="inlineStr">
        <is>
          <t>Föryngringsavverkning</t>
        </is>
      </c>
      <c r="D119" s="1" t="n">
        <v>44582</v>
      </c>
      <c r="E119" s="1" t="n">
        <v>46221</v>
      </c>
      <c r="F119" t="inlineStr">
        <is>
          <t>NORRBOTTENS LÄN</t>
        </is>
      </c>
      <c r="G119" t="inlineStr">
        <is>
          <t>PITEÅ</t>
        </is>
      </c>
      <c r="I119" t="n">
        <v>43.8</v>
      </c>
      <c r="J119" t="n">
        <v>0</v>
      </c>
      <c r="K119" t="n">
        <v>0</v>
      </c>
      <c r="L119" t="n">
        <v>0</v>
      </c>
      <c r="M119" t="n">
        <v>0</v>
      </c>
      <c r="N119" t="n">
        <v>0</v>
      </c>
      <c r="O119" t="n">
        <v>0</v>
      </c>
      <c r="P119" t="n">
        <v>0</v>
      </c>
      <c r="Q119" t="n">
        <v>0</v>
      </c>
      <c r="R119" t="n">
        <v>0</v>
      </c>
      <c r="S119" t="n">
        <v>0</v>
      </c>
      <c r="T119" t="n">
        <v>0</v>
      </c>
      <c r="U119" s="2" t="inlineStr"/>
    </row>
    <row r="120" ht="15" customHeight="1">
      <c r="A120" t="inlineStr">
        <is>
          <t>A 3093-2022</t>
        </is>
      </c>
      <c r="B120" t="inlineStr">
        <is>
          <t>avverkningsanmälan</t>
        </is>
      </c>
      <c r="C120" t="inlineStr">
        <is>
          <t>Föryngringsavverkning</t>
        </is>
      </c>
      <c r="D120" s="1" t="n">
        <v>44582</v>
      </c>
      <c r="E120" s="1" t="n">
        <v>46221</v>
      </c>
      <c r="F120" t="inlineStr">
        <is>
          <t>NORRBOTTENS LÄN</t>
        </is>
      </c>
      <c r="G120" t="inlineStr">
        <is>
          <t>PITEÅ</t>
        </is>
      </c>
      <c r="I120" t="n">
        <v>9.800000000000001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6110-2022</t>
        </is>
      </c>
      <c r="B121" t="inlineStr">
        <is>
          <t>avverkningsanmälan</t>
        </is>
      </c>
      <c r="C121" t="inlineStr">
        <is>
          <t>Avverkning för annat ändamål</t>
        </is>
      </c>
      <c r="D121" s="1" t="n">
        <v>44599</v>
      </c>
      <c r="E121" s="1" t="n">
        <v>46221</v>
      </c>
      <c r="F121" t="inlineStr">
        <is>
          <t>NORRBOTTENS LÄN</t>
        </is>
      </c>
      <c r="G121" t="inlineStr">
        <is>
          <t>PITEÅ</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56888-2021</t>
        </is>
      </c>
      <c r="B122" t="inlineStr">
        <is>
          <t>avverkningsanmälan</t>
        </is>
      </c>
      <c r="C122" t="inlineStr">
        <is>
          <t>Föryngringsavverkning</t>
        </is>
      </c>
      <c r="D122" s="1" t="n">
        <v>44481</v>
      </c>
      <c r="E122" s="1" t="n">
        <v>46221</v>
      </c>
      <c r="F122" t="inlineStr">
        <is>
          <t>NORRBOTTENS LÄN</t>
        </is>
      </c>
      <c r="G122" t="inlineStr">
        <is>
          <t>PITEÅ</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62115-2021</t>
        </is>
      </c>
      <c r="B123" t="inlineStr">
        <is>
          <t>avverkningsanmälan</t>
        </is>
      </c>
      <c r="C123" t="inlineStr">
        <is>
          <t>Föryngringsavverkning</t>
        </is>
      </c>
      <c r="D123" s="1" t="n">
        <v>44502</v>
      </c>
      <c r="E123" s="1" t="n">
        <v>46221</v>
      </c>
      <c r="F123" t="inlineStr">
        <is>
          <t>NORRBOTTENS LÄN</t>
        </is>
      </c>
      <c r="G123" t="inlineStr">
        <is>
          <t>PITEÅ</t>
        </is>
      </c>
      <c r="I123" t="n">
        <v>8</v>
      </c>
      <c r="J123" t="n">
        <v>0</v>
      </c>
      <c r="K123" t="n">
        <v>0</v>
      </c>
      <c r="L123" t="n">
        <v>0</v>
      </c>
      <c r="M123" t="n">
        <v>0</v>
      </c>
      <c r="N123" t="n">
        <v>0</v>
      </c>
      <c r="O123" t="n">
        <v>0</v>
      </c>
      <c r="P123" t="n">
        <v>0</v>
      </c>
      <c r="Q123" t="n">
        <v>0</v>
      </c>
      <c r="R123" t="n">
        <v>0</v>
      </c>
      <c r="S123" t="n">
        <v>0</v>
      </c>
      <c r="T123" t="n">
        <v>0</v>
      </c>
      <c r="U123" s="2" t="inlineStr"/>
    </row>
    <row r="124" ht="15" customHeight="1">
      <c r="A124" t="inlineStr">
        <is>
          <t>A 58944-2021</t>
        </is>
      </c>
      <c r="B124" t="inlineStr">
        <is>
          <t>avverkningsanmälan</t>
        </is>
      </c>
      <c r="C124" t="inlineStr">
        <is>
          <t>Föryngringsavverkning</t>
        </is>
      </c>
      <c r="D124" s="1" t="n">
        <v>44489</v>
      </c>
      <c r="E124" s="1" t="n">
        <v>46221</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49030-2021</t>
        </is>
      </c>
      <c r="B125" t="inlineStr">
        <is>
          <t>avverkningsanmälan</t>
        </is>
      </c>
      <c r="C125" t="inlineStr">
        <is>
          <t>Avverkning för annat ändamål</t>
        </is>
      </c>
      <c r="D125" s="1" t="n">
        <v>44453</v>
      </c>
      <c r="E125" s="1" t="n">
        <v>46221</v>
      </c>
      <c r="F125" t="inlineStr">
        <is>
          <t>NORRBOTTENS LÄN</t>
        </is>
      </c>
      <c r="G125" t="inlineStr">
        <is>
          <t>PITEÅ</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71270-2021</t>
        </is>
      </c>
      <c r="B126" t="inlineStr">
        <is>
          <t>avverkningsanmälan</t>
        </is>
      </c>
      <c r="C126" t="inlineStr">
        <is>
          <t>Föryngringsavverkning</t>
        </is>
      </c>
      <c r="D126" s="1" t="n">
        <v>44538</v>
      </c>
      <c r="E126" s="1" t="n">
        <v>46221</v>
      </c>
      <c r="F126" t="inlineStr">
        <is>
          <t>NORRBOTTENS LÄN</t>
        </is>
      </c>
      <c r="G126" t="inlineStr">
        <is>
          <t>PITEÅ</t>
        </is>
      </c>
      <c r="I126" t="n">
        <v>7.5</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46221</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71945-2021</t>
        </is>
      </c>
      <c r="B128" t="inlineStr">
        <is>
          <t>avverkningsanmälan</t>
        </is>
      </c>
      <c r="C128" t="inlineStr">
        <is>
          <t>Föryngringsavverkning</t>
        </is>
      </c>
      <c r="D128" s="1" t="n">
        <v>44543</v>
      </c>
      <c r="E128" s="1" t="n">
        <v>46221</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21856-2022</t>
        </is>
      </c>
      <c r="B129" t="inlineStr">
        <is>
          <t>avverkningsanmälan</t>
        </is>
      </c>
      <c r="C129" t="inlineStr">
        <is>
          <t>Föryngringsavverkning</t>
        </is>
      </c>
      <c r="D129" s="1" t="n">
        <v>44708</v>
      </c>
      <c r="E129" s="1" t="n">
        <v>46221</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27571-2022</t>
        </is>
      </c>
      <c r="B130" t="inlineStr">
        <is>
          <t>avverkningsanmälan</t>
        </is>
      </c>
      <c r="C130" t="inlineStr">
        <is>
          <t>Föryngringsavverkning</t>
        </is>
      </c>
      <c r="D130" s="1" t="n">
        <v>44742</v>
      </c>
      <c r="E130" s="1" t="n">
        <v>46221</v>
      </c>
      <c r="F130" t="inlineStr">
        <is>
          <t>NORRBOTTENS LÄN</t>
        </is>
      </c>
      <c r="G130" t="inlineStr">
        <is>
          <t>PITEÅ</t>
        </is>
      </c>
      <c r="H130" t="inlineStr">
        <is>
          <t>SCA</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38896-2022</t>
        </is>
      </c>
      <c r="B131" t="inlineStr">
        <is>
          <t>avverkningsanmälan</t>
        </is>
      </c>
      <c r="C131" t="inlineStr">
        <is>
          <t>Föryngringsavverkning</t>
        </is>
      </c>
      <c r="D131" s="1" t="n">
        <v>44816</v>
      </c>
      <c r="E131" s="1" t="n">
        <v>46221</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38112-2022</t>
        </is>
      </c>
      <c r="B132" t="inlineStr">
        <is>
          <t>avverkningsanmälan</t>
        </is>
      </c>
      <c r="C132" t="inlineStr">
        <is>
          <t>Föryngringsavverkning</t>
        </is>
      </c>
      <c r="D132" s="1" t="n">
        <v>44811</v>
      </c>
      <c r="E132" s="1" t="n">
        <v>46221</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61370-2021</t>
        </is>
      </c>
      <c r="B133" t="inlineStr">
        <is>
          <t>avverkningsanmälan</t>
        </is>
      </c>
      <c r="C133" t="inlineStr">
        <is>
          <t>Föryngringsavverkning</t>
        </is>
      </c>
      <c r="D133" s="1" t="n">
        <v>44499</v>
      </c>
      <c r="E133" s="1" t="n">
        <v>46221</v>
      </c>
      <c r="F133" t="inlineStr">
        <is>
          <t>NORRBOTTENS LÄN</t>
        </is>
      </c>
      <c r="G133" t="inlineStr">
        <is>
          <t>PITEÅ</t>
        </is>
      </c>
      <c r="I133" t="n">
        <v>18.2</v>
      </c>
      <c r="J133" t="n">
        <v>0</v>
      </c>
      <c r="K133" t="n">
        <v>0</v>
      </c>
      <c r="L133" t="n">
        <v>0</v>
      </c>
      <c r="M133" t="n">
        <v>0</v>
      </c>
      <c r="N133" t="n">
        <v>0</v>
      </c>
      <c r="O133" t="n">
        <v>0</v>
      </c>
      <c r="P133" t="n">
        <v>0</v>
      </c>
      <c r="Q133" t="n">
        <v>0</v>
      </c>
      <c r="R133" t="n">
        <v>0</v>
      </c>
      <c r="S133" t="n">
        <v>0</v>
      </c>
      <c r="T133" t="n">
        <v>0</v>
      </c>
      <c r="U133" s="2" t="inlineStr"/>
    </row>
    <row r="134" ht="15" customHeight="1">
      <c r="A134" t="inlineStr">
        <is>
          <t>A 39409-2022</t>
        </is>
      </c>
      <c r="B134" t="inlineStr">
        <is>
          <t>avverkningsanmälan</t>
        </is>
      </c>
      <c r="C134" t="inlineStr">
        <is>
          <t>Föryngringsavverkning</t>
        </is>
      </c>
      <c r="D134" s="1" t="n">
        <v>44817</v>
      </c>
      <c r="E134" s="1" t="n">
        <v>46221</v>
      </c>
      <c r="F134" t="inlineStr">
        <is>
          <t>NORRBOTTENS LÄN</t>
        </is>
      </c>
      <c r="G134" t="inlineStr">
        <is>
          <t>PITEÅ</t>
        </is>
      </c>
      <c r="H134" t="inlineStr">
        <is>
          <t>SCA</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46221</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60730-2021</t>
        </is>
      </c>
      <c r="B136" t="inlineStr">
        <is>
          <t>avverkningsanmälan</t>
        </is>
      </c>
      <c r="C136" t="inlineStr">
        <is>
          <t>Föryngringsavverkning</t>
        </is>
      </c>
      <c r="D136" s="1" t="n">
        <v>44496</v>
      </c>
      <c r="E136" s="1" t="n">
        <v>46221</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46221</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4536-2022</t>
        </is>
      </c>
      <c r="B138" t="inlineStr">
        <is>
          <t>avverkningsanmälan</t>
        </is>
      </c>
      <c r="C138" t="inlineStr">
        <is>
          <t>Avverkning för att bevara och utveckla /försöksver</t>
        </is>
      </c>
      <c r="D138" s="1" t="n">
        <v>44590</v>
      </c>
      <c r="E138" s="1" t="n">
        <v>46221</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52001-2021</t>
        </is>
      </c>
      <c r="B139" t="inlineStr">
        <is>
          <t>avverkningsanmälan</t>
        </is>
      </c>
      <c r="C139" t="inlineStr">
        <is>
          <t>Avverkning för annat ändamål</t>
        </is>
      </c>
      <c r="D139" s="1" t="n">
        <v>44463</v>
      </c>
      <c r="E139" s="1" t="n">
        <v>46221</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40713-2022</t>
        </is>
      </c>
      <c r="B140" t="inlineStr">
        <is>
          <t>avverkningsanmälan</t>
        </is>
      </c>
      <c r="C140" t="inlineStr">
        <is>
          <t>Avverkning för annat ändamål</t>
        </is>
      </c>
      <c r="D140" s="1" t="n">
        <v>44820</v>
      </c>
      <c r="E140" s="1" t="n">
        <v>46221</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62649-2021</t>
        </is>
      </c>
      <c r="B141" t="inlineStr">
        <is>
          <t>avverkningsanmälan</t>
        </is>
      </c>
      <c r="C141" t="inlineStr">
        <is>
          <t>Avverkning för annat ändamål</t>
        </is>
      </c>
      <c r="D141" s="1" t="n">
        <v>44503</v>
      </c>
      <c r="E141" s="1" t="n">
        <v>46221</v>
      </c>
      <c r="F141" t="inlineStr">
        <is>
          <t>NORRBOTTENS LÄN</t>
        </is>
      </c>
      <c r="G141" t="inlineStr">
        <is>
          <t>PITEÅ</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39005-2022</t>
        </is>
      </c>
      <c r="B142" t="inlineStr">
        <is>
          <t>avverkningsanmälan</t>
        </is>
      </c>
      <c r="C142" t="inlineStr">
        <is>
          <t>Föryngringsavverkning</t>
        </is>
      </c>
      <c r="D142" s="1" t="n">
        <v>44816</v>
      </c>
      <c r="E142" s="1" t="n">
        <v>46221</v>
      </c>
      <c r="F142" t="inlineStr">
        <is>
          <t>NORRBOTTENS LÄN</t>
        </is>
      </c>
      <c r="G142" t="inlineStr">
        <is>
          <t>PITEÅ</t>
        </is>
      </c>
      <c r="H142" t="inlineStr">
        <is>
          <t>SCA</t>
        </is>
      </c>
      <c r="I142" t="n">
        <v>23.9</v>
      </c>
      <c r="J142" t="n">
        <v>0</v>
      </c>
      <c r="K142" t="n">
        <v>0</v>
      </c>
      <c r="L142" t="n">
        <v>0</v>
      </c>
      <c r="M142" t="n">
        <v>0</v>
      </c>
      <c r="N142" t="n">
        <v>0</v>
      </c>
      <c r="O142" t="n">
        <v>0</v>
      </c>
      <c r="P142" t="n">
        <v>0</v>
      </c>
      <c r="Q142" t="n">
        <v>0</v>
      </c>
      <c r="R142" t="n">
        <v>0</v>
      </c>
      <c r="S142" t="n">
        <v>0</v>
      </c>
      <c r="T142" t="n">
        <v>0</v>
      </c>
      <c r="U142" s="2" t="inlineStr"/>
    </row>
    <row r="143" ht="15" customHeight="1">
      <c r="A143" t="inlineStr">
        <is>
          <t>A 55074-2022</t>
        </is>
      </c>
      <c r="B143" t="inlineStr">
        <is>
          <t>avverkningsanmälan</t>
        </is>
      </c>
      <c r="C143" t="inlineStr">
        <is>
          <t>Föryngringsavverkning</t>
        </is>
      </c>
      <c r="D143" s="1" t="n">
        <v>44886</v>
      </c>
      <c r="E143" s="1" t="n">
        <v>46221</v>
      </c>
      <c r="F143" t="inlineStr">
        <is>
          <t>NORRBOTTENS LÄN</t>
        </is>
      </c>
      <c r="G143" t="inlineStr">
        <is>
          <t>PITEÅ</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4535-2022</t>
        </is>
      </c>
      <c r="B144" t="inlineStr">
        <is>
          <t>avverkningsanmälan</t>
        </is>
      </c>
      <c r="C144" t="inlineStr">
        <is>
          <t>Föryngringsavverkning</t>
        </is>
      </c>
      <c r="D144" s="1" t="n">
        <v>44590</v>
      </c>
      <c r="E144" s="1" t="n">
        <v>46221</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71283-2021</t>
        </is>
      </c>
      <c r="B145" t="inlineStr">
        <is>
          <t>avverkningsanmälan</t>
        </is>
      </c>
      <c r="C145" t="inlineStr">
        <is>
          <t>Föryngringsavverkning</t>
        </is>
      </c>
      <c r="D145" s="1" t="n">
        <v>44538</v>
      </c>
      <c r="E145" s="1" t="n">
        <v>46221</v>
      </c>
      <c r="F145" t="inlineStr">
        <is>
          <t>NORRBOTTENS LÄN</t>
        </is>
      </c>
      <c r="G145" t="inlineStr">
        <is>
          <t>PITEÅ</t>
        </is>
      </c>
      <c r="I145" t="n">
        <v>3.9</v>
      </c>
      <c r="J145" t="n">
        <v>0</v>
      </c>
      <c r="K145" t="n">
        <v>0</v>
      </c>
      <c r="L145" t="n">
        <v>0</v>
      </c>
      <c r="M145" t="n">
        <v>0</v>
      </c>
      <c r="N145" t="n">
        <v>0</v>
      </c>
      <c r="O145" t="n">
        <v>0</v>
      </c>
      <c r="P145" t="n">
        <v>0</v>
      </c>
      <c r="Q145" t="n">
        <v>0</v>
      </c>
      <c r="R145" t="n">
        <v>0</v>
      </c>
      <c r="S145" t="n">
        <v>0</v>
      </c>
      <c r="T145" t="n">
        <v>0</v>
      </c>
      <c r="U145" s="2" t="inlineStr"/>
    </row>
    <row r="146" ht="15" customHeight="1">
      <c r="A146" t="inlineStr">
        <is>
          <t>A 56641-2021</t>
        </is>
      </c>
      <c r="B146" t="inlineStr">
        <is>
          <t>avverkningsanmälan</t>
        </is>
      </c>
      <c r="C146" t="inlineStr">
        <is>
          <t>Föryngringsavverkning</t>
        </is>
      </c>
      <c r="D146" s="1" t="n">
        <v>44480</v>
      </c>
      <c r="E146" s="1" t="n">
        <v>46221</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26390-2022</t>
        </is>
      </c>
      <c r="B147" t="inlineStr">
        <is>
          <t>avverkningsanmälan</t>
        </is>
      </c>
      <c r="C147" t="inlineStr">
        <is>
          <t>Föryngringsavverkning</t>
        </is>
      </c>
      <c r="D147" s="1" t="n">
        <v>44735</v>
      </c>
      <c r="E147" s="1" t="n">
        <v>46221</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20689-2022</t>
        </is>
      </c>
      <c r="B148" t="inlineStr">
        <is>
          <t>avverkningsanmälan</t>
        </is>
      </c>
      <c r="C148" t="inlineStr">
        <is>
          <t>Föryngringsavverkning</t>
        </is>
      </c>
      <c r="D148" s="1" t="n">
        <v>44700</v>
      </c>
      <c r="E148" s="1" t="n">
        <v>46221</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810-2022</t>
        </is>
      </c>
      <c r="B149" t="inlineStr">
        <is>
          <t>avverkningsanmälan</t>
        </is>
      </c>
      <c r="C149" t="inlineStr">
        <is>
          <t>Föryngringsavverkning</t>
        </is>
      </c>
      <c r="D149" s="1" t="n">
        <v>44571</v>
      </c>
      <c r="E149" s="1" t="n">
        <v>46221</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7523-2025</t>
        </is>
      </c>
      <c r="B150" t="inlineStr">
        <is>
          <t>avverkningsanmälan</t>
        </is>
      </c>
      <c r="C150" t="inlineStr">
        <is>
          <t>Föryngringsavverkning</t>
        </is>
      </c>
      <c r="D150" s="1" t="n">
        <v>45705</v>
      </c>
      <c r="E150" s="1" t="n">
        <v>46221</v>
      </c>
      <c r="F150" t="inlineStr">
        <is>
          <t>NORRBOTTENS LÄN</t>
        </is>
      </c>
      <c r="G150" t="inlineStr">
        <is>
          <t>PITEÅ</t>
        </is>
      </c>
      <c r="I150" t="n">
        <v>12.8</v>
      </c>
      <c r="J150" t="n">
        <v>0</v>
      </c>
      <c r="K150" t="n">
        <v>0</v>
      </c>
      <c r="L150" t="n">
        <v>0</v>
      </c>
      <c r="M150" t="n">
        <v>0</v>
      </c>
      <c r="N150" t="n">
        <v>0</v>
      </c>
      <c r="O150" t="n">
        <v>0</v>
      </c>
      <c r="P150" t="n">
        <v>0</v>
      </c>
      <c r="Q150" t="n">
        <v>0</v>
      </c>
      <c r="R150" t="n">
        <v>0</v>
      </c>
      <c r="S150" t="n">
        <v>0</v>
      </c>
      <c r="T150" t="n">
        <v>0</v>
      </c>
      <c r="U150" s="2" t="inlineStr"/>
    </row>
    <row r="151" ht="15" customHeight="1">
      <c r="A151" t="inlineStr">
        <is>
          <t>A 3677-2025</t>
        </is>
      </c>
      <c r="B151" t="inlineStr">
        <is>
          <t>avverkningsanmälan</t>
        </is>
      </c>
      <c r="C151" t="inlineStr">
        <is>
          <t>Föryngringsavverkning</t>
        </is>
      </c>
      <c r="D151" s="1" t="n">
        <v>45681</v>
      </c>
      <c r="E151" s="1" t="n">
        <v>46221</v>
      </c>
      <c r="F151" t="inlineStr">
        <is>
          <t>NORRBOTTENS LÄN</t>
        </is>
      </c>
      <c r="G151" t="inlineStr">
        <is>
          <t>PITEÅ</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41982-2023</t>
        </is>
      </c>
      <c r="B152" t="inlineStr">
        <is>
          <t>avverkningsanmälan</t>
        </is>
      </c>
      <c r="C152" t="inlineStr">
        <is>
          <t>Föryngringsavverkning</t>
        </is>
      </c>
      <c r="D152" s="1" t="n">
        <v>45177</v>
      </c>
      <c r="E152" s="1" t="n">
        <v>46221</v>
      </c>
      <c r="F152" t="inlineStr">
        <is>
          <t>NORRBOTTENS LÄN</t>
        </is>
      </c>
      <c r="G152" t="inlineStr">
        <is>
          <t>PITEÅ</t>
        </is>
      </c>
      <c r="I152" t="n">
        <v>8.800000000000001</v>
      </c>
      <c r="J152" t="n">
        <v>0</v>
      </c>
      <c r="K152" t="n">
        <v>0</v>
      </c>
      <c r="L152" t="n">
        <v>0</v>
      </c>
      <c r="M152" t="n">
        <v>0</v>
      </c>
      <c r="N152" t="n">
        <v>0</v>
      </c>
      <c r="O152" t="n">
        <v>0</v>
      </c>
      <c r="P152" t="n">
        <v>0</v>
      </c>
      <c r="Q152" t="n">
        <v>0</v>
      </c>
      <c r="R152" t="n">
        <v>0</v>
      </c>
      <c r="S152" t="n">
        <v>0</v>
      </c>
      <c r="T152" t="n">
        <v>0</v>
      </c>
      <c r="U152" s="2" t="inlineStr"/>
    </row>
    <row r="153" ht="15" customHeight="1">
      <c r="A153" t="inlineStr">
        <is>
          <t>A 18724-2023</t>
        </is>
      </c>
      <c r="B153" t="inlineStr">
        <is>
          <t>avverkningsanmälan</t>
        </is>
      </c>
      <c r="C153" t="inlineStr">
        <is>
          <t>Föryngringsavverkning</t>
        </is>
      </c>
      <c r="D153" s="1" t="n">
        <v>45043</v>
      </c>
      <c r="E153" s="1" t="n">
        <v>46221</v>
      </c>
      <c r="F153" t="inlineStr">
        <is>
          <t>NORRBOTTENS LÄN</t>
        </is>
      </c>
      <c r="G153" t="inlineStr">
        <is>
          <t>PITEÅ</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59820-2023</t>
        </is>
      </c>
      <c r="B154" t="inlineStr">
        <is>
          <t>avverkningsanmälan</t>
        </is>
      </c>
      <c r="C154" t="inlineStr">
        <is>
          <t>Föryngringsavverkning</t>
        </is>
      </c>
      <c r="D154" s="1" t="n">
        <v>45257</v>
      </c>
      <c r="E154" s="1" t="n">
        <v>46221</v>
      </c>
      <c r="F154" t="inlineStr">
        <is>
          <t>NORRBOTTENS LÄN</t>
        </is>
      </c>
      <c r="G154" t="inlineStr">
        <is>
          <t>PITEÅ</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8023-2024</t>
        </is>
      </c>
      <c r="B155" t="inlineStr">
        <is>
          <t>avverkningsanmälan</t>
        </is>
      </c>
      <c r="C155" t="inlineStr">
        <is>
          <t>Föryngringsavverkning</t>
        </is>
      </c>
      <c r="D155" s="1" t="n">
        <v>45350</v>
      </c>
      <c r="E155" s="1" t="n">
        <v>46221</v>
      </c>
      <c r="F155" t="inlineStr">
        <is>
          <t>NORRBOTTENS LÄN</t>
        </is>
      </c>
      <c r="G155" t="inlineStr">
        <is>
          <t>PITEÅ</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40492-2022</t>
        </is>
      </c>
      <c r="B156" t="inlineStr">
        <is>
          <t>avverkningsanmälan</t>
        </is>
      </c>
      <c r="C156" t="inlineStr">
        <is>
          <t>Avverkning för annat ändamål</t>
        </is>
      </c>
      <c r="D156" s="1" t="n">
        <v>44819</v>
      </c>
      <c r="E156" s="1" t="n">
        <v>46221</v>
      </c>
      <c r="F156" t="inlineStr">
        <is>
          <t>NORRBOTTENS LÄN</t>
        </is>
      </c>
      <c r="G156" t="inlineStr">
        <is>
          <t>PITEÅ</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17860-2024</t>
        </is>
      </c>
      <c r="B157" t="inlineStr">
        <is>
          <t>avverkningsanmälan</t>
        </is>
      </c>
      <c r="C157" t="inlineStr">
        <is>
          <t>Föryngringsavverkning</t>
        </is>
      </c>
      <c r="D157" s="1" t="n">
        <v>45419</v>
      </c>
      <c r="E157" s="1" t="n">
        <v>46221</v>
      </c>
      <c r="F157" t="inlineStr">
        <is>
          <t>NORRBOTTENS LÄN</t>
        </is>
      </c>
      <c r="G157" t="inlineStr">
        <is>
          <t>PITEÅ</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10021-2024</t>
        </is>
      </c>
      <c r="B158" t="inlineStr">
        <is>
          <t>avverkningsanmälan</t>
        </is>
      </c>
      <c r="C158" t="inlineStr">
        <is>
          <t>Föryngringsavverkning</t>
        </is>
      </c>
      <c r="D158" s="1" t="n">
        <v>45363</v>
      </c>
      <c r="E158" s="1" t="n">
        <v>46221</v>
      </c>
      <c r="F158" t="inlineStr">
        <is>
          <t>NORRBOTTENS LÄN</t>
        </is>
      </c>
      <c r="G158" t="inlineStr">
        <is>
          <t>PITEÅ</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9011-2024</t>
        </is>
      </c>
      <c r="B159" t="inlineStr">
        <is>
          <t>avverkningsanmälan</t>
        </is>
      </c>
      <c r="C159" t="inlineStr">
        <is>
          <t>Föryngringsavverkning</t>
        </is>
      </c>
      <c r="D159" s="1" t="n">
        <v>45356</v>
      </c>
      <c r="E159" s="1" t="n">
        <v>46221</v>
      </c>
      <c r="F159" t="inlineStr">
        <is>
          <t>NORRBOTTENS LÄN</t>
        </is>
      </c>
      <c r="G159" t="inlineStr">
        <is>
          <t>PITEÅ</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39346-2022</t>
        </is>
      </c>
      <c r="B160" t="inlineStr">
        <is>
          <t>avverkningsanmälan</t>
        </is>
      </c>
      <c r="C160" t="inlineStr">
        <is>
          <t>Föryngringsavverkning</t>
        </is>
      </c>
      <c r="D160" s="1" t="n">
        <v>44817</v>
      </c>
      <c r="E160" s="1" t="n">
        <v>46221</v>
      </c>
      <c r="F160" t="inlineStr">
        <is>
          <t>NORRBOTTENS LÄN</t>
        </is>
      </c>
      <c r="G160" t="inlineStr">
        <is>
          <t>PITEÅ</t>
        </is>
      </c>
      <c r="I160" t="n">
        <v>5.4</v>
      </c>
      <c r="J160" t="n">
        <v>0</v>
      </c>
      <c r="K160" t="n">
        <v>0</v>
      </c>
      <c r="L160" t="n">
        <v>0</v>
      </c>
      <c r="M160" t="n">
        <v>0</v>
      </c>
      <c r="N160" t="n">
        <v>0</v>
      </c>
      <c r="O160" t="n">
        <v>0</v>
      </c>
      <c r="P160" t="n">
        <v>0</v>
      </c>
      <c r="Q160" t="n">
        <v>0</v>
      </c>
      <c r="R160" t="n">
        <v>0</v>
      </c>
      <c r="S160" t="n">
        <v>0</v>
      </c>
      <c r="T160" t="n">
        <v>0</v>
      </c>
      <c r="U160" s="2" t="inlineStr"/>
    </row>
    <row r="161" ht="15" customHeight="1">
      <c r="A161" t="inlineStr">
        <is>
          <t>A 39347-2022</t>
        </is>
      </c>
      <c r="B161" t="inlineStr">
        <is>
          <t>avverkningsanmälan</t>
        </is>
      </c>
      <c r="C161" t="inlineStr">
        <is>
          <t>Föryngringsavverkning</t>
        </is>
      </c>
      <c r="D161" s="1" t="n">
        <v>44817</v>
      </c>
      <c r="E161" s="1" t="n">
        <v>46221</v>
      </c>
      <c r="F161" t="inlineStr">
        <is>
          <t>NORRBOTTENS LÄN</t>
        </is>
      </c>
      <c r="G161" t="inlineStr">
        <is>
          <t>PITEÅ</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5525-2024</t>
        </is>
      </c>
      <c r="B162" t="inlineStr">
        <is>
          <t>avverkningsanmälan</t>
        </is>
      </c>
      <c r="C162" t="inlineStr">
        <is>
          <t>Föryngringsavverkning</t>
        </is>
      </c>
      <c r="D162" s="1" t="n">
        <v>45334</v>
      </c>
      <c r="E162" s="1" t="n">
        <v>46221</v>
      </c>
      <c r="F162" t="inlineStr">
        <is>
          <t>NORRBOTTENS LÄN</t>
        </is>
      </c>
      <c r="G162" t="inlineStr">
        <is>
          <t>PITEÅ</t>
        </is>
      </c>
      <c r="I162" t="n">
        <v>63</v>
      </c>
      <c r="J162" t="n">
        <v>0</v>
      </c>
      <c r="K162" t="n">
        <v>0</v>
      </c>
      <c r="L162" t="n">
        <v>0</v>
      </c>
      <c r="M162" t="n">
        <v>0</v>
      </c>
      <c r="N162" t="n">
        <v>0</v>
      </c>
      <c r="O162" t="n">
        <v>0</v>
      </c>
      <c r="P162" t="n">
        <v>0</v>
      </c>
      <c r="Q162" t="n">
        <v>0</v>
      </c>
      <c r="R162" t="n">
        <v>0</v>
      </c>
      <c r="S162" t="n">
        <v>0</v>
      </c>
      <c r="T162" t="n">
        <v>0</v>
      </c>
      <c r="U162" s="2" t="inlineStr"/>
    </row>
    <row r="163" ht="15" customHeight="1">
      <c r="A163" t="inlineStr">
        <is>
          <t>A 55845-2022</t>
        </is>
      </c>
      <c r="B163" t="inlineStr">
        <is>
          <t>avverkningsanmälan</t>
        </is>
      </c>
      <c r="C163" t="inlineStr">
        <is>
          <t>Föryngringsavverkning</t>
        </is>
      </c>
      <c r="D163" s="1" t="n">
        <v>44888</v>
      </c>
      <c r="E163" s="1" t="n">
        <v>46221</v>
      </c>
      <c r="F163" t="inlineStr">
        <is>
          <t>NORRBOTTENS LÄN</t>
        </is>
      </c>
      <c r="G163" t="inlineStr">
        <is>
          <t>PITEÅ</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59529-2023</t>
        </is>
      </c>
      <c r="B164" t="inlineStr">
        <is>
          <t>avverkningsanmälan</t>
        </is>
      </c>
      <c r="C164" t="inlineStr">
        <is>
          <t>Föryngringsavverkning</t>
        </is>
      </c>
      <c r="D164" s="1" t="n">
        <v>45254</v>
      </c>
      <c r="E164" s="1" t="n">
        <v>46221</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s="2" t="inlineStr"/>
    </row>
    <row r="165" ht="15" customHeight="1">
      <c r="A165" t="inlineStr">
        <is>
          <t>A 55796-2023</t>
        </is>
      </c>
      <c r="B165" t="inlineStr">
        <is>
          <t>avverkningsanmälan</t>
        </is>
      </c>
      <c r="C165" t="inlineStr">
        <is>
          <t>Föryngringsavverkning</t>
        </is>
      </c>
      <c r="D165" s="1" t="n">
        <v>45239</v>
      </c>
      <c r="E165" s="1" t="n">
        <v>46221</v>
      </c>
      <c r="F165" t="inlineStr">
        <is>
          <t>NORRBOTTENS LÄN</t>
        </is>
      </c>
      <c r="G165" t="inlineStr">
        <is>
          <t>PITEÅ</t>
        </is>
      </c>
      <c r="I165" t="n">
        <v>38.2</v>
      </c>
      <c r="J165" t="n">
        <v>0</v>
      </c>
      <c r="K165" t="n">
        <v>0</v>
      </c>
      <c r="L165" t="n">
        <v>0</v>
      </c>
      <c r="M165" t="n">
        <v>0</v>
      </c>
      <c r="N165" t="n">
        <v>0</v>
      </c>
      <c r="O165" t="n">
        <v>0</v>
      </c>
      <c r="P165" t="n">
        <v>0</v>
      </c>
      <c r="Q165" t="n">
        <v>0</v>
      </c>
      <c r="R165" t="n">
        <v>0</v>
      </c>
      <c r="S165" t="n">
        <v>0</v>
      </c>
      <c r="T165" t="n">
        <v>0</v>
      </c>
      <c r="U165" s="2" t="inlineStr"/>
    </row>
    <row r="166" ht="15" customHeight="1">
      <c r="A166" t="inlineStr">
        <is>
          <t>A 38755-2022</t>
        </is>
      </c>
      <c r="B166" t="inlineStr">
        <is>
          <t>avverkningsanmälan</t>
        </is>
      </c>
      <c r="C166" t="inlineStr">
        <is>
          <t>Föryngringsavverkning</t>
        </is>
      </c>
      <c r="D166" s="1" t="n">
        <v>44813</v>
      </c>
      <c r="E166" s="1" t="n">
        <v>46221</v>
      </c>
      <c r="F166" t="inlineStr">
        <is>
          <t>NORRBOTTENS LÄN</t>
        </is>
      </c>
      <c r="G166" t="inlineStr">
        <is>
          <t>PITEÅ</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40813-2022</t>
        </is>
      </c>
      <c r="B167" t="inlineStr">
        <is>
          <t>avverkningsanmälan</t>
        </is>
      </c>
      <c r="C167" t="inlineStr">
        <is>
          <t>Föryngringsavverkning</t>
        </is>
      </c>
      <c r="D167" s="1" t="n">
        <v>44824</v>
      </c>
      <c r="E167" s="1" t="n">
        <v>46221</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28721-2024</t>
        </is>
      </c>
      <c r="B168" t="inlineStr">
        <is>
          <t>avverkningsanmälan</t>
        </is>
      </c>
      <c r="C168" t="inlineStr">
        <is>
          <t>Föryngringsavverkning</t>
        </is>
      </c>
      <c r="D168" s="1" t="n">
        <v>45478</v>
      </c>
      <c r="E168" s="1" t="n">
        <v>46221</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28727-2024</t>
        </is>
      </c>
      <c r="B169" t="inlineStr">
        <is>
          <t>avverkningsanmälan</t>
        </is>
      </c>
      <c r="C169" t="inlineStr">
        <is>
          <t>Föryngringsavverkning</t>
        </is>
      </c>
      <c r="D169" s="1" t="n">
        <v>45478</v>
      </c>
      <c r="E169" s="1" t="n">
        <v>46221</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38230-2021</t>
        </is>
      </c>
      <c r="B170" t="inlineStr">
        <is>
          <t>avverkningsanmälan</t>
        </is>
      </c>
      <c r="C170" t="inlineStr">
        <is>
          <t>Föryngringsavverkning</t>
        </is>
      </c>
      <c r="D170" s="1" t="n">
        <v>44405</v>
      </c>
      <c r="E170" s="1" t="n">
        <v>46221</v>
      </c>
      <c r="F170" t="inlineStr">
        <is>
          <t>NORRBOTTENS LÄN</t>
        </is>
      </c>
      <c r="G170" t="inlineStr">
        <is>
          <t>PITEÅ</t>
        </is>
      </c>
      <c r="H170" t="inlineStr">
        <is>
          <t>Sveaskog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24424-2024</t>
        </is>
      </c>
      <c r="B171" t="inlineStr">
        <is>
          <t>avverkningsanmälan</t>
        </is>
      </c>
      <c r="C171" t="inlineStr">
        <is>
          <t>Avverkning för att bevara och utveckla /försöksver</t>
        </is>
      </c>
      <c r="D171" s="1" t="n">
        <v>45457</v>
      </c>
      <c r="E171" s="1" t="n">
        <v>46221</v>
      </c>
      <c r="F171" t="inlineStr">
        <is>
          <t>NORRBOTTENS LÄN</t>
        </is>
      </c>
      <c r="G171" t="inlineStr">
        <is>
          <t>PITEÅ</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61858-2023</t>
        </is>
      </c>
      <c r="B172" t="inlineStr">
        <is>
          <t>avverkningsanmälan</t>
        </is>
      </c>
      <c r="C172" t="inlineStr">
        <is>
          <t>Föryngringsavverkning</t>
        </is>
      </c>
      <c r="D172" s="1" t="n">
        <v>45264</v>
      </c>
      <c r="E172" s="1" t="n">
        <v>46221</v>
      </c>
      <c r="F172" t="inlineStr">
        <is>
          <t>NORRBOTTENS LÄN</t>
        </is>
      </c>
      <c r="G172" t="inlineStr">
        <is>
          <t>PITEÅ</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25969-2024</t>
        </is>
      </c>
      <c r="B173" t="inlineStr">
        <is>
          <t>avverkningsanmälan</t>
        </is>
      </c>
      <c r="C173" t="inlineStr">
        <is>
          <t>Avverkning för annat ändamål</t>
        </is>
      </c>
      <c r="D173" s="1" t="n">
        <v>45467</v>
      </c>
      <c r="E173" s="1" t="n">
        <v>46221</v>
      </c>
      <c r="F173" t="inlineStr">
        <is>
          <t>NORRBOTTENS LÄN</t>
        </is>
      </c>
      <c r="G173" t="inlineStr">
        <is>
          <t>PITEÅ</t>
        </is>
      </c>
      <c r="H173" t="inlineStr">
        <is>
          <t>Kommuner</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17838-2024</t>
        </is>
      </c>
      <c r="B174" t="inlineStr">
        <is>
          <t>avverkningsanmälan</t>
        </is>
      </c>
      <c r="C174" t="inlineStr">
        <is>
          <t>Föryngringsavverkning</t>
        </is>
      </c>
      <c r="D174" s="1" t="n">
        <v>45418</v>
      </c>
      <c r="E174" s="1" t="n">
        <v>46221</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s="2" t="inlineStr"/>
    </row>
    <row r="175" ht="15" customHeight="1">
      <c r="A175" t="inlineStr">
        <is>
          <t>A 63221-2023</t>
        </is>
      </c>
      <c r="B175" t="inlineStr">
        <is>
          <t>avverkningsanmälan</t>
        </is>
      </c>
      <c r="C175" t="inlineStr">
        <is>
          <t>Föryngringsavverkning</t>
        </is>
      </c>
      <c r="D175" s="1" t="n">
        <v>45273</v>
      </c>
      <c r="E175" s="1" t="n">
        <v>46221</v>
      </c>
      <c r="F175" t="inlineStr">
        <is>
          <t>NORRBOTTENS LÄN</t>
        </is>
      </c>
      <c r="G175" t="inlineStr">
        <is>
          <t>PITEÅ</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31729-2023</t>
        </is>
      </c>
      <c r="B176" t="inlineStr">
        <is>
          <t>avverkningsanmälan</t>
        </is>
      </c>
      <c r="C176" t="inlineStr">
        <is>
          <t>Föryngringsavverkning</t>
        </is>
      </c>
      <c r="D176" s="1" t="n">
        <v>45117</v>
      </c>
      <c r="E176" s="1" t="n">
        <v>46221</v>
      </c>
      <c r="F176" t="inlineStr">
        <is>
          <t>NORRBOTTENS LÄN</t>
        </is>
      </c>
      <c r="G176" t="inlineStr">
        <is>
          <t>PITEÅ</t>
        </is>
      </c>
      <c r="H176" t="inlineStr">
        <is>
          <t>SCA</t>
        </is>
      </c>
      <c r="I176" t="n">
        <v>33.7</v>
      </c>
      <c r="J176" t="n">
        <v>0</v>
      </c>
      <c r="K176" t="n">
        <v>0</v>
      </c>
      <c r="L176" t="n">
        <v>0</v>
      </c>
      <c r="M176" t="n">
        <v>0</v>
      </c>
      <c r="N176" t="n">
        <v>0</v>
      </c>
      <c r="O176" t="n">
        <v>0</v>
      </c>
      <c r="P176" t="n">
        <v>0</v>
      </c>
      <c r="Q176" t="n">
        <v>0</v>
      </c>
      <c r="R176" t="n">
        <v>0</v>
      </c>
      <c r="S176" t="n">
        <v>0</v>
      </c>
      <c r="T176" t="n">
        <v>0</v>
      </c>
      <c r="U176" s="2" t="inlineStr"/>
    </row>
    <row r="177" ht="15" customHeight="1">
      <c r="A177" t="inlineStr">
        <is>
          <t>A 3521-2023</t>
        </is>
      </c>
      <c r="B177" t="inlineStr">
        <is>
          <t>avverkningsanmälan</t>
        </is>
      </c>
      <c r="C177" t="inlineStr">
        <is>
          <t>Föryngringsavverkning</t>
        </is>
      </c>
      <c r="D177" s="1" t="n">
        <v>44950</v>
      </c>
      <c r="E177" s="1" t="n">
        <v>46221</v>
      </c>
      <c r="F177" t="inlineStr">
        <is>
          <t>NORRBOTTENS LÄN</t>
        </is>
      </c>
      <c r="G177" t="inlineStr">
        <is>
          <t>PITEÅ</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62014-2023</t>
        </is>
      </c>
      <c r="B178" t="inlineStr">
        <is>
          <t>avverkningsanmälan</t>
        </is>
      </c>
      <c r="C178" t="inlineStr">
        <is>
          <t>Föryngringsavverkning</t>
        </is>
      </c>
      <c r="D178" s="1" t="n">
        <v>45266</v>
      </c>
      <c r="E178" s="1" t="n">
        <v>46221</v>
      </c>
      <c r="F178" t="inlineStr">
        <is>
          <t>NORRBOTTENS LÄN</t>
        </is>
      </c>
      <c r="G178" t="inlineStr">
        <is>
          <t>PITEÅ</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17423-2023</t>
        </is>
      </c>
      <c r="B179" t="inlineStr">
        <is>
          <t>avverkningsanmälan</t>
        </is>
      </c>
      <c r="C179" t="inlineStr">
        <is>
          <t>Föryngringsavverkning</t>
        </is>
      </c>
      <c r="D179" s="1" t="n">
        <v>45035</v>
      </c>
      <c r="E179" s="1" t="n">
        <v>46221</v>
      </c>
      <c r="F179" t="inlineStr">
        <is>
          <t>NORRBOTTENS LÄN</t>
        </is>
      </c>
      <c r="G179" t="inlineStr">
        <is>
          <t>PITEÅ</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17447-2023</t>
        </is>
      </c>
      <c r="B180" t="inlineStr">
        <is>
          <t>avverkningsanmälan</t>
        </is>
      </c>
      <c r="C180" t="inlineStr">
        <is>
          <t>Föryngringsavverkning</t>
        </is>
      </c>
      <c r="D180" s="1" t="n">
        <v>45035</v>
      </c>
      <c r="E180" s="1" t="n">
        <v>46221</v>
      </c>
      <c r="F180" t="inlineStr">
        <is>
          <t>NORRBOTTENS LÄN</t>
        </is>
      </c>
      <c r="G180" t="inlineStr">
        <is>
          <t>PITEÅ</t>
        </is>
      </c>
      <c r="H180" t="inlineStr">
        <is>
          <t>SCA</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31552-2024</t>
        </is>
      </c>
      <c r="B181" t="inlineStr">
        <is>
          <t>avverkningsanmälan</t>
        </is>
      </c>
      <c r="C181" t="inlineStr">
        <is>
          <t>Föryngringsavverkning</t>
        </is>
      </c>
      <c r="D181" s="1" t="n">
        <v>45505</v>
      </c>
      <c r="E181" s="1" t="n">
        <v>46221</v>
      </c>
      <c r="F181" t="inlineStr">
        <is>
          <t>NORRBOTTENS LÄN</t>
        </is>
      </c>
      <c r="G181" t="inlineStr">
        <is>
          <t>PITEÅ</t>
        </is>
      </c>
      <c r="H181" t="inlineStr">
        <is>
          <t>SCA</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28713-2024</t>
        </is>
      </c>
      <c r="B182" t="inlineStr">
        <is>
          <t>avverkningsanmälan</t>
        </is>
      </c>
      <c r="C182" t="inlineStr">
        <is>
          <t>Föryngringsavverkning</t>
        </is>
      </c>
      <c r="D182" s="1" t="n">
        <v>45478</v>
      </c>
      <c r="E182" s="1" t="n">
        <v>46221</v>
      </c>
      <c r="F182" t="inlineStr">
        <is>
          <t>NORRBOTTENS LÄN</t>
        </is>
      </c>
      <c r="G182" t="inlineStr">
        <is>
          <t>PITEÅ</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37821-2024</t>
        </is>
      </c>
      <c r="B183" t="inlineStr">
        <is>
          <t>avverkningsanmälan</t>
        </is>
      </c>
      <c r="C183" t="inlineStr">
        <is>
          <t>Föryngringsavverkning</t>
        </is>
      </c>
      <c r="D183" s="1" t="n">
        <v>45544</v>
      </c>
      <c r="E183" s="1" t="n">
        <v>46221</v>
      </c>
      <c r="F183" t="inlineStr">
        <is>
          <t>NORRBOTTENS LÄN</t>
        </is>
      </c>
      <c r="G183" t="inlineStr">
        <is>
          <t>PITEÅ</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42450-2023</t>
        </is>
      </c>
      <c r="B184" t="inlineStr">
        <is>
          <t>avverkningsanmälan</t>
        </is>
      </c>
      <c r="C184" t="inlineStr">
        <is>
          <t>Föryngringsavverkning</t>
        </is>
      </c>
      <c r="D184" s="1" t="n">
        <v>45180</v>
      </c>
      <c r="E184" s="1" t="n">
        <v>46221</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29944-2024</t>
        </is>
      </c>
      <c r="B185" t="inlineStr">
        <is>
          <t>avverkningsanmälan</t>
        </is>
      </c>
      <c r="C185" t="inlineStr">
        <is>
          <t>Föryngringsavverkning</t>
        </is>
      </c>
      <c r="D185" s="1" t="n">
        <v>45488</v>
      </c>
      <c r="E185" s="1" t="n">
        <v>46221</v>
      </c>
      <c r="F185" t="inlineStr">
        <is>
          <t>NORRBOTTENS LÄN</t>
        </is>
      </c>
      <c r="G185" t="inlineStr">
        <is>
          <t>PITEÅ</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35660-2024</t>
        </is>
      </c>
      <c r="B186" t="inlineStr">
        <is>
          <t>avverkningsanmälan</t>
        </is>
      </c>
      <c r="C186" t="inlineStr">
        <is>
          <t>Föryngringsavverkning</t>
        </is>
      </c>
      <c r="D186" s="1" t="n">
        <v>45532</v>
      </c>
      <c r="E186" s="1" t="n">
        <v>46221</v>
      </c>
      <c r="F186" t="inlineStr">
        <is>
          <t>NORRBOTTENS LÄN</t>
        </is>
      </c>
      <c r="G186" t="inlineStr">
        <is>
          <t>PITEÅ</t>
        </is>
      </c>
      <c r="I186" t="n">
        <v>5.5</v>
      </c>
      <c r="J186" t="n">
        <v>0</v>
      </c>
      <c r="K186" t="n">
        <v>0</v>
      </c>
      <c r="L186" t="n">
        <v>0</v>
      </c>
      <c r="M186" t="n">
        <v>0</v>
      </c>
      <c r="N186" t="n">
        <v>0</v>
      </c>
      <c r="O186" t="n">
        <v>0</v>
      </c>
      <c r="P186" t="n">
        <v>0</v>
      </c>
      <c r="Q186" t="n">
        <v>0</v>
      </c>
      <c r="R186" t="n">
        <v>0</v>
      </c>
      <c r="S186" t="n">
        <v>0</v>
      </c>
      <c r="T186" t="n">
        <v>0</v>
      </c>
      <c r="U186" s="2" t="inlineStr"/>
    </row>
    <row r="187" ht="15" customHeight="1">
      <c r="A187" t="inlineStr">
        <is>
          <t>A 35670-2024</t>
        </is>
      </c>
      <c r="B187" t="inlineStr">
        <is>
          <t>avverkningsanmälan</t>
        </is>
      </c>
      <c r="C187" t="inlineStr">
        <is>
          <t>Föryngringsavverkning</t>
        </is>
      </c>
      <c r="D187" s="1" t="n">
        <v>45532</v>
      </c>
      <c r="E187" s="1" t="n">
        <v>46221</v>
      </c>
      <c r="F187" t="inlineStr">
        <is>
          <t>NORRBOTTENS LÄN</t>
        </is>
      </c>
      <c r="G187" t="inlineStr">
        <is>
          <t>PITEÅ</t>
        </is>
      </c>
      <c r="H187" t="inlineStr">
        <is>
          <t>SCA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32251-2024</t>
        </is>
      </c>
      <c r="B188" t="inlineStr">
        <is>
          <t>avverkningsanmälan</t>
        </is>
      </c>
      <c r="C188" t="inlineStr">
        <is>
          <t>Föryngringsavverkning</t>
        </is>
      </c>
      <c r="D188" s="1" t="n">
        <v>45511</v>
      </c>
      <c r="E188" s="1" t="n">
        <v>46221</v>
      </c>
      <c r="F188" t="inlineStr">
        <is>
          <t>NORRBOTTENS LÄN</t>
        </is>
      </c>
      <c r="G188" t="inlineStr">
        <is>
          <t>PITEÅ</t>
        </is>
      </c>
      <c r="H188" t="inlineStr">
        <is>
          <t>SCA</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71487-2021</t>
        </is>
      </c>
      <c r="B189" t="inlineStr">
        <is>
          <t>avverkningsanmälan</t>
        </is>
      </c>
      <c r="C189" t="inlineStr">
        <is>
          <t>Föryngringsavverkning</t>
        </is>
      </c>
      <c r="D189" s="1" t="n">
        <v>44539</v>
      </c>
      <c r="E189" s="1" t="n">
        <v>46221</v>
      </c>
      <c r="F189" t="inlineStr">
        <is>
          <t>NORRBOTTENS LÄN</t>
        </is>
      </c>
      <c r="G189" t="inlineStr">
        <is>
          <t>PITEÅ</t>
        </is>
      </c>
      <c r="H189" t="inlineStr">
        <is>
          <t>Kommuner</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41182-2024</t>
        </is>
      </c>
      <c r="B190" t="inlineStr">
        <is>
          <t>avverkningsanmälan</t>
        </is>
      </c>
      <c r="C190" t="inlineStr">
        <is>
          <t>Föryngringsavverkning</t>
        </is>
      </c>
      <c r="D190" s="1" t="n">
        <v>45559</v>
      </c>
      <c r="E190" s="1" t="n">
        <v>46221</v>
      </c>
      <c r="F190" t="inlineStr">
        <is>
          <t>NORRBOTTENS LÄN</t>
        </is>
      </c>
      <c r="G190" t="inlineStr">
        <is>
          <t>PITEÅ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41188-2024</t>
        </is>
      </c>
      <c r="B191" t="inlineStr">
        <is>
          <t>avverkningsanmälan</t>
        </is>
      </c>
      <c r="C191" t="inlineStr">
        <is>
          <t>Föryngringsavverkning</t>
        </is>
      </c>
      <c r="D191" s="1" t="n">
        <v>45559</v>
      </c>
      <c r="E191" s="1" t="n">
        <v>46221</v>
      </c>
      <c r="F191" t="inlineStr">
        <is>
          <t>NORRBOTTENS LÄN</t>
        </is>
      </c>
      <c r="G191" t="inlineStr">
        <is>
          <t>PITEÅ</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52908-2024</t>
        </is>
      </c>
      <c r="B192" t="inlineStr">
        <is>
          <t>avverkningsanmälan</t>
        </is>
      </c>
      <c r="C192" t="inlineStr">
        <is>
          <t>Avverkning för annat ändamål</t>
        </is>
      </c>
      <c r="D192" s="1" t="n">
        <v>45610</v>
      </c>
      <c r="E192" s="1" t="n">
        <v>46221</v>
      </c>
      <c r="F192" t="inlineStr">
        <is>
          <t>NORRBOTTENS LÄN</t>
        </is>
      </c>
      <c r="G192" t="inlineStr">
        <is>
          <t>PITEÅ</t>
        </is>
      </c>
      <c r="H192" t="inlineStr">
        <is>
          <t>SCA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58698-2024</t>
        </is>
      </c>
      <c r="B193" t="inlineStr">
        <is>
          <t>avverkningsanmälan</t>
        </is>
      </c>
      <c r="C193" t="inlineStr">
        <is>
          <t>Föryngringsavverkning</t>
        </is>
      </c>
      <c r="D193" s="1" t="n">
        <v>45635</v>
      </c>
      <c r="E193" s="1" t="n">
        <v>46221</v>
      </c>
      <c r="F193" t="inlineStr">
        <is>
          <t>NORRBOTTENS LÄN</t>
        </is>
      </c>
      <c r="G193" t="inlineStr">
        <is>
          <t>PITEÅ</t>
        </is>
      </c>
      <c r="I193" t="n">
        <v>4.2</v>
      </c>
      <c r="J193" t="n">
        <v>0</v>
      </c>
      <c r="K193" t="n">
        <v>0</v>
      </c>
      <c r="L193" t="n">
        <v>0</v>
      </c>
      <c r="M193" t="n">
        <v>0</v>
      </c>
      <c r="N193" t="n">
        <v>0</v>
      </c>
      <c r="O193" t="n">
        <v>0</v>
      </c>
      <c r="P193" t="n">
        <v>0</v>
      </c>
      <c r="Q193" t="n">
        <v>0</v>
      </c>
      <c r="R193" t="n">
        <v>0</v>
      </c>
      <c r="S193" t="n">
        <v>0</v>
      </c>
      <c r="T193" t="n">
        <v>0</v>
      </c>
      <c r="U193" s="2" t="inlineStr"/>
    </row>
    <row r="194" ht="15" customHeight="1">
      <c r="A194" t="inlineStr">
        <is>
          <t>A 4776-2022</t>
        </is>
      </c>
      <c r="B194" t="inlineStr">
        <is>
          <t>avverkningsanmälan</t>
        </is>
      </c>
      <c r="C194" t="inlineStr">
        <is>
          <t>Föryngringsavverkning</t>
        </is>
      </c>
      <c r="D194" s="1" t="n">
        <v>44592</v>
      </c>
      <c r="E194" s="1" t="n">
        <v>46221</v>
      </c>
      <c r="F194" t="inlineStr">
        <is>
          <t>NORRBOTTENS LÄN</t>
        </is>
      </c>
      <c r="G194" t="inlineStr">
        <is>
          <t>PITEÅ</t>
        </is>
      </c>
      <c r="I194" t="n">
        <v>9.5</v>
      </c>
      <c r="J194" t="n">
        <v>0</v>
      </c>
      <c r="K194" t="n">
        <v>0</v>
      </c>
      <c r="L194" t="n">
        <v>0</v>
      </c>
      <c r="M194" t="n">
        <v>0</v>
      </c>
      <c r="N194" t="n">
        <v>0</v>
      </c>
      <c r="O194" t="n">
        <v>0</v>
      </c>
      <c r="P194" t="n">
        <v>0</v>
      </c>
      <c r="Q194" t="n">
        <v>0</v>
      </c>
      <c r="R194" t="n">
        <v>0</v>
      </c>
      <c r="S194" t="n">
        <v>0</v>
      </c>
      <c r="T194" t="n">
        <v>0</v>
      </c>
      <c r="U194" s="2" t="inlineStr"/>
    </row>
    <row r="195" ht="15" customHeight="1">
      <c r="A195" t="inlineStr">
        <is>
          <t>A 55124-2023</t>
        </is>
      </c>
      <c r="B195" t="inlineStr">
        <is>
          <t>avverkningsanmälan</t>
        </is>
      </c>
      <c r="C195" t="inlineStr">
        <is>
          <t>Föryngringsavverkning</t>
        </is>
      </c>
      <c r="D195" s="1" t="n">
        <v>45237</v>
      </c>
      <c r="E195" s="1" t="n">
        <v>46221</v>
      </c>
      <c r="F195" t="inlineStr">
        <is>
          <t>NORRBOTTENS LÄN</t>
        </is>
      </c>
      <c r="G195" t="inlineStr">
        <is>
          <t>PITEÅ</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39782-2024</t>
        </is>
      </c>
      <c r="B196" t="inlineStr">
        <is>
          <t>avverkningsanmälan</t>
        </is>
      </c>
      <c r="C196" t="inlineStr">
        <is>
          <t>Föryngringsavverkning</t>
        </is>
      </c>
      <c r="D196" s="1" t="n">
        <v>45553</v>
      </c>
      <c r="E196" s="1" t="n">
        <v>46221</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38091-2024</t>
        </is>
      </c>
      <c r="B197" t="inlineStr">
        <is>
          <t>avverkningsanmälan</t>
        </is>
      </c>
      <c r="C197" t="inlineStr">
        <is>
          <t>Föryngringsavverkning</t>
        </is>
      </c>
      <c r="D197" s="1" t="n">
        <v>45545</v>
      </c>
      <c r="E197" s="1" t="n">
        <v>46221</v>
      </c>
      <c r="F197" t="inlineStr">
        <is>
          <t>NORRBOTTENS LÄN</t>
        </is>
      </c>
      <c r="G197" t="inlineStr">
        <is>
          <t>PITEÅ</t>
        </is>
      </c>
      <c r="H197" t="inlineStr">
        <is>
          <t>SCA</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54775-2024</t>
        </is>
      </c>
      <c r="B198" t="inlineStr">
        <is>
          <t>avverkningsanmälan</t>
        </is>
      </c>
      <c r="C198" t="inlineStr">
        <is>
          <t>Föryngringsavverkning</t>
        </is>
      </c>
      <c r="D198" s="1" t="n">
        <v>45618</v>
      </c>
      <c r="E198" s="1" t="n">
        <v>46221</v>
      </c>
      <c r="F198" t="inlineStr">
        <is>
          <t>NORRBOTTENS LÄN</t>
        </is>
      </c>
      <c r="G198" t="inlineStr">
        <is>
          <t>PITEÅ</t>
        </is>
      </c>
      <c r="I198" t="n">
        <v>9.199999999999999</v>
      </c>
      <c r="J198" t="n">
        <v>0</v>
      </c>
      <c r="K198" t="n">
        <v>0</v>
      </c>
      <c r="L198" t="n">
        <v>0</v>
      </c>
      <c r="M198" t="n">
        <v>0</v>
      </c>
      <c r="N198" t="n">
        <v>0</v>
      </c>
      <c r="O198" t="n">
        <v>0</v>
      </c>
      <c r="P198" t="n">
        <v>0</v>
      </c>
      <c r="Q198" t="n">
        <v>0</v>
      </c>
      <c r="R198" t="n">
        <v>0</v>
      </c>
      <c r="S198" t="n">
        <v>0</v>
      </c>
      <c r="T198" t="n">
        <v>0</v>
      </c>
      <c r="U198" s="2" t="inlineStr"/>
    </row>
    <row r="199" ht="15" customHeight="1">
      <c r="A199" t="inlineStr">
        <is>
          <t>A 3488-2026</t>
        </is>
      </c>
      <c r="B199" t="inlineStr">
        <is>
          <t>avverkningsanmälan</t>
        </is>
      </c>
      <c r="C199" t="inlineStr">
        <is>
          <t>Föryngringsavverkning</t>
        </is>
      </c>
      <c r="D199" s="1" t="n">
        <v>46042</v>
      </c>
      <c r="E199" s="1" t="n">
        <v>46221</v>
      </c>
      <c r="F199" t="inlineStr">
        <is>
          <t>NORRBOTTENS LÄN</t>
        </is>
      </c>
      <c r="G199" t="inlineStr">
        <is>
          <t>PITEÅ</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3497-2026</t>
        </is>
      </c>
      <c r="B200" t="inlineStr">
        <is>
          <t>avverkningsanmälan</t>
        </is>
      </c>
      <c r="C200" t="inlineStr">
        <is>
          <t>Föryngringsavverkning</t>
        </is>
      </c>
      <c r="D200" s="1" t="n">
        <v>46042</v>
      </c>
      <c r="E200" s="1" t="n">
        <v>46221</v>
      </c>
      <c r="F200" t="inlineStr">
        <is>
          <t>NORRBOTTENS LÄN</t>
        </is>
      </c>
      <c r="G200" t="inlineStr">
        <is>
          <t>PITEÅ</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3498-2026</t>
        </is>
      </c>
      <c r="B201" t="inlineStr">
        <is>
          <t>avverkningsanmälan</t>
        </is>
      </c>
      <c r="C201" t="inlineStr">
        <is>
          <t>Föryngringsavverkning</t>
        </is>
      </c>
      <c r="D201" s="1" t="n">
        <v>46042</v>
      </c>
      <c r="E201" s="1" t="n">
        <v>46221</v>
      </c>
      <c r="F201" t="inlineStr">
        <is>
          <t>NORRBOTTENS LÄN</t>
        </is>
      </c>
      <c r="G201" t="inlineStr">
        <is>
          <t>PITEÅ</t>
        </is>
      </c>
      <c r="I201" t="n">
        <v>2.3</v>
      </c>
      <c r="J201" t="n">
        <v>0</v>
      </c>
      <c r="K201" t="n">
        <v>0</v>
      </c>
      <c r="L201" t="n">
        <v>0</v>
      </c>
      <c r="M201" t="n">
        <v>0</v>
      </c>
      <c r="N201" t="n">
        <v>0</v>
      </c>
      <c r="O201" t="n">
        <v>0</v>
      </c>
      <c r="P201" t="n">
        <v>0</v>
      </c>
      <c r="Q201" t="n">
        <v>0</v>
      </c>
      <c r="R201" t="n">
        <v>0</v>
      </c>
      <c r="S201" t="n">
        <v>0</v>
      </c>
      <c r="T201" t="n">
        <v>0</v>
      </c>
      <c r="U201" s="2" t="inlineStr"/>
    </row>
    <row r="202" ht="15" customHeight="1">
      <c r="A202" t="inlineStr">
        <is>
          <t>A 3491-2026</t>
        </is>
      </c>
      <c r="B202" t="inlineStr">
        <is>
          <t>avverkningsanmälan</t>
        </is>
      </c>
      <c r="C202" t="inlineStr">
        <is>
          <t>Föryngringsavverkning</t>
        </is>
      </c>
      <c r="D202" s="1" t="n">
        <v>46042</v>
      </c>
      <c r="E202" s="1" t="n">
        <v>46221</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3560-2026</t>
        </is>
      </c>
      <c r="B203" t="inlineStr">
        <is>
          <t>avverkningsanmälan</t>
        </is>
      </c>
      <c r="C203" t="inlineStr">
        <is>
          <t>Föryngringsavverkning</t>
        </is>
      </c>
      <c r="D203" s="1" t="n">
        <v>46042</v>
      </c>
      <c r="E203" s="1" t="n">
        <v>46221</v>
      </c>
      <c r="F203" t="inlineStr">
        <is>
          <t>NORRBOTTENS LÄN</t>
        </is>
      </c>
      <c r="G203" t="inlineStr">
        <is>
          <t>PITEÅ</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3486-2026</t>
        </is>
      </c>
      <c r="B204" t="inlineStr">
        <is>
          <t>avverkningsanmälan</t>
        </is>
      </c>
      <c r="C204" t="inlineStr">
        <is>
          <t>Föryngringsavverkning</t>
        </is>
      </c>
      <c r="D204" s="1" t="n">
        <v>46042</v>
      </c>
      <c r="E204" s="1" t="n">
        <v>46221</v>
      </c>
      <c r="F204" t="inlineStr">
        <is>
          <t>NORRBOTTENS LÄN</t>
        </is>
      </c>
      <c r="G204" t="inlineStr">
        <is>
          <t>PITEÅ</t>
        </is>
      </c>
      <c r="I204" t="n">
        <v>10</v>
      </c>
      <c r="J204" t="n">
        <v>0</v>
      </c>
      <c r="K204" t="n">
        <v>0</v>
      </c>
      <c r="L204" t="n">
        <v>0</v>
      </c>
      <c r="M204" t="n">
        <v>0</v>
      </c>
      <c r="N204" t="n">
        <v>0</v>
      </c>
      <c r="O204" t="n">
        <v>0</v>
      </c>
      <c r="P204" t="n">
        <v>0</v>
      </c>
      <c r="Q204" t="n">
        <v>0</v>
      </c>
      <c r="R204" t="n">
        <v>0</v>
      </c>
      <c r="S204" t="n">
        <v>0</v>
      </c>
      <c r="T204" t="n">
        <v>0</v>
      </c>
      <c r="U204" s="2" t="inlineStr"/>
    </row>
    <row r="205" ht="15" customHeight="1">
      <c r="A205" t="inlineStr">
        <is>
          <t>A 7928-2022</t>
        </is>
      </c>
      <c r="B205" t="inlineStr">
        <is>
          <t>avverkningsanmälan</t>
        </is>
      </c>
      <c r="C205" t="inlineStr">
        <is>
          <t>Föryngringsavverkning</t>
        </is>
      </c>
      <c r="D205" s="1" t="n">
        <v>44608</v>
      </c>
      <c r="E205" s="1" t="n">
        <v>46221</v>
      </c>
      <c r="F205" t="inlineStr">
        <is>
          <t>NORRBOTTENS LÄN</t>
        </is>
      </c>
      <c r="G205" t="inlineStr">
        <is>
          <t>PITEÅ</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11998-2024</t>
        </is>
      </c>
      <c r="B206" t="inlineStr">
        <is>
          <t>avverkningsanmälan</t>
        </is>
      </c>
      <c r="C206" t="inlineStr">
        <is>
          <t>Föryngringsavverkning</t>
        </is>
      </c>
      <c r="D206" s="1" t="n">
        <v>45377</v>
      </c>
      <c r="E206" s="1" t="n">
        <v>46221</v>
      </c>
      <c r="F206" t="inlineStr">
        <is>
          <t>NORRBOTTENS LÄN</t>
        </is>
      </c>
      <c r="G206" t="inlineStr">
        <is>
          <t>PITEÅ</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69537-2021</t>
        </is>
      </c>
      <c r="B207" t="inlineStr">
        <is>
          <t>avverkningsanmälan</t>
        </is>
      </c>
      <c r="C207" t="inlineStr">
        <is>
          <t>Föryngringsavverkning</t>
        </is>
      </c>
      <c r="D207" s="1" t="n">
        <v>44531</v>
      </c>
      <c r="E207" s="1" t="n">
        <v>46221</v>
      </c>
      <c r="F207" t="inlineStr">
        <is>
          <t>NORRBOTTENS LÄN</t>
        </is>
      </c>
      <c r="G207" t="inlineStr">
        <is>
          <t>PITEÅ</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26482-2025</t>
        </is>
      </c>
      <c r="B208" t="inlineStr">
        <is>
          <t>avverkningsanmälan</t>
        </is>
      </c>
      <c r="C208" t="inlineStr">
        <is>
          <t>Föryngringsavverkning</t>
        </is>
      </c>
      <c r="D208" s="1" t="n">
        <v>45807</v>
      </c>
      <c r="E208" s="1" t="n">
        <v>46221</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60618-2024</t>
        </is>
      </c>
      <c r="B209" t="inlineStr">
        <is>
          <t>avverkningsanmälan</t>
        </is>
      </c>
      <c r="C209" t="inlineStr">
        <is>
          <t>Föryngringsavverkning</t>
        </is>
      </c>
      <c r="D209" s="1" t="n">
        <v>45644</v>
      </c>
      <c r="E209" s="1" t="n">
        <v>46221</v>
      </c>
      <c r="F209" t="inlineStr">
        <is>
          <t>NORRBOTTENS LÄN</t>
        </is>
      </c>
      <c r="G209" t="inlineStr">
        <is>
          <t>PITEÅ</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30452-2024</t>
        </is>
      </c>
      <c r="B210" t="inlineStr">
        <is>
          <t>avverkningsanmälan</t>
        </is>
      </c>
      <c r="C210" t="inlineStr">
        <is>
          <t>Föryngringsavverkning</t>
        </is>
      </c>
      <c r="D210" s="1" t="n">
        <v>45491</v>
      </c>
      <c r="E210" s="1" t="n">
        <v>46221</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3181-2026</t>
        </is>
      </c>
      <c r="B211" t="inlineStr">
        <is>
          <t>avverkningsanmälan</t>
        </is>
      </c>
      <c r="C211" t="inlineStr">
        <is>
          <t>Föryngringsavverkning</t>
        </is>
      </c>
      <c r="D211" s="1" t="n">
        <v>46041</v>
      </c>
      <c r="E211" s="1" t="n">
        <v>46221</v>
      </c>
      <c r="F211" t="inlineStr">
        <is>
          <t>NORRBOTTENS LÄN</t>
        </is>
      </c>
      <c r="G211" t="inlineStr">
        <is>
          <t>PITEÅ</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2782-2026</t>
        </is>
      </c>
      <c r="B212" t="inlineStr">
        <is>
          <t>avverkningsanmälan</t>
        </is>
      </c>
      <c r="C212" t="inlineStr">
        <is>
          <t>Föryngringsavverkning</t>
        </is>
      </c>
      <c r="D212" s="1" t="n">
        <v>46038</v>
      </c>
      <c r="E212" s="1" t="n">
        <v>46221</v>
      </c>
      <c r="F212" t="inlineStr">
        <is>
          <t>NORRBOTTENS LÄN</t>
        </is>
      </c>
      <c r="G212" t="inlineStr">
        <is>
          <t>PITEÅ</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3537-2026</t>
        </is>
      </c>
      <c r="B213" t="inlineStr">
        <is>
          <t>avverkningsanmälan</t>
        </is>
      </c>
      <c r="C213" t="inlineStr">
        <is>
          <t>Föryngringsavverkning</t>
        </is>
      </c>
      <c r="D213" s="1" t="n">
        <v>46042</v>
      </c>
      <c r="E213" s="1" t="n">
        <v>46221</v>
      </c>
      <c r="F213" t="inlineStr">
        <is>
          <t>NORRBOTTENS LÄN</t>
        </is>
      </c>
      <c r="G213" t="inlineStr">
        <is>
          <t>PITEÅ</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2627-2023</t>
        </is>
      </c>
      <c r="B214" t="inlineStr">
        <is>
          <t>avverkningsanmälan</t>
        </is>
      </c>
      <c r="C214" t="inlineStr">
        <is>
          <t>Föryngringsavverkning</t>
        </is>
      </c>
      <c r="D214" s="1" t="n">
        <v>44942</v>
      </c>
      <c r="E214" s="1" t="n">
        <v>46221</v>
      </c>
      <c r="F214" t="inlineStr">
        <is>
          <t>NORRBOTTENS LÄN</t>
        </is>
      </c>
      <c r="G214" t="inlineStr">
        <is>
          <t>PITEÅ</t>
        </is>
      </c>
      <c r="I214" t="n">
        <v>3.8</v>
      </c>
      <c r="J214" t="n">
        <v>0</v>
      </c>
      <c r="K214" t="n">
        <v>0</v>
      </c>
      <c r="L214" t="n">
        <v>0</v>
      </c>
      <c r="M214" t="n">
        <v>0</v>
      </c>
      <c r="N214" t="n">
        <v>0</v>
      </c>
      <c r="O214" t="n">
        <v>0</v>
      </c>
      <c r="P214" t="n">
        <v>0</v>
      </c>
      <c r="Q214" t="n">
        <v>0</v>
      </c>
      <c r="R214" t="n">
        <v>0</v>
      </c>
      <c r="S214" t="n">
        <v>0</v>
      </c>
      <c r="T214" t="n">
        <v>0</v>
      </c>
      <c r="U214" s="2" t="inlineStr"/>
    </row>
    <row r="215" ht="15" customHeight="1">
      <c r="A215" t="inlineStr">
        <is>
          <t>A 4079-2026</t>
        </is>
      </c>
      <c r="B215" t="inlineStr">
        <is>
          <t>avverkningsanmälan</t>
        </is>
      </c>
      <c r="C215" t="inlineStr">
        <is>
          <t>Föryngringsavverkning</t>
        </is>
      </c>
      <c r="D215" s="1" t="n">
        <v>46044</v>
      </c>
      <c r="E215" s="1" t="n">
        <v>46221</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4082-2026</t>
        </is>
      </c>
      <c r="B216" t="inlineStr">
        <is>
          <t>avverkningsanmälan</t>
        </is>
      </c>
      <c r="C216" t="inlineStr">
        <is>
          <t>Föryngringsavverkning</t>
        </is>
      </c>
      <c r="D216" s="1" t="n">
        <v>46044</v>
      </c>
      <c r="E216" s="1" t="n">
        <v>46221</v>
      </c>
      <c r="F216" t="inlineStr">
        <is>
          <t>NORRBOTTENS LÄN</t>
        </is>
      </c>
      <c r="G216" t="inlineStr">
        <is>
          <t>PITEÅ</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46944-2024</t>
        </is>
      </c>
      <c r="B217" t="inlineStr">
        <is>
          <t>avverkningsanmälan</t>
        </is>
      </c>
      <c r="C217" t="inlineStr">
        <is>
          <t>Föryngringsavverkning</t>
        </is>
      </c>
      <c r="D217" s="1" t="n">
        <v>45585</v>
      </c>
      <c r="E217" s="1" t="n">
        <v>46221</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14556-2025</t>
        </is>
      </c>
      <c r="B218" t="inlineStr">
        <is>
          <t>avverkningsanmälan</t>
        </is>
      </c>
      <c r="C218" t="inlineStr">
        <is>
          <t>Föryngringsavverkning</t>
        </is>
      </c>
      <c r="D218" s="1" t="n">
        <v>45741</v>
      </c>
      <c r="E218" s="1" t="n">
        <v>46221</v>
      </c>
      <c r="F218" t="inlineStr">
        <is>
          <t>NORRBOTTENS LÄN</t>
        </is>
      </c>
      <c r="G218" t="inlineStr">
        <is>
          <t>PITEÅ</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43383-2024</t>
        </is>
      </c>
      <c r="B219" t="inlineStr">
        <is>
          <t>avverkningsanmälan</t>
        </is>
      </c>
      <c r="C219" t="inlineStr">
        <is>
          <t>Föryngringsavverkning</t>
        </is>
      </c>
      <c r="D219" s="1" t="n">
        <v>45568</v>
      </c>
      <c r="E219" s="1" t="n">
        <v>46221</v>
      </c>
      <c r="F219" t="inlineStr">
        <is>
          <t>NORRBOTTENS LÄN</t>
        </is>
      </c>
      <c r="G219" t="inlineStr">
        <is>
          <t>PITEÅ</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3817-2026</t>
        </is>
      </c>
      <c r="B220" t="inlineStr">
        <is>
          <t>avverkningsanmälan</t>
        </is>
      </c>
      <c r="C220" t="inlineStr">
        <is>
          <t>Föryngringsavverkning</t>
        </is>
      </c>
      <c r="D220" s="1" t="n">
        <v>46043</v>
      </c>
      <c r="E220" s="1" t="n">
        <v>46221</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32432-2023</t>
        </is>
      </c>
      <c r="B221" t="inlineStr">
        <is>
          <t>avverkningsanmälan</t>
        </is>
      </c>
      <c r="C221" t="inlineStr">
        <is>
          <t>Föryngringsavverkning</t>
        </is>
      </c>
      <c r="D221" s="1" t="n">
        <v>45120</v>
      </c>
      <c r="E221" s="1" t="n">
        <v>46221</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32438-2023</t>
        </is>
      </c>
      <c r="B222" t="inlineStr">
        <is>
          <t>avverkningsanmälan</t>
        </is>
      </c>
      <c r="C222" t="inlineStr">
        <is>
          <t>Föryngringsavverkning</t>
        </is>
      </c>
      <c r="D222" s="1" t="n">
        <v>45120</v>
      </c>
      <c r="E222" s="1" t="n">
        <v>46221</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45524-2024</t>
        </is>
      </c>
      <c r="B223" t="inlineStr">
        <is>
          <t>avverkningsanmälan</t>
        </is>
      </c>
      <c r="C223" t="inlineStr">
        <is>
          <t>Föryngringsavverkning</t>
        </is>
      </c>
      <c r="D223" s="1" t="n">
        <v>45578</v>
      </c>
      <c r="E223" s="1" t="n">
        <v>46221</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s="2" t="inlineStr"/>
    </row>
    <row r="224" ht="15" customHeight="1">
      <c r="A224" t="inlineStr">
        <is>
          <t>A 3847-2026</t>
        </is>
      </c>
      <c r="B224" t="inlineStr">
        <is>
          <t>avverkningsanmälan</t>
        </is>
      </c>
      <c r="C224" t="inlineStr">
        <is>
          <t>Föryngringsavverkning</t>
        </is>
      </c>
      <c r="D224" s="1" t="n">
        <v>46043</v>
      </c>
      <c r="E224" s="1" t="n">
        <v>46221</v>
      </c>
      <c r="F224" t="inlineStr">
        <is>
          <t>NORRBOTTENS LÄN</t>
        </is>
      </c>
      <c r="G224" t="inlineStr">
        <is>
          <t>PITEÅ</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14862-2023</t>
        </is>
      </c>
      <c r="B225" t="inlineStr">
        <is>
          <t>avverkningsanmälan</t>
        </is>
      </c>
      <c r="C225" t="inlineStr">
        <is>
          <t>Föryngringsavverkning</t>
        </is>
      </c>
      <c r="D225" s="1" t="n">
        <v>45015</v>
      </c>
      <c r="E225" s="1" t="n">
        <v>46221</v>
      </c>
      <c r="F225" t="inlineStr">
        <is>
          <t>NORRBOTTENS LÄN</t>
        </is>
      </c>
      <c r="G225" t="inlineStr">
        <is>
          <t>PITEÅ</t>
        </is>
      </c>
      <c r="H225" t="inlineStr">
        <is>
          <t>SCA</t>
        </is>
      </c>
      <c r="I225" t="n">
        <v>10.9</v>
      </c>
      <c r="J225" t="n">
        <v>0</v>
      </c>
      <c r="K225" t="n">
        <v>0</v>
      </c>
      <c r="L225" t="n">
        <v>0</v>
      </c>
      <c r="M225" t="n">
        <v>0</v>
      </c>
      <c r="N225" t="n">
        <v>0</v>
      </c>
      <c r="O225" t="n">
        <v>0</v>
      </c>
      <c r="P225" t="n">
        <v>0</v>
      </c>
      <c r="Q225" t="n">
        <v>0</v>
      </c>
      <c r="R225" t="n">
        <v>0</v>
      </c>
      <c r="S225" t="n">
        <v>0</v>
      </c>
      <c r="T225" t="n">
        <v>0</v>
      </c>
      <c r="U225" s="2" t="inlineStr"/>
    </row>
    <row r="226" ht="15" customHeight="1">
      <c r="A226" t="inlineStr">
        <is>
          <t>A 42590-2024</t>
        </is>
      </c>
      <c r="B226" t="inlineStr">
        <is>
          <t>avverkningsanmälan</t>
        </is>
      </c>
      <c r="C226" t="inlineStr">
        <is>
          <t>Föryngringsavverkning</t>
        </is>
      </c>
      <c r="D226" s="1" t="n">
        <v>45565</v>
      </c>
      <c r="E226" s="1" t="n">
        <v>46221</v>
      </c>
      <c r="F226" t="inlineStr">
        <is>
          <t>NORRBOTTENS LÄN</t>
        </is>
      </c>
      <c r="G226" t="inlineStr">
        <is>
          <t>PITEÅ</t>
        </is>
      </c>
      <c r="H226" t="inlineStr">
        <is>
          <t>Sveaskog</t>
        </is>
      </c>
      <c r="I226" t="n">
        <v>22.8</v>
      </c>
      <c r="J226" t="n">
        <v>0</v>
      </c>
      <c r="K226" t="n">
        <v>0</v>
      </c>
      <c r="L226" t="n">
        <v>0</v>
      </c>
      <c r="M226" t="n">
        <v>0</v>
      </c>
      <c r="N226" t="n">
        <v>0</v>
      </c>
      <c r="O226" t="n">
        <v>0</v>
      </c>
      <c r="P226" t="n">
        <v>0</v>
      </c>
      <c r="Q226" t="n">
        <v>0</v>
      </c>
      <c r="R226" t="n">
        <v>0</v>
      </c>
      <c r="S226" t="n">
        <v>0</v>
      </c>
      <c r="T226" t="n">
        <v>0</v>
      </c>
      <c r="U226" s="2" t="inlineStr"/>
    </row>
    <row r="227" ht="15" customHeight="1">
      <c r="A227" t="inlineStr">
        <is>
          <t>A 18850-2025</t>
        </is>
      </c>
      <c r="B227" t="inlineStr">
        <is>
          <t>avverkningsanmälan</t>
        </is>
      </c>
      <c r="C227" t="inlineStr">
        <is>
          <t>Föryngringsavverkning</t>
        </is>
      </c>
      <c r="D227" s="1" t="n">
        <v>45764</v>
      </c>
      <c r="E227" s="1" t="n">
        <v>46221</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28742-2025</t>
        </is>
      </c>
      <c r="B228" t="inlineStr">
        <is>
          <t>avverkningsanmälan</t>
        </is>
      </c>
      <c r="C228" t="inlineStr">
        <is>
          <t>Föryngringsavverkning</t>
        </is>
      </c>
      <c r="D228" s="1" t="n">
        <v>45820</v>
      </c>
      <c r="E228" s="1" t="n">
        <v>46221</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4845-2026</t>
        </is>
      </c>
      <c r="B229" t="inlineStr">
        <is>
          <t>avverkningsanmälan</t>
        </is>
      </c>
      <c r="C229" t="inlineStr">
        <is>
          <t>Föryngringsavverkning</t>
        </is>
      </c>
      <c r="D229" s="1" t="n">
        <v>46048</v>
      </c>
      <c r="E229" s="1" t="n">
        <v>46221</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28840-2025</t>
        </is>
      </c>
      <c r="B230" t="inlineStr">
        <is>
          <t>avverkningsanmälan</t>
        </is>
      </c>
      <c r="C230" t="inlineStr">
        <is>
          <t>Föryngringsavverkning</t>
        </is>
      </c>
      <c r="D230" s="1" t="n">
        <v>45820</v>
      </c>
      <c r="E230" s="1" t="n">
        <v>46221</v>
      </c>
      <c r="F230" t="inlineStr">
        <is>
          <t>NORRBOTTENS LÄN</t>
        </is>
      </c>
      <c r="G230" t="inlineStr">
        <is>
          <t>PITEÅ</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35408-2024</t>
        </is>
      </c>
      <c r="B231" t="inlineStr">
        <is>
          <t>avverkningsanmälan</t>
        </is>
      </c>
      <c r="C231" t="inlineStr">
        <is>
          <t>Föryngringsavverkning</t>
        </is>
      </c>
      <c r="D231" s="1" t="n">
        <v>45531</v>
      </c>
      <c r="E231" s="1" t="n">
        <v>46221</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19329-2025</t>
        </is>
      </c>
      <c r="B232" t="inlineStr">
        <is>
          <t>avverkningsanmälan</t>
        </is>
      </c>
      <c r="C232" t="inlineStr">
        <is>
          <t>Föryngringsavverkning</t>
        </is>
      </c>
      <c r="D232" s="1" t="n">
        <v>45769</v>
      </c>
      <c r="E232" s="1" t="n">
        <v>46221</v>
      </c>
      <c r="F232" t="inlineStr">
        <is>
          <t>NORRBOTTENS LÄN</t>
        </is>
      </c>
      <c r="G232" t="inlineStr">
        <is>
          <t>PITEÅ</t>
        </is>
      </c>
      <c r="H232" t="inlineStr">
        <is>
          <t>Sveaskog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4860-2026</t>
        </is>
      </c>
      <c r="B233" t="inlineStr">
        <is>
          <t>avverkningsanmälan</t>
        </is>
      </c>
      <c r="C233" t="inlineStr">
        <is>
          <t>Föryngringsavverkning</t>
        </is>
      </c>
      <c r="D233" s="1" t="n">
        <v>46048</v>
      </c>
      <c r="E233" s="1" t="n">
        <v>46221</v>
      </c>
      <c r="F233" t="inlineStr">
        <is>
          <t>NORRBOTTENS LÄN</t>
        </is>
      </c>
      <c r="G233" t="inlineStr">
        <is>
          <t>PITEÅ</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29452-2025</t>
        </is>
      </c>
      <c r="B234" t="inlineStr">
        <is>
          <t>avverkningsanmälan</t>
        </is>
      </c>
      <c r="C234" t="inlineStr">
        <is>
          <t>Föryngringsavverkning</t>
        </is>
      </c>
      <c r="D234" s="1" t="n">
        <v>45824</v>
      </c>
      <c r="E234" s="1" t="n">
        <v>46221</v>
      </c>
      <c r="F234" t="inlineStr">
        <is>
          <t>NORRBOTTENS LÄN</t>
        </is>
      </c>
      <c r="G234" t="inlineStr">
        <is>
          <t>PITEÅ</t>
        </is>
      </c>
      <c r="H234" t="inlineStr">
        <is>
          <t>Övriga Aktiebolag</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40210-2025</t>
        </is>
      </c>
      <c r="B235" t="inlineStr">
        <is>
          <t>avverkningsanmälan</t>
        </is>
      </c>
      <c r="C235" t="inlineStr">
        <is>
          <t>Föryngringsavverkning</t>
        </is>
      </c>
      <c r="D235" s="1" t="n">
        <v>45894</v>
      </c>
      <c r="E235" s="1" t="n">
        <v>46221</v>
      </c>
      <c r="F235" t="inlineStr">
        <is>
          <t>NORRBOTTENS LÄN</t>
        </is>
      </c>
      <c r="G235" t="inlineStr">
        <is>
          <t>PITEÅ</t>
        </is>
      </c>
      <c r="H235" t="inlineStr">
        <is>
          <t>Sveaskog</t>
        </is>
      </c>
      <c r="I235" t="n">
        <v>6.7</v>
      </c>
      <c r="J235" t="n">
        <v>0</v>
      </c>
      <c r="K235" t="n">
        <v>0</v>
      </c>
      <c r="L235" t="n">
        <v>0</v>
      </c>
      <c r="M235" t="n">
        <v>0</v>
      </c>
      <c r="N235" t="n">
        <v>0</v>
      </c>
      <c r="O235" t="n">
        <v>0</v>
      </c>
      <c r="P235" t="n">
        <v>0</v>
      </c>
      <c r="Q235" t="n">
        <v>0</v>
      </c>
      <c r="R235" t="n">
        <v>0</v>
      </c>
      <c r="S235" t="n">
        <v>0</v>
      </c>
      <c r="T235" t="n">
        <v>0</v>
      </c>
      <c r="U235" s="2" t="inlineStr"/>
    </row>
    <row r="236" ht="15" customHeight="1">
      <c r="A236" t="inlineStr">
        <is>
          <t>A 39891-2025</t>
        </is>
      </c>
      <c r="B236" t="inlineStr">
        <is>
          <t>avverkningsanmälan</t>
        </is>
      </c>
      <c r="C236" t="inlineStr">
        <is>
          <t>Föryngringsavverkning</t>
        </is>
      </c>
      <c r="D236" s="1" t="n">
        <v>45891</v>
      </c>
      <c r="E236" s="1" t="n">
        <v>46221</v>
      </c>
      <c r="F236" t="inlineStr">
        <is>
          <t>NORRBOTTENS LÄN</t>
        </is>
      </c>
      <c r="G236" t="inlineStr">
        <is>
          <t>PITEÅ</t>
        </is>
      </c>
      <c r="H236" t="inlineStr">
        <is>
          <t>Sveaskog</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35197-2023</t>
        </is>
      </c>
      <c r="B237" t="inlineStr">
        <is>
          <t>avverkningsanmälan</t>
        </is>
      </c>
      <c r="C237" t="inlineStr">
        <is>
          <t>Föryngringsavverkning</t>
        </is>
      </c>
      <c r="D237" s="1" t="n">
        <v>45145</v>
      </c>
      <c r="E237" s="1" t="n">
        <v>46221</v>
      </c>
      <c r="F237" t="inlineStr">
        <is>
          <t>NORRBOTTENS LÄN</t>
        </is>
      </c>
      <c r="G237" t="inlineStr">
        <is>
          <t>PITEÅ</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4854-2026</t>
        </is>
      </c>
      <c r="B238" t="inlineStr">
        <is>
          <t>avverkningsanmälan</t>
        </is>
      </c>
      <c r="C238" t="inlineStr">
        <is>
          <t>Föryngringsavverkning</t>
        </is>
      </c>
      <c r="D238" s="1" t="n">
        <v>46048</v>
      </c>
      <c r="E238" s="1" t="n">
        <v>46221</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57694-2024</t>
        </is>
      </c>
      <c r="B239" t="inlineStr">
        <is>
          <t>avverkningsanmälan</t>
        </is>
      </c>
      <c r="C239" t="inlineStr">
        <is>
          <t>Föryngringsavverkning</t>
        </is>
      </c>
      <c r="D239" s="1" t="n">
        <v>45630</v>
      </c>
      <c r="E239" s="1" t="n">
        <v>46221</v>
      </c>
      <c r="F239" t="inlineStr">
        <is>
          <t>NORRBOTTENS LÄN</t>
        </is>
      </c>
      <c r="G239" t="inlineStr">
        <is>
          <t>PITEÅ</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4806-2026</t>
        </is>
      </c>
      <c r="B240" t="inlineStr">
        <is>
          <t>avverkningsanmälan</t>
        </is>
      </c>
      <c r="C240" t="inlineStr">
        <is>
          <t>Föryngringsavverkning</t>
        </is>
      </c>
      <c r="D240" s="1" t="n">
        <v>46048</v>
      </c>
      <c r="E240" s="1" t="n">
        <v>46221</v>
      </c>
      <c r="F240" t="inlineStr">
        <is>
          <t>NORRBOTTENS LÄN</t>
        </is>
      </c>
      <c r="G240" t="inlineStr">
        <is>
          <t>PITEÅ</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40123-2025</t>
        </is>
      </c>
      <c r="B241" t="inlineStr">
        <is>
          <t>avverkningsanmälan</t>
        </is>
      </c>
      <c r="C241" t="inlineStr">
        <is>
          <t>Föryngringsavverkning</t>
        </is>
      </c>
      <c r="D241" s="1" t="n">
        <v>45894</v>
      </c>
      <c r="E241" s="1" t="n">
        <v>46221</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s="2" t="inlineStr"/>
    </row>
    <row r="242" ht="15" customHeight="1">
      <c r="A242" t="inlineStr">
        <is>
          <t>A 61303-2023</t>
        </is>
      </c>
      <c r="B242" t="inlineStr">
        <is>
          <t>avverkningsanmälan</t>
        </is>
      </c>
      <c r="C242" t="inlineStr">
        <is>
          <t>Föryngringsavverkning</t>
        </is>
      </c>
      <c r="D242" s="1" t="n">
        <v>45264</v>
      </c>
      <c r="E242" s="1" t="n">
        <v>46221</v>
      </c>
      <c r="F242" t="inlineStr">
        <is>
          <t>NORRBOTTENS LÄN</t>
        </is>
      </c>
      <c r="G242" t="inlineStr">
        <is>
          <t>PITEÅ</t>
        </is>
      </c>
      <c r="I242" t="n">
        <v>6.9</v>
      </c>
      <c r="J242" t="n">
        <v>0</v>
      </c>
      <c r="K242" t="n">
        <v>0</v>
      </c>
      <c r="L242" t="n">
        <v>0</v>
      </c>
      <c r="M242" t="n">
        <v>0</v>
      </c>
      <c r="N242" t="n">
        <v>0</v>
      </c>
      <c r="O242" t="n">
        <v>0</v>
      </c>
      <c r="P242" t="n">
        <v>0</v>
      </c>
      <c r="Q242" t="n">
        <v>0</v>
      </c>
      <c r="R242" t="n">
        <v>0</v>
      </c>
      <c r="S242" t="n">
        <v>0</v>
      </c>
      <c r="T242" t="n">
        <v>0</v>
      </c>
      <c r="U242" s="2" t="inlineStr"/>
    </row>
    <row r="243" ht="15" customHeight="1">
      <c r="A243" t="inlineStr">
        <is>
          <t>A 40545-2025</t>
        </is>
      </c>
      <c r="B243" t="inlineStr">
        <is>
          <t>avverkningsanmälan</t>
        </is>
      </c>
      <c r="C243" t="inlineStr">
        <is>
          <t>Föryngringsavverkning</t>
        </is>
      </c>
      <c r="D243" s="1" t="n">
        <v>45896</v>
      </c>
      <c r="E243" s="1" t="n">
        <v>46221</v>
      </c>
      <c r="F243" t="inlineStr">
        <is>
          <t>NORRBOTTENS LÄN</t>
        </is>
      </c>
      <c r="G243" t="inlineStr">
        <is>
          <t>PITEÅ</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57897-2023</t>
        </is>
      </c>
      <c r="B244" t="inlineStr">
        <is>
          <t>avverkningsanmälan</t>
        </is>
      </c>
      <c r="C244" t="inlineStr">
        <is>
          <t>Föryngringsavverkning</t>
        </is>
      </c>
      <c r="D244" s="1" t="n">
        <v>45244</v>
      </c>
      <c r="E244" s="1" t="n">
        <v>46221</v>
      </c>
      <c r="F244" t="inlineStr">
        <is>
          <t>NORRBOTTENS LÄN</t>
        </is>
      </c>
      <c r="G244" t="inlineStr">
        <is>
          <t>PITEÅ</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16233-2023</t>
        </is>
      </c>
      <c r="B245" t="inlineStr">
        <is>
          <t>avverkningsanmälan</t>
        </is>
      </c>
      <c r="C245" t="inlineStr">
        <is>
          <t>Föryngringsavverkning</t>
        </is>
      </c>
      <c r="D245" s="1" t="n">
        <v>45028</v>
      </c>
      <c r="E245" s="1" t="n">
        <v>46221</v>
      </c>
      <c r="F245" t="inlineStr">
        <is>
          <t>NORRBOTTENS LÄN</t>
        </is>
      </c>
      <c r="G245" t="inlineStr">
        <is>
          <t>PITEÅ</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29768-2025</t>
        </is>
      </c>
      <c r="B246" t="inlineStr">
        <is>
          <t>avverkningsanmälan</t>
        </is>
      </c>
      <c r="C246" t="inlineStr">
        <is>
          <t>Föryngringsavverkning</t>
        </is>
      </c>
      <c r="D246" s="1" t="n">
        <v>45825</v>
      </c>
      <c r="E246" s="1" t="n">
        <v>46221</v>
      </c>
      <c r="F246" t="inlineStr">
        <is>
          <t>NORRBOTTENS LÄN</t>
        </is>
      </c>
      <c r="G246" t="inlineStr">
        <is>
          <t>PITEÅ</t>
        </is>
      </c>
      <c r="H246" t="inlineStr">
        <is>
          <t>SCA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4314-2026</t>
        </is>
      </c>
      <c r="B247" t="inlineStr">
        <is>
          <t>avverkningsanmälan</t>
        </is>
      </c>
      <c r="C247" t="inlineStr">
        <is>
          <t>Föryngringsavverkning</t>
        </is>
      </c>
      <c r="D247" s="1" t="n">
        <v>46045</v>
      </c>
      <c r="E247" s="1" t="n">
        <v>46221</v>
      </c>
      <c r="F247" t="inlineStr">
        <is>
          <t>NORRBOTTENS LÄN</t>
        </is>
      </c>
      <c r="G247" t="inlineStr">
        <is>
          <t>PITEÅ</t>
        </is>
      </c>
      <c r="H247" t="inlineStr">
        <is>
          <t>SCA</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30373-2025</t>
        </is>
      </c>
      <c r="B248" t="inlineStr">
        <is>
          <t>avverkningsanmälan</t>
        </is>
      </c>
      <c r="C248" t="inlineStr">
        <is>
          <t>Föryngringsavverkning</t>
        </is>
      </c>
      <c r="D248" s="1" t="n">
        <v>45827</v>
      </c>
      <c r="E248" s="1" t="n">
        <v>46221</v>
      </c>
      <c r="F248" t="inlineStr">
        <is>
          <t>NORRBOTTENS LÄN</t>
        </is>
      </c>
      <c r="G248" t="inlineStr">
        <is>
          <t>PITEÅ</t>
        </is>
      </c>
      <c r="H248" t="inlineStr">
        <is>
          <t>Övriga Aktiebolag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40785-2025</t>
        </is>
      </c>
      <c r="B249" t="inlineStr">
        <is>
          <t>avverkningsanmälan</t>
        </is>
      </c>
      <c r="C249" t="inlineStr">
        <is>
          <t>Föryngringsavverkning</t>
        </is>
      </c>
      <c r="D249" s="1" t="n">
        <v>45897</v>
      </c>
      <c r="E249" s="1" t="n">
        <v>46221</v>
      </c>
      <c r="F249" t="inlineStr">
        <is>
          <t>NORRBOTTENS LÄN</t>
        </is>
      </c>
      <c r="G249" t="inlineStr">
        <is>
          <t>PITEÅ</t>
        </is>
      </c>
      <c r="I249" t="n">
        <v>4.9</v>
      </c>
      <c r="J249" t="n">
        <v>0</v>
      </c>
      <c r="K249" t="n">
        <v>0</v>
      </c>
      <c r="L249" t="n">
        <v>0</v>
      </c>
      <c r="M249" t="n">
        <v>0</v>
      </c>
      <c r="N249" t="n">
        <v>0</v>
      </c>
      <c r="O249" t="n">
        <v>0</v>
      </c>
      <c r="P249" t="n">
        <v>0</v>
      </c>
      <c r="Q249" t="n">
        <v>0</v>
      </c>
      <c r="R249" t="n">
        <v>0</v>
      </c>
      <c r="S249" t="n">
        <v>0</v>
      </c>
      <c r="T249" t="n">
        <v>0</v>
      </c>
      <c r="U249" s="2" t="inlineStr"/>
    </row>
    <row r="250" ht="15" customHeight="1">
      <c r="A250" t="inlineStr">
        <is>
          <t>A 37703-2024</t>
        </is>
      </c>
      <c r="B250" t="inlineStr">
        <is>
          <t>avverkningsanmälan</t>
        </is>
      </c>
      <c r="C250" t="inlineStr">
        <is>
          <t>Föryngringsavverkning</t>
        </is>
      </c>
      <c r="D250" s="1" t="n">
        <v>45541</v>
      </c>
      <c r="E250" s="1" t="n">
        <v>46221</v>
      </c>
      <c r="F250" t="inlineStr">
        <is>
          <t>NORRBOTTENS LÄN</t>
        </is>
      </c>
      <c r="G250" t="inlineStr">
        <is>
          <t>PITEÅ</t>
        </is>
      </c>
      <c r="I250" t="n">
        <v>14.1</v>
      </c>
      <c r="J250" t="n">
        <v>0</v>
      </c>
      <c r="K250" t="n">
        <v>0</v>
      </c>
      <c r="L250" t="n">
        <v>0</v>
      </c>
      <c r="M250" t="n">
        <v>0</v>
      </c>
      <c r="N250" t="n">
        <v>0</v>
      </c>
      <c r="O250" t="n">
        <v>0</v>
      </c>
      <c r="P250" t="n">
        <v>0</v>
      </c>
      <c r="Q250" t="n">
        <v>0</v>
      </c>
      <c r="R250" t="n">
        <v>0</v>
      </c>
      <c r="S250" t="n">
        <v>0</v>
      </c>
      <c r="T250" t="n">
        <v>0</v>
      </c>
      <c r="U250" s="2" t="inlineStr"/>
    </row>
    <row r="251" ht="15" customHeight="1">
      <c r="A251" t="inlineStr">
        <is>
          <t>A 64971-2023</t>
        </is>
      </c>
      <c r="B251" t="inlineStr">
        <is>
          <t>avverkningsanmälan</t>
        </is>
      </c>
      <c r="C251" t="inlineStr">
        <is>
          <t>Föryngringsavverkning</t>
        </is>
      </c>
      <c r="D251" s="1" t="n">
        <v>45285</v>
      </c>
      <c r="E251" s="1" t="n">
        <v>46221</v>
      </c>
      <c r="F251" t="inlineStr">
        <is>
          <t>NORRBOTTENS LÄN</t>
        </is>
      </c>
      <c r="G251" t="inlineStr">
        <is>
          <t>PITEÅ</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31095-2025</t>
        </is>
      </c>
      <c r="B252" t="inlineStr">
        <is>
          <t>avverkningsanmälan</t>
        </is>
      </c>
      <c r="C252" t="inlineStr">
        <is>
          <t>Föryngringsavverkning</t>
        </is>
      </c>
      <c r="D252" s="1" t="n">
        <v>45832</v>
      </c>
      <c r="E252" s="1" t="n">
        <v>46221</v>
      </c>
      <c r="F252" t="inlineStr">
        <is>
          <t>NORRBOTTENS LÄN</t>
        </is>
      </c>
      <c r="G252" t="inlineStr">
        <is>
          <t>PITEÅ</t>
        </is>
      </c>
      <c r="I252" t="n">
        <v>6.8</v>
      </c>
      <c r="J252" t="n">
        <v>0</v>
      </c>
      <c r="K252" t="n">
        <v>0</v>
      </c>
      <c r="L252" t="n">
        <v>0</v>
      </c>
      <c r="M252" t="n">
        <v>0</v>
      </c>
      <c r="N252" t="n">
        <v>0</v>
      </c>
      <c r="O252" t="n">
        <v>0</v>
      </c>
      <c r="P252" t="n">
        <v>0</v>
      </c>
      <c r="Q252" t="n">
        <v>0</v>
      </c>
      <c r="R252" t="n">
        <v>0</v>
      </c>
      <c r="S252" t="n">
        <v>0</v>
      </c>
      <c r="T252" t="n">
        <v>0</v>
      </c>
      <c r="U252" s="2" t="inlineStr"/>
    </row>
    <row r="253" ht="15" customHeight="1">
      <c r="A253" t="inlineStr">
        <is>
          <t>A 40915-2025</t>
        </is>
      </c>
      <c r="B253" t="inlineStr">
        <is>
          <t>avverkningsanmälan</t>
        </is>
      </c>
      <c r="C253" t="inlineStr">
        <is>
          <t>Föryngringsavverkning</t>
        </is>
      </c>
      <c r="D253" s="1" t="n">
        <v>45897</v>
      </c>
      <c r="E253" s="1" t="n">
        <v>46221</v>
      </c>
      <c r="F253" t="inlineStr">
        <is>
          <t>NORRBOTTENS LÄN</t>
        </is>
      </c>
      <c r="G253" t="inlineStr">
        <is>
          <t>PITEÅ</t>
        </is>
      </c>
      <c r="H253" t="inlineStr">
        <is>
          <t>SCA</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17994-2024</t>
        </is>
      </c>
      <c r="B254" t="inlineStr">
        <is>
          <t>avverkningsanmälan</t>
        </is>
      </c>
      <c r="C254" t="inlineStr">
        <is>
          <t>Föryngringsavverkning</t>
        </is>
      </c>
      <c r="D254" s="1" t="n">
        <v>45419</v>
      </c>
      <c r="E254" s="1" t="n">
        <v>46221</v>
      </c>
      <c r="F254" t="inlineStr">
        <is>
          <t>NORRBOTTENS LÄN</t>
        </is>
      </c>
      <c r="G254" t="inlineStr">
        <is>
          <t>PITEÅ</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6744-2025</t>
        </is>
      </c>
      <c r="B255" t="inlineStr">
        <is>
          <t>avverkningsanmälan</t>
        </is>
      </c>
      <c r="C255" t="inlineStr">
        <is>
          <t>Föryngringsavverkning</t>
        </is>
      </c>
      <c r="D255" s="1" t="n">
        <v>45700</v>
      </c>
      <c r="E255" s="1" t="n">
        <v>46221</v>
      </c>
      <c r="F255" t="inlineStr">
        <is>
          <t>NORRBOTTENS LÄN</t>
        </is>
      </c>
      <c r="G255" t="inlineStr">
        <is>
          <t>PITEÅ</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10353-2022</t>
        </is>
      </c>
      <c r="B256" t="inlineStr">
        <is>
          <t>avverkningsanmälan</t>
        </is>
      </c>
      <c r="C256" t="inlineStr">
        <is>
          <t>Föryngringsavverkning</t>
        </is>
      </c>
      <c r="D256" s="1" t="n">
        <v>44622</v>
      </c>
      <c r="E256" s="1" t="n">
        <v>46221</v>
      </c>
      <c r="F256" t="inlineStr">
        <is>
          <t>NORRBOTTENS LÄN</t>
        </is>
      </c>
      <c r="G256" t="inlineStr">
        <is>
          <t>PITEÅ</t>
        </is>
      </c>
      <c r="I256" t="n">
        <v>5.5</v>
      </c>
      <c r="J256" t="n">
        <v>0</v>
      </c>
      <c r="K256" t="n">
        <v>0</v>
      </c>
      <c r="L256" t="n">
        <v>0</v>
      </c>
      <c r="M256" t="n">
        <v>0</v>
      </c>
      <c r="N256" t="n">
        <v>0</v>
      </c>
      <c r="O256" t="n">
        <v>0</v>
      </c>
      <c r="P256" t="n">
        <v>0</v>
      </c>
      <c r="Q256" t="n">
        <v>0</v>
      </c>
      <c r="R256" t="n">
        <v>0</v>
      </c>
      <c r="S256" t="n">
        <v>0</v>
      </c>
      <c r="T256" t="n">
        <v>0</v>
      </c>
      <c r="U256" s="2" t="inlineStr"/>
    </row>
    <row r="257" ht="15" customHeight="1">
      <c r="A257" t="inlineStr">
        <is>
          <t>A 42283-2025</t>
        </is>
      </c>
      <c r="B257" t="inlineStr">
        <is>
          <t>avverkningsanmälan</t>
        </is>
      </c>
      <c r="C257" t="inlineStr">
        <is>
          <t>Föryngringsavverkning</t>
        </is>
      </c>
      <c r="D257" s="1" t="n">
        <v>45904</v>
      </c>
      <c r="E257" s="1" t="n">
        <v>46221</v>
      </c>
      <c r="F257" t="inlineStr">
        <is>
          <t>NORRBOTTENS LÄN</t>
        </is>
      </c>
      <c r="G257" t="inlineStr">
        <is>
          <t>PITEÅ</t>
        </is>
      </c>
      <c r="I257" t="n">
        <v>11.5</v>
      </c>
      <c r="J257" t="n">
        <v>0</v>
      </c>
      <c r="K257" t="n">
        <v>0</v>
      </c>
      <c r="L257" t="n">
        <v>0</v>
      </c>
      <c r="M257" t="n">
        <v>0</v>
      </c>
      <c r="N257" t="n">
        <v>0</v>
      </c>
      <c r="O257" t="n">
        <v>0</v>
      </c>
      <c r="P257" t="n">
        <v>0</v>
      </c>
      <c r="Q257" t="n">
        <v>0</v>
      </c>
      <c r="R257" t="n">
        <v>0</v>
      </c>
      <c r="S257" t="n">
        <v>0</v>
      </c>
      <c r="T257" t="n">
        <v>0</v>
      </c>
      <c r="U257" s="2" t="inlineStr"/>
    </row>
    <row r="258" ht="15" customHeight="1">
      <c r="A258" t="inlineStr">
        <is>
          <t>A 37720-2025</t>
        </is>
      </c>
      <c r="B258" t="inlineStr">
        <is>
          <t>avverkningsanmälan</t>
        </is>
      </c>
      <c r="C258" t="inlineStr">
        <is>
          <t>Föryngringsavverkning</t>
        </is>
      </c>
      <c r="D258" s="1" t="n">
        <v>45880</v>
      </c>
      <c r="E258" s="1" t="n">
        <v>46221</v>
      </c>
      <c r="F258" t="inlineStr">
        <is>
          <t>NORRBOTTENS LÄN</t>
        </is>
      </c>
      <c r="G258" t="inlineStr">
        <is>
          <t>PITEÅ</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42293-2025</t>
        </is>
      </c>
      <c r="B259" t="inlineStr">
        <is>
          <t>avverkningsanmälan</t>
        </is>
      </c>
      <c r="C259" t="inlineStr">
        <is>
          <t>Föryngringsavverkning</t>
        </is>
      </c>
      <c r="D259" s="1" t="n">
        <v>45904</v>
      </c>
      <c r="E259" s="1" t="n">
        <v>46221</v>
      </c>
      <c r="F259" t="inlineStr">
        <is>
          <t>NORRBOTTENS LÄN</t>
        </is>
      </c>
      <c r="G259" t="inlineStr">
        <is>
          <t>PITEÅ</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42067-2025</t>
        </is>
      </c>
      <c r="B260" t="inlineStr">
        <is>
          <t>avverkningsanmälan</t>
        </is>
      </c>
      <c r="C260" t="inlineStr">
        <is>
          <t>Föryngringsavverkning</t>
        </is>
      </c>
      <c r="D260" s="1" t="n">
        <v>45903</v>
      </c>
      <c r="E260" s="1" t="n">
        <v>46221</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38938-2024</t>
        </is>
      </c>
      <c r="B261" t="inlineStr">
        <is>
          <t>avverkningsanmälan</t>
        </is>
      </c>
      <c r="C261" t="inlineStr">
        <is>
          <t>Föryngringsavverkning</t>
        </is>
      </c>
      <c r="D261" s="1" t="n">
        <v>45548</v>
      </c>
      <c r="E261" s="1" t="n">
        <v>46221</v>
      </c>
      <c r="F261" t="inlineStr">
        <is>
          <t>NORRBOTTENS LÄN</t>
        </is>
      </c>
      <c r="G261" t="inlineStr">
        <is>
          <t>PITEÅ</t>
        </is>
      </c>
      <c r="H261" t="inlineStr">
        <is>
          <t>SCA</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31633-2025</t>
        </is>
      </c>
      <c r="B262" t="inlineStr">
        <is>
          <t>avverkningsanmälan</t>
        </is>
      </c>
      <c r="C262" t="inlineStr">
        <is>
          <t>Föryngringsavverkning</t>
        </is>
      </c>
      <c r="D262" s="1" t="n">
        <v>45834</v>
      </c>
      <c r="E262" s="1" t="n">
        <v>46221</v>
      </c>
      <c r="F262" t="inlineStr">
        <is>
          <t>NORRBOTTENS LÄN</t>
        </is>
      </c>
      <c r="G262" t="inlineStr">
        <is>
          <t>PITEÅ</t>
        </is>
      </c>
      <c r="H262" t="inlineStr">
        <is>
          <t>Sveaskog</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5112-2026</t>
        </is>
      </c>
      <c r="B263" t="inlineStr">
        <is>
          <t>avverkningsanmälan</t>
        </is>
      </c>
      <c r="C263" t="inlineStr">
        <is>
          <t>Föryngringsavverkning</t>
        </is>
      </c>
      <c r="D263" s="1" t="n">
        <v>46049</v>
      </c>
      <c r="E263" s="1" t="n">
        <v>46221</v>
      </c>
      <c r="F263" t="inlineStr">
        <is>
          <t>NORRBOTTENS LÄN</t>
        </is>
      </c>
      <c r="G263" t="inlineStr">
        <is>
          <t>PITEÅ</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42555-2025</t>
        </is>
      </c>
      <c r="B264" t="inlineStr">
        <is>
          <t>avverkningsanmälan</t>
        </is>
      </c>
      <c r="C264" t="inlineStr">
        <is>
          <t>Föryngringsavverkning</t>
        </is>
      </c>
      <c r="D264" s="1" t="n">
        <v>45905</v>
      </c>
      <c r="E264" s="1" t="n">
        <v>46221</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8583-2023</t>
        </is>
      </c>
      <c r="B265" t="inlineStr">
        <is>
          <t>avverkningsanmälan</t>
        </is>
      </c>
      <c r="C265" t="inlineStr">
        <is>
          <t>Föryngringsavverkning</t>
        </is>
      </c>
      <c r="D265" s="1" t="n">
        <v>44977</v>
      </c>
      <c r="E265" s="1" t="n">
        <v>46221</v>
      </c>
      <c r="F265" t="inlineStr">
        <is>
          <t>NORRBOTTENS LÄN</t>
        </is>
      </c>
      <c r="G265" t="inlineStr">
        <is>
          <t>PITEÅ</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5453-2026</t>
        </is>
      </c>
      <c r="B266" t="inlineStr">
        <is>
          <t>avverkningsanmälan</t>
        </is>
      </c>
      <c r="C266" t="inlineStr">
        <is>
          <t>Föryngringsavverkning</t>
        </is>
      </c>
      <c r="D266" s="1" t="n">
        <v>46050</v>
      </c>
      <c r="E266" s="1" t="n">
        <v>46221</v>
      </c>
      <c r="F266" t="inlineStr">
        <is>
          <t>NORRBOTTENS LÄN</t>
        </is>
      </c>
      <c r="G266" t="inlineStr">
        <is>
          <t>PITEÅ</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5748-2026</t>
        </is>
      </c>
      <c r="B267" t="inlineStr">
        <is>
          <t>avverkningsanmälan</t>
        </is>
      </c>
      <c r="C267" t="inlineStr">
        <is>
          <t>Föryngringsavverkning</t>
        </is>
      </c>
      <c r="D267" s="1" t="n">
        <v>46051</v>
      </c>
      <c r="E267" s="1" t="n">
        <v>46221</v>
      </c>
      <c r="F267" t="inlineStr">
        <is>
          <t>NORRBOTTENS LÄN</t>
        </is>
      </c>
      <c r="G267" t="inlineStr">
        <is>
          <t>PITEÅ</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43365-2025</t>
        </is>
      </c>
      <c r="B268" t="inlineStr">
        <is>
          <t>avverkningsanmälan</t>
        </is>
      </c>
      <c r="C268" t="inlineStr">
        <is>
          <t>Föryngringsavverkning</t>
        </is>
      </c>
      <c r="D268" s="1" t="n">
        <v>45911</v>
      </c>
      <c r="E268" s="1" t="n">
        <v>46221</v>
      </c>
      <c r="F268" t="inlineStr">
        <is>
          <t>NORRBOTTENS LÄN</t>
        </is>
      </c>
      <c r="G268" t="inlineStr">
        <is>
          <t>PITEÅ</t>
        </is>
      </c>
      <c r="I268" t="n">
        <v>11.2</v>
      </c>
      <c r="J268" t="n">
        <v>0</v>
      </c>
      <c r="K268" t="n">
        <v>0</v>
      </c>
      <c r="L268" t="n">
        <v>0</v>
      </c>
      <c r="M268" t="n">
        <v>0</v>
      </c>
      <c r="N268" t="n">
        <v>0</v>
      </c>
      <c r="O268" t="n">
        <v>0</v>
      </c>
      <c r="P268" t="n">
        <v>0</v>
      </c>
      <c r="Q268" t="n">
        <v>0</v>
      </c>
      <c r="R268" t="n">
        <v>0</v>
      </c>
      <c r="S268" t="n">
        <v>0</v>
      </c>
      <c r="T268" t="n">
        <v>0</v>
      </c>
      <c r="U268" s="2" t="inlineStr"/>
    </row>
    <row r="269" ht="15" customHeight="1">
      <c r="A269" t="inlineStr">
        <is>
          <t>A 43659-2025</t>
        </is>
      </c>
      <c r="B269" t="inlineStr">
        <is>
          <t>avverkningsanmälan</t>
        </is>
      </c>
      <c r="C269" t="inlineStr">
        <is>
          <t>Avverkning för annat ändamål</t>
        </is>
      </c>
      <c r="D269" s="1" t="n">
        <v>45912</v>
      </c>
      <c r="E269" s="1" t="n">
        <v>46221</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43877-2025</t>
        </is>
      </c>
      <c r="B270" t="inlineStr">
        <is>
          <t>avverkningsanmälan</t>
        </is>
      </c>
      <c r="C270" t="inlineStr">
        <is>
          <t>Föryngringsavverkning</t>
        </is>
      </c>
      <c r="D270" s="1" t="n">
        <v>45912</v>
      </c>
      <c r="E270" s="1" t="n">
        <v>46221</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43627-2025</t>
        </is>
      </c>
      <c r="B271" t="inlineStr">
        <is>
          <t>avverkningsanmälan</t>
        </is>
      </c>
      <c r="C271" t="inlineStr">
        <is>
          <t>Föryngringsavverkning</t>
        </is>
      </c>
      <c r="D271" s="1" t="n">
        <v>45911</v>
      </c>
      <c r="E271" s="1" t="n">
        <v>46221</v>
      </c>
      <c r="F271" t="inlineStr">
        <is>
          <t>NORRBOTTENS LÄN</t>
        </is>
      </c>
      <c r="G271" t="inlineStr">
        <is>
          <t>PITEÅ</t>
        </is>
      </c>
      <c r="H271" t="inlineStr">
        <is>
          <t>SCA</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43995-2025</t>
        </is>
      </c>
      <c r="B272" t="inlineStr">
        <is>
          <t>avverkningsanmälan</t>
        </is>
      </c>
      <c r="C272" t="inlineStr">
        <is>
          <t>Föryngringsavverkning</t>
        </is>
      </c>
      <c r="D272" s="1" t="n">
        <v>45915</v>
      </c>
      <c r="E272" s="1" t="n">
        <v>46221</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44059-2025</t>
        </is>
      </c>
      <c r="B273" t="inlineStr">
        <is>
          <t>avverkningsanmälan</t>
        </is>
      </c>
      <c r="C273" t="inlineStr">
        <is>
          <t>Föryngringsavverkning</t>
        </is>
      </c>
      <c r="D273" s="1" t="n">
        <v>45915</v>
      </c>
      <c r="E273" s="1" t="n">
        <v>46221</v>
      </c>
      <c r="F273" t="inlineStr">
        <is>
          <t>NORRBOTTENS LÄN</t>
        </is>
      </c>
      <c r="G273" t="inlineStr">
        <is>
          <t>PITEÅ</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44078-2025</t>
        </is>
      </c>
      <c r="B274" t="inlineStr">
        <is>
          <t>avverkningsanmälan</t>
        </is>
      </c>
      <c r="C274" t="inlineStr">
        <is>
          <t>Avverkning för annat ändamål</t>
        </is>
      </c>
      <c r="D274" s="1" t="n">
        <v>45915</v>
      </c>
      <c r="E274" s="1" t="n">
        <v>46221</v>
      </c>
      <c r="F274" t="inlineStr">
        <is>
          <t>NORRBOTTENS LÄN</t>
        </is>
      </c>
      <c r="G274" t="inlineStr">
        <is>
          <t>PITEÅ</t>
        </is>
      </c>
      <c r="H274" t="inlineStr">
        <is>
          <t>Sveaskog</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44359-2025</t>
        </is>
      </c>
      <c r="B275" t="inlineStr">
        <is>
          <t>avverkningsanmälan</t>
        </is>
      </c>
      <c r="C275" t="inlineStr">
        <is>
          <t>Föryngringsavverkning</t>
        </is>
      </c>
      <c r="D275" s="1" t="n">
        <v>45916</v>
      </c>
      <c r="E275" s="1" t="n">
        <v>46221</v>
      </c>
      <c r="F275" t="inlineStr">
        <is>
          <t>NORRBOTTENS LÄN</t>
        </is>
      </c>
      <c r="G275" t="inlineStr">
        <is>
          <t>PITEÅ</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32387-2022</t>
        </is>
      </c>
      <c r="B276" t="inlineStr">
        <is>
          <t>avverkningsanmälan</t>
        </is>
      </c>
      <c r="C276" t="inlineStr">
        <is>
          <t>Föryngringsavverkning</t>
        </is>
      </c>
      <c r="D276" s="1" t="n">
        <v>44782</v>
      </c>
      <c r="E276" s="1" t="n">
        <v>46221</v>
      </c>
      <c r="F276" t="inlineStr">
        <is>
          <t>NORRBOTTENS LÄN</t>
        </is>
      </c>
      <c r="G276" t="inlineStr">
        <is>
          <t>PITEÅ</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5633-2026</t>
        </is>
      </c>
      <c r="B277" t="inlineStr">
        <is>
          <t>avverkningsanmälan</t>
        </is>
      </c>
      <c r="C277" t="inlineStr">
        <is>
          <t>Föryngringsavverkning</t>
        </is>
      </c>
      <c r="D277" s="1" t="n">
        <v>46051</v>
      </c>
      <c r="E277" s="1" t="n">
        <v>46221</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s="2" t="inlineStr"/>
    </row>
    <row r="278" ht="15" customHeight="1">
      <c r="A278" t="inlineStr">
        <is>
          <t>A 45583-2025</t>
        </is>
      </c>
      <c r="B278" t="inlineStr">
        <is>
          <t>avverkningsanmälan</t>
        </is>
      </c>
      <c r="C278" t="inlineStr">
        <is>
          <t>Föryngringsavverkning</t>
        </is>
      </c>
      <c r="D278" s="1" t="n">
        <v>45922</v>
      </c>
      <c r="E278" s="1" t="n">
        <v>46221</v>
      </c>
      <c r="F278" t="inlineStr">
        <is>
          <t>NORRBOTTENS LÄN</t>
        </is>
      </c>
      <c r="G278" t="inlineStr">
        <is>
          <t>PITEÅ</t>
        </is>
      </c>
      <c r="H278" t="inlineStr">
        <is>
          <t>Sveaskog</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39879-2024</t>
        </is>
      </c>
      <c r="B279" t="inlineStr">
        <is>
          <t>avverkningsanmälan</t>
        </is>
      </c>
      <c r="C279" t="inlineStr">
        <is>
          <t>Föryngringsavverkning</t>
        </is>
      </c>
      <c r="D279" s="1" t="n">
        <v>45553</v>
      </c>
      <c r="E279" s="1" t="n">
        <v>46221</v>
      </c>
      <c r="F279" t="inlineStr">
        <is>
          <t>NORRBOTTENS LÄN</t>
        </is>
      </c>
      <c r="G279" t="inlineStr">
        <is>
          <t>PITEÅ</t>
        </is>
      </c>
      <c r="I279" t="n">
        <v>5.4</v>
      </c>
      <c r="J279" t="n">
        <v>0</v>
      </c>
      <c r="K279" t="n">
        <v>0</v>
      </c>
      <c r="L279" t="n">
        <v>0</v>
      </c>
      <c r="M279" t="n">
        <v>0</v>
      </c>
      <c r="N279" t="n">
        <v>0</v>
      </c>
      <c r="O279" t="n">
        <v>0</v>
      </c>
      <c r="P279" t="n">
        <v>0</v>
      </c>
      <c r="Q279" t="n">
        <v>0</v>
      </c>
      <c r="R279" t="n">
        <v>0</v>
      </c>
      <c r="S279" t="n">
        <v>0</v>
      </c>
      <c r="T279" t="n">
        <v>0</v>
      </c>
      <c r="U279" s="2" t="inlineStr"/>
    </row>
    <row r="280" ht="15" customHeight="1">
      <c r="A280" t="inlineStr">
        <is>
          <t>A 45953-2025</t>
        </is>
      </c>
      <c r="B280" t="inlineStr">
        <is>
          <t>avverkningsanmälan</t>
        </is>
      </c>
      <c r="C280" t="inlineStr">
        <is>
          <t>Föryngringsavverkning</t>
        </is>
      </c>
      <c r="D280" s="1" t="n">
        <v>45924</v>
      </c>
      <c r="E280" s="1" t="n">
        <v>46221</v>
      </c>
      <c r="F280" t="inlineStr">
        <is>
          <t>NORRBOTTENS LÄN</t>
        </is>
      </c>
      <c r="G280" t="inlineStr">
        <is>
          <t>PITEÅ</t>
        </is>
      </c>
      <c r="H280" t="inlineStr">
        <is>
          <t>SCA</t>
        </is>
      </c>
      <c r="I280" t="n">
        <v>6.4</v>
      </c>
      <c r="J280" t="n">
        <v>0</v>
      </c>
      <c r="K280" t="n">
        <v>0</v>
      </c>
      <c r="L280" t="n">
        <v>0</v>
      </c>
      <c r="M280" t="n">
        <v>0</v>
      </c>
      <c r="N280" t="n">
        <v>0</v>
      </c>
      <c r="O280" t="n">
        <v>0</v>
      </c>
      <c r="P280" t="n">
        <v>0</v>
      </c>
      <c r="Q280" t="n">
        <v>0</v>
      </c>
      <c r="R280" t="n">
        <v>0</v>
      </c>
      <c r="S280" t="n">
        <v>0</v>
      </c>
      <c r="T280" t="n">
        <v>0</v>
      </c>
      <c r="U280" s="2" t="inlineStr"/>
    </row>
    <row r="281" ht="15" customHeight="1">
      <c r="A281" t="inlineStr">
        <is>
          <t>A 14558-2025</t>
        </is>
      </c>
      <c r="B281" t="inlineStr">
        <is>
          <t>avverkningsanmälan</t>
        </is>
      </c>
      <c r="C281" t="inlineStr">
        <is>
          <t>Föryngringsavverkning</t>
        </is>
      </c>
      <c r="D281" s="1" t="n">
        <v>45741</v>
      </c>
      <c r="E281" s="1" t="n">
        <v>46221</v>
      </c>
      <c r="F281" t="inlineStr">
        <is>
          <t>NORRBOTTENS LÄN</t>
        </is>
      </c>
      <c r="G281" t="inlineStr">
        <is>
          <t>PITEÅ</t>
        </is>
      </c>
      <c r="I281" t="n">
        <v>11.4</v>
      </c>
      <c r="J281" t="n">
        <v>0</v>
      </c>
      <c r="K281" t="n">
        <v>0</v>
      </c>
      <c r="L281" t="n">
        <v>0</v>
      </c>
      <c r="M281" t="n">
        <v>0</v>
      </c>
      <c r="N281" t="n">
        <v>0</v>
      </c>
      <c r="O281" t="n">
        <v>0</v>
      </c>
      <c r="P281" t="n">
        <v>0</v>
      </c>
      <c r="Q281" t="n">
        <v>0</v>
      </c>
      <c r="R281" t="n">
        <v>0</v>
      </c>
      <c r="S281" t="n">
        <v>0</v>
      </c>
      <c r="T281" t="n">
        <v>0</v>
      </c>
      <c r="U281" s="2" t="inlineStr"/>
    </row>
    <row r="282" ht="15" customHeight="1">
      <c r="A282" t="inlineStr">
        <is>
          <t>A 14559-2025</t>
        </is>
      </c>
      <c r="B282" t="inlineStr">
        <is>
          <t>avverkningsanmälan</t>
        </is>
      </c>
      <c r="C282" t="inlineStr">
        <is>
          <t>Föryngringsavverkning</t>
        </is>
      </c>
      <c r="D282" s="1" t="n">
        <v>45741</v>
      </c>
      <c r="E282" s="1" t="n">
        <v>46221</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34677-2025</t>
        </is>
      </c>
      <c r="B283" t="inlineStr">
        <is>
          <t>avverkningsanmälan</t>
        </is>
      </c>
      <c r="C283" t="inlineStr">
        <is>
          <t>Föryngringsavverkning</t>
        </is>
      </c>
      <c r="D283" s="1" t="n">
        <v>45848</v>
      </c>
      <c r="E283" s="1" t="n">
        <v>46221</v>
      </c>
      <c r="F283" t="inlineStr">
        <is>
          <t>NORRBOTTENS LÄN</t>
        </is>
      </c>
      <c r="G283" t="inlineStr">
        <is>
          <t>PITEÅ</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45958-2025</t>
        </is>
      </c>
      <c r="B284" t="inlineStr">
        <is>
          <t>avverkningsanmälan</t>
        </is>
      </c>
      <c r="C284" t="inlineStr">
        <is>
          <t>Föryngringsavverkning</t>
        </is>
      </c>
      <c r="D284" s="1" t="n">
        <v>45924</v>
      </c>
      <c r="E284" s="1" t="n">
        <v>46221</v>
      </c>
      <c r="F284" t="inlineStr">
        <is>
          <t>NORRBOTTENS LÄN</t>
        </is>
      </c>
      <c r="G284" t="inlineStr">
        <is>
          <t>PITEÅ</t>
        </is>
      </c>
      <c r="H284" t="inlineStr">
        <is>
          <t>SCA</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2168-2023</t>
        </is>
      </c>
      <c r="B285" t="inlineStr">
        <is>
          <t>avverkningsanmälan</t>
        </is>
      </c>
      <c r="C285" t="inlineStr">
        <is>
          <t>Föryngringsavverkning</t>
        </is>
      </c>
      <c r="D285" s="1" t="n">
        <v>44941</v>
      </c>
      <c r="E285" s="1" t="n">
        <v>46221</v>
      </c>
      <c r="F285" t="inlineStr">
        <is>
          <t>NORRBOTTENS LÄN</t>
        </is>
      </c>
      <c r="G285" t="inlineStr">
        <is>
          <t>PITEÅ</t>
        </is>
      </c>
      <c r="I285" t="n">
        <v>6.8</v>
      </c>
      <c r="J285" t="n">
        <v>0</v>
      </c>
      <c r="K285" t="n">
        <v>0</v>
      </c>
      <c r="L285" t="n">
        <v>0</v>
      </c>
      <c r="M285" t="n">
        <v>0</v>
      </c>
      <c r="N285" t="n">
        <v>0</v>
      </c>
      <c r="O285" t="n">
        <v>0</v>
      </c>
      <c r="P285" t="n">
        <v>0</v>
      </c>
      <c r="Q285" t="n">
        <v>0</v>
      </c>
      <c r="R285" t="n">
        <v>0</v>
      </c>
      <c r="S285" t="n">
        <v>0</v>
      </c>
      <c r="T285" t="n">
        <v>0</v>
      </c>
      <c r="U285" s="2" t="inlineStr"/>
    </row>
    <row r="286" ht="15" customHeight="1">
      <c r="A286" t="inlineStr">
        <is>
          <t>A 46151-2025</t>
        </is>
      </c>
      <c r="B286" t="inlineStr">
        <is>
          <t>avverkningsanmälan</t>
        </is>
      </c>
      <c r="C286" t="inlineStr">
        <is>
          <t>Föryngringsavverkning</t>
        </is>
      </c>
      <c r="D286" s="1" t="n">
        <v>45924</v>
      </c>
      <c r="E286" s="1" t="n">
        <v>46221</v>
      </c>
      <c r="F286" t="inlineStr">
        <is>
          <t>NORRBOTTENS LÄN</t>
        </is>
      </c>
      <c r="G286" t="inlineStr">
        <is>
          <t>PITEÅ</t>
        </is>
      </c>
      <c r="H286" t="inlineStr">
        <is>
          <t>SCA</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34733-2025</t>
        </is>
      </c>
      <c r="B287" t="inlineStr">
        <is>
          <t>avverkningsanmälan</t>
        </is>
      </c>
      <c r="C287" t="inlineStr">
        <is>
          <t>Föryngringsavverkning</t>
        </is>
      </c>
      <c r="D287" s="1" t="n">
        <v>45848</v>
      </c>
      <c r="E287" s="1" t="n">
        <v>46221</v>
      </c>
      <c r="F287" t="inlineStr">
        <is>
          <t>NORRBOTTENS LÄN</t>
        </is>
      </c>
      <c r="G287" t="inlineStr">
        <is>
          <t>PITEÅ</t>
        </is>
      </c>
      <c r="H287" t="inlineStr">
        <is>
          <t>Sveaskog</t>
        </is>
      </c>
      <c r="I287" t="n">
        <v>9.699999999999999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46542-2025</t>
        </is>
      </c>
      <c r="B288" t="inlineStr">
        <is>
          <t>avverkningsanmälan</t>
        </is>
      </c>
      <c r="C288" t="inlineStr">
        <is>
          <t>Föryngringsavverkning</t>
        </is>
      </c>
      <c r="D288" s="1" t="n">
        <v>45926</v>
      </c>
      <c r="E288" s="1" t="n">
        <v>46221</v>
      </c>
      <c r="F288" t="inlineStr">
        <is>
          <t>NORRBOTTENS LÄN</t>
        </is>
      </c>
      <c r="G288" t="inlineStr">
        <is>
          <t>PITEÅ</t>
        </is>
      </c>
      <c r="H288" t="inlineStr">
        <is>
          <t>SCA</t>
        </is>
      </c>
      <c r="I288" t="n">
        <v>9.199999999999999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34809-2025</t>
        </is>
      </c>
      <c r="B289" t="inlineStr">
        <is>
          <t>avverkningsanmälan</t>
        </is>
      </c>
      <c r="C289" t="inlineStr">
        <is>
          <t>Föryngringsavverkning</t>
        </is>
      </c>
      <c r="D289" s="1" t="n">
        <v>45849</v>
      </c>
      <c r="E289" s="1" t="n">
        <v>46221</v>
      </c>
      <c r="F289" t="inlineStr">
        <is>
          <t>NORRBOTTENS LÄN</t>
        </is>
      </c>
      <c r="G289" t="inlineStr">
        <is>
          <t>PITEÅ</t>
        </is>
      </c>
      <c r="H289" t="inlineStr">
        <is>
          <t>Sveaskog</t>
        </is>
      </c>
      <c r="I289" t="n">
        <v>10</v>
      </c>
      <c r="J289" t="n">
        <v>0</v>
      </c>
      <c r="K289" t="n">
        <v>0</v>
      </c>
      <c r="L289" t="n">
        <v>0</v>
      </c>
      <c r="M289" t="n">
        <v>0</v>
      </c>
      <c r="N289" t="n">
        <v>0</v>
      </c>
      <c r="O289" t="n">
        <v>0</v>
      </c>
      <c r="P289" t="n">
        <v>0</v>
      </c>
      <c r="Q289" t="n">
        <v>0</v>
      </c>
      <c r="R289" t="n">
        <v>0</v>
      </c>
      <c r="S289" t="n">
        <v>0</v>
      </c>
      <c r="T289" t="n">
        <v>0</v>
      </c>
      <c r="U289" s="2" t="inlineStr"/>
    </row>
    <row r="290" ht="15" customHeight="1">
      <c r="A290" t="inlineStr">
        <is>
          <t>A 46601-2025</t>
        </is>
      </c>
      <c r="B290" t="inlineStr">
        <is>
          <t>avverkningsanmälan</t>
        </is>
      </c>
      <c r="C290" t="inlineStr">
        <is>
          <t>Föryngringsavverkning</t>
        </is>
      </c>
      <c r="D290" s="1" t="n">
        <v>45926</v>
      </c>
      <c r="E290" s="1" t="n">
        <v>46221</v>
      </c>
      <c r="F290" t="inlineStr">
        <is>
          <t>NORRBOTTENS LÄN</t>
        </is>
      </c>
      <c r="G290" t="inlineStr">
        <is>
          <t>PITEÅ</t>
        </is>
      </c>
      <c r="I290" t="n">
        <v>8.699999999999999</v>
      </c>
      <c r="J290" t="n">
        <v>0</v>
      </c>
      <c r="K290" t="n">
        <v>0</v>
      </c>
      <c r="L290" t="n">
        <v>0</v>
      </c>
      <c r="M290" t="n">
        <v>0</v>
      </c>
      <c r="N290" t="n">
        <v>0</v>
      </c>
      <c r="O290" t="n">
        <v>0</v>
      </c>
      <c r="P290" t="n">
        <v>0</v>
      </c>
      <c r="Q290" t="n">
        <v>0</v>
      </c>
      <c r="R290" t="n">
        <v>0</v>
      </c>
      <c r="S290" t="n">
        <v>0</v>
      </c>
      <c r="T290" t="n">
        <v>0</v>
      </c>
      <c r="U290" s="2" t="inlineStr"/>
    </row>
    <row r="291" ht="15" customHeight="1">
      <c r="A291" t="inlineStr">
        <is>
          <t>A 46254-2025</t>
        </is>
      </c>
      <c r="B291" t="inlineStr">
        <is>
          <t>avverkningsanmälan</t>
        </is>
      </c>
      <c r="C291" t="inlineStr">
        <is>
          <t>Föryngringsavverkning</t>
        </is>
      </c>
      <c r="D291" s="1" t="n">
        <v>45925</v>
      </c>
      <c r="E291" s="1" t="n">
        <v>46221</v>
      </c>
      <c r="F291" t="inlineStr">
        <is>
          <t>NORRBOTTENS LÄN</t>
        </is>
      </c>
      <c r="G291" t="inlineStr">
        <is>
          <t>PITEÅ</t>
        </is>
      </c>
      <c r="H291" t="inlineStr">
        <is>
          <t>SCA</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41464-2023</t>
        </is>
      </c>
      <c r="B292" t="inlineStr">
        <is>
          <t>avverkningsanmälan</t>
        </is>
      </c>
      <c r="C292" t="inlineStr">
        <is>
          <t>Föryngringsavverkning</t>
        </is>
      </c>
      <c r="D292" s="1" t="n">
        <v>45175</v>
      </c>
      <c r="E292" s="1" t="n">
        <v>46221</v>
      </c>
      <c r="F292" t="inlineStr">
        <is>
          <t>NORRBOTTENS LÄN</t>
        </is>
      </c>
      <c r="G292" t="inlineStr">
        <is>
          <t>PITEÅ</t>
        </is>
      </c>
      <c r="I292" t="n">
        <v>5.2</v>
      </c>
      <c r="J292" t="n">
        <v>0</v>
      </c>
      <c r="K292" t="n">
        <v>0</v>
      </c>
      <c r="L292" t="n">
        <v>0</v>
      </c>
      <c r="M292" t="n">
        <v>0</v>
      </c>
      <c r="N292" t="n">
        <v>0</v>
      </c>
      <c r="O292" t="n">
        <v>0</v>
      </c>
      <c r="P292" t="n">
        <v>0</v>
      </c>
      <c r="Q292" t="n">
        <v>0</v>
      </c>
      <c r="R292" t="n">
        <v>0</v>
      </c>
      <c r="S292" t="n">
        <v>0</v>
      </c>
      <c r="T292" t="n">
        <v>0</v>
      </c>
      <c r="U292" s="2" t="inlineStr"/>
    </row>
    <row r="293" ht="15" customHeight="1">
      <c r="A293" t="inlineStr">
        <is>
          <t>A 46453-2025</t>
        </is>
      </c>
      <c r="B293" t="inlineStr">
        <is>
          <t>avverkningsanmälan</t>
        </is>
      </c>
      <c r="C293" t="inlineStr">
        <is>
          <t>Föryngringsavverkning</t>
        </is>
      </c>
      <c r="D293" s="1" t="n">
        <v>45925</v>
      </c>
      <c r="E293" s="1" t="n">
        <v>46221</v>
      </c>
      <c r="F293" t="inlineStr">
        <is>
          <t>NORRBOTTENS LÄN</t>
        </is>
      </c>
      <c r="G293" t="inlineStr">
        <is>
          <t>PITEÅ</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46569-2025</t>
        </is>
      </c>
      <c r="B294" t="inlineStr">
        <is>
          <t>avverkningsanmälan</t>
        </is>
      </c>
      <c r="C294" t="inlineStr">
        <is>
          <t>Föryngringsavverkning</t>
        </is>
      </c>
      <c r="D294" s="1" t="n">
        <v>45926</v>
      </c>
      <c r="E294" s="1" t="n">
        <v>46221</v>
      </c>
      <c r="F294" t="inlineStr">
        <is>
          <t>NORRBOTTENS LÄN</t>
        </is>
      </c>
      <c r="G294" t="inlineStr">
        <is>
          <t>PITEÅ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29894-2022</t>
        </is>
      </c>
      <c r="B295" t="inlineStr">
        <is>
          <t>avverkningsanmälan</t>
        </is>
      </c>
      <c r="C295" t="inlineStr">
        <is>
          <t>Föryngringsavverkning</t>
        </is>
      </c>
      <c r="D295" s="1" t="n">
        <v>44756</v>
      </c>
      <c r="E295" s="1" t="n">
        <v>46221</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47078-2025</t>
        </is>
      </c>
      <c r="B296" t="inlineStr">
        <is>
          <t>avverkningsanmälan</t>
        </is>
      </c>
      <c r="C296" t="inlineStr">
        <is>
          <t>Föryngringsavverkning</t>
        </is>
      </c>
      <c r="D296" s="1" t="n">
        <v>45929</v>
      </c>
      <c r="E296" s="1" t="n">
        <v>46221</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6192-2026</t>
        </is>
      </c>
      <c r="B297" t="inlineStr">
        <is>
          <t>avverkningsanmälan</t>
        </is>
      </c>
      <c r="C297" t="inlineStr">
        <is>
          <t>Föryngringsavverkning</t>
        </is>
      </c>
      <c r="D297" s="1" t="n">
        <v>46055</v>
      </c>
      <c r="E297" s="1" t="n">
        <v>46221</v>
      </c>
      <c r="F297" t="inlineStr">
        <is>
          <t>NORRBOTTENS LÄN</t>
        </is>
      </c>
      <c r="G297" t="inlineStr">
        <is>
          <t>PITEÅ</t>
        </is>
      </c>
      <c r="I297" t="n">
        <v>14.2</v>
      </c>
      <c r="J297" t="n">
        <v>0</v>
      </c>
      <c r="K297" t="n">
        <v>0</v>
      </c>
      <c r="L297" t="n">
        <v>0</v>
      </c>
      <c r="M297" t="n">
        <v>0</v>
      </c>
      <c r="N297" t="n">
        <v>0</v>
      </c>
      <c r="O297" t="n">
        <v>0</v>
      </c>
      <c r="P297" t="n">
        <v>0</v>
      </c>
      <c r="Q297" t="n">
        <v>0</v>
      </c>
      <c r="R297" t="n">
        <v>0</v>
      </c>
      <c r="S297" t="n">
        <v>0</v>
      </c>
      <c r="T297" t="n">
        <v>0</v>
      </c>
      <c r="U297" s="2" t="inlineStr"/>
    </row>
    <row r="298" ht="15" customHeight="1">
      <c r="A298" t="inlineStr">
        <is>
          <t>A 47153-2025</t>
        </is>
      </c>
      <c r="B298" t="inlineStr">
        <is>
          <t>avverkningsanmälan</t>
        </is>
      </c>
      <c r="C298" t="inlineStr">
        <is>
          <t>Föryngringsavverkning</t>
        </is>
      </c>
      <c r="D298" s="1" t="n">
        <v>45929</v>
      </c>
      <c r="E298" s="1" t="n">
        <v>46221</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47144-2025</t>
        </is>
      </c>
      <c r="B299" t="inlineStr">
        <is>
          <t>avverkningsanmälan</t>
        </is>
      </c>
      <c r="C299" t="inlineStr">
        <is>
          <t>Föryngringsavverkning</t>
        </is>
      </c>
      <c r="D299" s="1" t="n">
        <v>45929</v>
      </c>
      <c r="E299" s="1" t="n">
        <v>46221</v>
      </c>
      <c r="F299" t="inlineStr">
        <is>
          <t>NORRBOTTENS LÄN</t>
        </is>
      </c>
      <c r="G299" t="inlineStr">
        <is>
          <t>PITEÅ</t>
        </is>
      </c>
      <c r="I299" t="n">
        <v>4.9</v>
      </c>
      <c r="J299" t="n">
        <v>0</v>
      </c>
      <c r="K299" t="n">
        <v>0</v>
      </c>
      <c r="L299" t="n">
        <v>0</v>
      </c>
      <c r="M299" t="n">
        <v>0</v>
      </c>
      <c r="N299" t="n">
        <v>0</v>
      </c>
      <c r="O299" t="n">
        <v>0</v>
      </c>
      <c r="P299" t="n">
        <v>0</v>
      </c>
      <c r="Q299" t="n">
        <v>0</v>
      </c>
      <c r="R299" t="n">
        <v>0</v>
      </c>
      <c r="S299" t="n">
        <v>0</v>
      </c>
      <c r="T299" t="n">
        <v>0</v>
      </c>
      <c r="U299" s="2" t="inlineStr"/>
    </row>
    <row r="300" ht="15" customHeight="1">
      <c r="A300" t="inlineStr">
        <is>
          <t>A 47088-2025</t>
        </is>
      </c>
      <c r="B300" t="inlineStr">
        <is>
          <t>avverkningsanmälan</t>
        </is>
      </c>
      <c r="C300" t="inlineStr">
        <is>
          <t>Föryngringsavverkning</t>
        </is>
      </c>
      <c r="D300" s="1" t="n">
        <v>45929</v>
      </c>
      <c r="E300" s="1" t="n">
        <v>46221</v>
      </c>
      <c r="F300" t="inlineStr">
        <is>
          <t>NORRBOTTENS LÄN</t>
        </is>
      </c>
      <c r="G300" t="inlineStr">
        <is>
          <t>PITEÅ</t>
        </is>
      </c>
      <c r="H300" t="inlineStr">
        <is>
          <t>Sveaskog</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44710-2024</t>
        </is>
      </c>
      <c r="B301" t="inlineStr">
        <is>
          <t>avverkningsanmälan</t>
        </is>
      </c>
      <c r="C301" t="inlineStr">
        <is>
          <t>Föryngringsavverkning</t>
        </is>
      </c>
      <c r="D301" s="1" t="n">
        <v>45574</v>
      </c>
      <c r="E301" s="1" t="n">
        <v>46221</v>
      </c>
      <c r="F301" t="inlineStr">
        <is>
          <t>NORRBOTTENS LÄN</t>
        </is>
      </c>
      <c r="G301" t="inlineStr">
        <is>
          <t>PITEÅ</t>
        </is>
      </c>
      <c r="H301" t="inlineStr">
        <is>
          <t>SCA</t>
        </is>
      </c>
      <c r="I301" t="n">
        <v>5.9</v>
      </c>
      <c r="J301" t="n">
        <v>0</v>
      </c>
      <c r="K301" t="n">
        <v>0</v>
      </c>
      <c r="L301" t="n">
        <v>0</v>
      </c>
      <c r="M301" t="n">
        <v>0</v>
      </c>
      <c r="N301" t="n">
        <v>0</v>
      </c>
      <c r="O301" t="n">
        <v>0</v>
      </c>
      <c r="P301" t="n">
        <v>0</v>
      </c>
      <c r="Q301" t="n">
        <v>0</v>
      </c>
      <c r="R301" t="n">
        <v>0</v>
      </c>
      <c r="S301" t="n">
        <v>0</v>
      </c>
      <c r="T301" t="n">
        <v>0</v>
      </c>
      <c r="U301" s="2" t="inlineStr"/>
    </row>
    <row r="302" ht="15" customHeight="1">
      <c r="A302" t="inlineStr">
        <is>
          <t>A 30477-2025</t>
        </is>
      </c>
      <c r="B302" t="inlineStr">
        <is>
          <t>avverkningsanmälan</t>
        </is>
      </c>
      <c r="C302" t="inlineStr">
        <is>
          <t>Föryngringsavverkning</t>
        </is>
      </c>
      <c r="D302" s="1" t="n">
        <v>45828</v>
      </c>
      <c r="E302" s="1" t="n">
        <v>46221</v>
      </c>
      <c r="F302" t="inlineStr">
        <is>
          <t>NORRBOTTENS LÄN</t>
        </is>
      </c>
      <c r="G302" t="inlineStr">
        <is>
          <t>PITEÅ</t>
        </is>
      </c>
      <c r="H302" t="inlineStr">
        <is>
          <t>SCA</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27899-2023</t>
        </is>
      </c>
      <c r="B303" t="inlineStr">
        <is>
          <t>avverkningsanmälan</t>
        </is>
      </c>
      <c r="C303" t="inlineStr">
        <is>
          <t>Föryngringsavverkning</t>
        </is>
      </c>
      <c r="D303" s="1" t="n">
        <v>45098</v>
      </c>
      <c r="E303" s="1" t="n">
        <v>46221</v>
      </c>
      <c r="F303" t="inlineStr">
        <is>
          <t>NORRBOTTENS LÄN</t>
        </is>
      </c>
      <c r="G303" t="inlineStr">
        <is>
          <t>PITEÅ</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47080-2025</t>
        </is>
      </c>
      <c r="B304" t="inlineStr">
        <is>
          <t>avverkningsanmälan</t>
        </is>
      </c>
      <c r="C304" t="inlineStr">
        <is>
          <t>Föryngringsavverkning</t>
        </is>
      </c>
      <c r="D304" s="1" t="n">
        <v>45929</v>
      </c>
      <c r="E304" s="1" t="n">
        <v>46221</v>
      </c>
      <c r="F304" t="inlineStr">
        <is>
          <t>NORRBOTTENS LÄN</t>
        </is>
      </c>
      <c r="G304" t="inlineStr">
        <is>
          <t>PITEÅ</t>
        </is>
      </c>
      <c r="H304" t="inlineStr">
        <is>
          <t>Sveaskog</t>
        </is>
      </c>
      <c r="I304" t="n">
        <v>14.9</v>
      </c>
      <c r="J304" t="n">
        <v>0</v>
      </c>
      <c r="K304" t="n">
        <v>0</v>
      </c>
      <c r="L304" t="n">
        <v>0</v>
      </c>
      <c r="M304" t="n">
        <v>0</v>
      </c>
      <c r="N304" t="n">
        <v>0</v>
      </c>
      <c r="O304" t="n">
        <v>0</v>
      </c>
      <c r="P304" t="n">
        <v>0</v>
      </c>
      <c r="Q304" t="n">
        <v>0</v>
      </c>
      <c r="R304" t="n">
        <v>0</v>
      </c>
      <c r="S304" t="n">
        <v>0</v>
      </c>
      <c r="T304" t="n">
        <v>0</v>
      </c>
      <c r="U304" s="2" t="inlineStr"/>
    </row>
    <row r="305" ht="15" customHeight="1">
      <c r="A305" t="inlineStr">
        <is>
          <t>A 4100-2024</t>
        </is>
      </c>
      <c r="B305" t="inlineStr">
        <is>
          <t>avverkningsanmälan</t>
        </is>
      </c>
      <c r="C305" t="inlineStr">
        <is>
          <t>Föryngringsavverkning</t>
        </is>
      </c>
      <c r="D305" s="1" t="n">
        <v>45323</v>
      </c>
      <c r="E305" s="1" t="n">
        <v>46221</v>
      </c>
      <c r="F305" t="inlineStr">
        <is>
          <t>NORRBOTTENS LÄN</t>
        </is>
      </c>
      <c r="G305" t="inlineStr">
        <is>
          <t>PITEÅ</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39399-2022</t>
        </is>
      </c>
      <c r="B306" t="inlineStr">
        <is>
          <t>avverkningsanmälan</t>
        </is>
      </c>
      <c r="C306" t="inlineStr">
        <is>
          <t>Föryngringsavverkning</t>
        </is>
      </c>
      <c r="D306" s="1" t="n">
        <v>44817</v>
      </c>
      <c r="E306" s="1" t="n">
        <v>46221</v>
      </c>
      <c r="F306" t="inlineStr">
        <is>
          <t>NORRBOTTENS LÄN</t>
        </is>
      </c>
      <c r="G306" t="inlineStr">
        <is>
          <t>PITEÅ</t>
        </is>
      </c>
      <c r="H306" t="inlineStr">
        <is>
          <t>SCA</t>
        </is>
      </c>
      <c r="I306" t="n">
        <v>6.4</v>
      </c>
      <c r="J306" t="n">
        <v>0</v>
      </c>
      <c r="K306" t="n">
        <v>0</v>
      </c>
      <c r="L306" t="n">
        <v>0</v>
      </c>
      <c r="M306" t="n">
        <v>0</v>
      </c>
      <c r="N306" t="n">
        <v>0</v>
      </c>
      <c r="O306" t="n">
        <v>0</v>
      </c>
      <c r="P306" t="n">
        <v>0</v>
      </c>
      <c r="Q306" t="n">
        <v>0</v>
      </c>
      <c r="R306" t="n">
        <v>0</v>
      </c>
      <c r="S306" t="n">
        <v>0</v>
      </c>
      <c r="T306" t="n">
        <v>0</v>
      </c>
      <c r="U306" s="2" t="inlineStr"/>
    </row>
    <row r="307" ht="15" customHeight="1">
      <c r="A307" t="inlineStr">
        <is>
          <t>A 44401-2024</t>
        </is>
      </c>
      <c r="B307" t="inlineStr">
        <is>
          <t>avverkningsanmälan</t>
        </is>
      </c>
      <c r="C307" t="inlineStr">
        <is>
          <t>Föryngringsavverkning</t>
        </is>
      </c>
      <c r="D307" s="1" t="n">
        <v>45573</v>
      </c>
      <c r="E307" s="1" t="n">
        <v>46221</v>
      </c>
      <c r="F307" t="inlineStr">
        <is>
          <t>NORRBOTTENS LÄN</t>
        </is>
      </c>
      <c r="G307" t="inlineStr">
        <is>
          <t>PITEÅ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24989-2025</t>
        </is>
      </c>
      <c r="B308" t="inlineStr">
        <is>
          <t>avverkningsanmälan</t>
        </is>
      </c>
      <c r="C308" t="inlineStr">
        <is>
          <t>Föryngringsavverkning</t>
        </is>
      </c>
      <c r="D308" s="1" t="n">
        <v>45799</v>
      </c>
      <c r="E308" s="1" t="n">
        <v>46221</v>
      </c>
      <c r="F308" t="inlineStr">
        <is>
          <t>NORRBOTTENS LÄN</t>
        </is>
      </c>
      <c r="G308" t="inlineStr">
        <is>
          <t>PITEÅ</t>
        </is>
      </c>
      <c r="I308" t="n">
        <v>11.7</v>
      </c>
      <c r="J308" t="n">
        <v>0</v>
      </c>
      <c r="K308" t="n">
        <v>0</v>
      </c>
      <c r="L308" t="n">
        <v>0</v>
      </c>
      <c r="M308" t="n">
        <v>0</v>
      </c>
      <c r="N308" t="n">
        <v>0</v>
      </c>
      <c r="O308" t="n">
        <v>0</v>
      </c>
      <c r="P308" t="n">
        <v>0</v>
      </c>
      <c r="Q308" t="n">
        <v>0</v>
      </c>
      <c r="R308" t="n">
        <v>0</v>
      </c>
      <c r="S308" t="n">
        <v>0</v>
      </c>
      <c r="T308" t="n">
        <v>0</v>
      </c>
      <c r="U308" s="2" t="inlineStr"/>
    </row>
    <row r="309" ht="15" customHeight="1">
      <c r="A309" t="inlineStr">
        <is>
          <t>A 27268-2022</t>
        </is>
      </c>
      <c r="B309" t="inlineStr">
        <is>
          <t>avverkningsanmälan</t>
        </is>
      </c>
      <c r="C309" t="inlineStr">
        <is>
          <t>Föryngringsavverkning</t>
        </is>
      </c>
      <c r="D309" s="1" t="n">
        <v>44741</v>
      </c>
      <c r="E309" s="1" t="n">
        <v>46221</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53632-2022</t>
        </is>
      </c>
      <c r="B310" t="inlineStr">
        <is>
          <t>avverkningsanmälan</t>
        </is>
      </c>
      <c r="C310" t="inlineStr">
        <is>
          <t>Föryngringsavverkning</t>
        </is>
      </c>
      <c r="D310" s="1" t="n">
        <v>44879</v>
      </c>
      <c r="E310" s="1" t="n">
        <v>46221</v>
      </c>
      <c r="F310" t="inlineStr">
        <is>
          <t>NORRBOTTENS LÄN</t>
        </is>
      </c>
      <c r="G310" t="inlineStr">
        <is>
          <t>PITEÅ</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53633-2022</t>
        </is>
      </c>
      <c r="B311" t="inlineStr">
        <is>
          <t>avverkningsanmälan</t>
        </is>
      </c>
      <c r="C311" t="inlineStr">
        <is>
          <t>Föryngringsavverkning</t>
        </is>
      </c>
      <c r="D311" s="1" t="n">
        <v>44879</v>
      </c>
      <c r="E311" s="1" t="n">
        <v>46221</v>
      </c>
      <c r="F311" t="inlineStr">
        <is>
          <t>NORRBOTTENS LÄN</t>
        </is>
      </c>
      <c r="G311" t="inlineStr">
        <is>
          <t>PITEÅ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27270-2022</t>
        </is>
      </c>
      <c r="B312" t="inlineStr">
        <is>
          <t>avverkningsanmälan</t>
        </is>
      </c>
      <c r="C312" t="inlineStr">
        <is>
          <t>Föryngringsavverkning</t>
        </is>
      </c>
      <c r="D312" s="1" t="n">
        <v>44741</v>
      </c>
      <c r="E312" s="1" t="n">
        <v>46221</v>
      </c>
      <c r="F312" t="inlineStr">
        <is>
          <t>NORRBOTTENS LÄN</t>
        </is>
      </c>
      <c r="G312" t="inlineStr">
        <is>
          <t>PITEÅ</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65769-2021</t>
        </is>
      </c>
      <c r="B313" t="inlineStr">
        <is>
          <t>avverkningsanmälan</t>
        </is>
      </c>
      <c r="C313" t="inlineStr">
        <is>
          <t>Föryngringsavverkning</t>
        </is>
      </c>
      <c r="D313" s="1" t="n">
        <v>44516</v>
      </c>
      <c r="E313" s="1" t="n">
        <v>46221</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44526-2024</t>
        </is>
      </c>
      <c r="B314" t="inlineStr">
        <is>
          <t>avverkningsanmälan</t>
        </is>
      </c>
      <c r="C314" t="inlineStr">
        <is>
          <t>Föryngringsavverkning</t>
        </is>
      </c>
      <c r="D314" s="1" t="n">
        <v>45574</v>
      </c>
      <c r="E314" s="1" t="n">
        <v>46221</v>
      </c>
      <c r="F314" t="inlineStr">
        <is>
          <t>NORRBOTTENS LÄN</t>
        </is>
      </c>
      <c r="G314" t="inlineStr">
        <is>
          <t>PITEÅ</t>
        </is>
      </c>
      <c r="H314" t="inlineStr">
        <is>
          <t>Sveaskog</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67376-2021</t>
        </is>
      </c>
      <c r="B315" t="inlineStr">
        <is>
          <t>avverkningsanmälan</t>
        </is>
      </c>
      <c r="C315" t="inlineStr">
        <is>
          <t>Föryngringsavverkning</t>
        </is>
      </c>
      <c r="D315" s="1" t="n">
        <v>44523</v>
      </c>
      <c r="E315" s="1" t="n">
        <v>46221</v>
      </c>
      <c r="F315" t="inlineStr">
        <is>
          <t>NORRBOTTENS LÄN</t>
        </is>
      </c>
      <c r="G315" t="inlineStr">
        <is>
          <t>PITEÅ</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4330-2022</t>
        </is>
      </c>
      <c r="B316" t="inlineStr">
        <is>
          <t>avverkningsanmälan</t>
        </is>
      </c>
      <c r="C316" t="inlineStr">
        <is>
          <t>Föryngringsavverkning</t>
        </is>
      </c>
      <c r="D316" s="1" t="n">
        <v>44588</v>
      </c>
      <c r="E316" s="1" t="n">
        <v>46221</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18740-2022</t>
        </is>
      </c>
      <c r="B317" t="inlineStr">
        <is>
          <t>avverkningsanmälan</t>
        </is>
      </c>
      <c r="C317" t="inlineStr">
        <is>
          <t>Föryngringsavverkning</t>
        </is>
      </c>
      <c r="D317" s="1" t="n">
        <v>44687</v>
      </c>
      <c r="E317" s="1" t="n">
        <v>46221</v>
      </c>
      <c r="F317" t="inlineStr">
        <is>
          <t>NORRBOTTENS LÄN</t>
        </is>
      </c>
      <c r="G317" t="inlineStr">
        <is>
          <t>PITEÅ</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31635-2022</t>
        </is>
      </c>
      <c r="B318" t="inlineStr">
        <is>
          <t>avverkningsanmälan</t>
        </is>
      </c>
      <c r="C318" t="inlineStr">
        <is>
          <t>Föryngringsavverkning</t>
        </is>
      </c>
      <c r="D318" s="1" t="n">
        <v>44775</v>
      </c>
      <c r="E318" s="1" t="n">
        <v>46221</v>
      </c>
      <c r="F318" t="inlineStr">
        <is>
          <t>NORRBOTTENS LÄN</t>
        </is>
      </c>
      <c r="G318" t="inlineStr">
        <is>
          <t>PITEÅ</t>
        </is>
      </c>
      <c r="I318" t="n">
        <v>2.9</v>
      </c>
      <c r="J318" t="n">
        <v>0</v>
      </c>
      <c r="K318" t="n">
        <v>0</v>
      </c>
      <c r="L318" t="n">
        <v>0</v>
      </c>
      <c r="M318" t="n">
        <v>0</v>
      </c>
      <c r="N318" t="n">
        <v>0</v>
      </c>
      <c r="O318" t="n">
        <v>0</v>
      </c>
      <c r="P318" t="n">
        <v>0</v>
      </c>
      <c r="Q318" t="n">
        <v>0</v>
      </c>
      <c r="R318" t="n">
        <v>0</v>
      </c>
      <c r="S318" t="n">
        <v>0</v>
      </c>
      <c r="T318" t="n">
        <v>0</v>
      </c>
      <c r="U318" s="2" t="inlineStr"/>
    </row>
    <row r="319" ht="15" customHeight="1">
      <c r="A319" t="inlineStr">
        <is>
          <t>A 10544-2022</t>
        </is>
      </c>
      <c r="B319" t="inlineStr">
        <is>
          <t>avverkningsanmälan</t>
        </is>
      </c>
      <c r="C319" t="inlineStr">
        <is>
          <t>Föryngringsavverkning</t>
        </is>
      </c>
      <c r="D319" s="1" t="n">
        <v>44623</v>
      </c>
      <c r="E319" s="1" t="n">
        <v>46221</v>
      </c>
      <c r="F319" t="inlineStr">
        <is>
          <t>NORRBOTTENS LÄN</t>
        </is>
      </c>
      <c r="G319" t="inlineStr">
        <is>
          <t>PITEÅ</t>
        </is>
      </c>
      <c r="I319" t="n">
        <v>21.9</v>
      </c>
      <c r="J319" t="n">
        <v>0</v>
      </c>
      <c r="K319" t="n">
        <v>0</v>
      </c>
      <c r="L319" t="n">
        <v>0</v>
      </c>
      <c r="M319" t="n">
        <v>0</v>
      </c>
      <c r="N319" t="n">
        <v>0</v>
      </c>
      <c r="O319" t="n">
        <v>0</v>
      </c>
      <c r="P319" t="n">
        <v>0</v>
      </c>
      <c r="Q319" t="n">
        <v>0</v>
      </c>
      <c r="R319" t="n">
        <v>0</v>
      </c>
      <c r="S319" t="n">
        <v>0</v>
      </c>
      <c r="T319" t="n">
        <v>0</v>
      </c>
      <c r="U319" s="2" t="inlineStr"/>
    </row>
    <row r="320" ht="15" customHeight="1">
      <c r="A320" t="inlineStr">
        <is>
          <t>A 5906-2022</t>
        </is>
      </c>
      <c r="B320" t="inlineStr">
        <is>
          <t>avverkningsanmälan</t>
        </is>
      </c>
      <c r="C320" t="inlineStr">
        <is>
          <t>Föryngringsavverkning</t>
        </is>
      </c>
      <c r="D320" s="1" t="n">
        <v>44596</v>
      </c>
      <c r="E320" s="1" t="n">
        <v>46221</v>
      </c>
      <c r="F320" t="inlineStr">
        <is>
          <t>NORRBOTTENS LÄN</t>
        </is>
      </c>
      <c r="G320" t="inlineStr">
        <is>
          <t>PITEÅ</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48436-2025</t>
        </is>
      </c>
      <c r="B321" t="inlineStr">
        <is>
          <t>avverkningsanmälan</t>
        </is>
      </c>
      <c r="C321" t="inlineStr">
        <is>
          <t>Föryngringsavverkning</t>
        </is>
      </c>
      <c r="D321" s="1" t="n">
        <v>45935</v>
      </c>
      <c r="E321" s="1" t="n">
        <v>46221</v>
      </c>
      <c r="F321" t="inlineStr">
        <is>
          <t>NORRBOTTENS LÄN</t>
        </is>
      </c>
      <c r="G321" t="inlineStr">
        <is>
          <t>PITEÅ</t>
        </is>
      </c>
      <c r="H321" t="inlineStr">
        <is>
          <t>SCA</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48437-2025</t>
        </is>
      </c>
      <c r="B322" t="inlineStr">
        <is>
          <t>avverkningsanmälan</t>
        </is>
      </c>
      <c r="C322" t="inlineStr">
        <is>
          <t>Föryngringsavverkning</t>
        </is>
      </c>
      <c r="D322" s="1" t="n">
        <v>45935</v>
      </c>
      <c r="E322" s="1" t="n">
        <v>46221</v>
      </c>
      <c r="F322" t="inlineStr">
        <is>
          <t>NORRBOTTENS LÄN</t>
        </is>
      </c>
      <c r="G322" t="inlineStr">
        <is>
          <t>PITEÅ</t>
        </is>
      </c>
      <c r="H322" t="inlineStr">
        <is>
          <t>SCA</t>
        </is>
      </c>
      <c r="I322" t="n">
        <v>3.8</v>
      </c>
      <c r="J322" t="n">
        <v>0</v>
      </c>
      <c r="K322" t="n">
        <v>0</v>
      </c>
      <c r="L322" t="n">
        <v>0</v>
      </c>
      <c r="M322" t="n">
        <v>0</v>
      </c>
      <c r="N322" t="n">
        <v>0</v>
      </c>
      <c r="O322" t="n">
        <v>0</v>
      </c>
      <c r="P322" t="n">
        <v>0</v>
      </c>
      <c r="Q322" t="n">
        <v>0</v>
      </c>
      <c r="R322" t="n">
        <v>0</v>
      </c>
      <c r="S322" t="n">
        <v>0</v>
      </c>
      <c r="T322" t="n">
        <v>0</v>
      </c>
      <c r="U322" s="2" t="inlineStr"/>
    </row>
    <row r="323" ht="15" customHeight="1">
      <c r="A323" t="inlineStr">
        <is>
          <t>A 19376-2025</t>
        </is>
      </c>
      <c r="B323" t="inlineStr">
        <is>
          <t>avverkningsanmälan</t>
        </is>
      </c>
      <c r="C323" t="inlineStr">
        <is>
          <t>Föryngringsavverkning</t>
        </is>
      </c>
      <c r="D323" s="1" t="n">
        <v>45769</v>
      </c>
      <c r="E323" s="1" t="n">
        <v>46221</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37819-2024</t>
        </is>
      </c>
      <c r="B324" t="inlineStr">
        <is>
          <t>avverkningsanmälan</t>
        </is>
      </c>
      <c r="C324" t="inlineStr">
        <is>
          <t>Föryngringsavverkning</t>
        </is>
      </c>
      <c r="D324" s="1" t="n">
        <v>45544</v>
      </c>
      <c r="E324" s="1" t="n">
        <v>46221</v>
      </c>
      <c r="F324" t="inlineStr">
        <is>
          <t>NORRBOTTENS LÄN</t>
        </is>
      </c>
      <c r="G324" t="inlineStr">
        <is>
          <t>PITEÅ</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7006-2026</t>
        </is>
      </c>
      <c r="B325" t="inlineStr">
        <is>
          <t>avverkningsanmälan</t>
        </is>
      </c>
      <c r="C325" t="inlineStr">
        <is>
          <t>Föryngringsavverkning</t>
        </is>
      </c>
      <c r="D325" s="1" t="n">
        <v>46057</v>
      </c>
      <c r="E325" s="1" t="n">
        <v>46221</v>
      </c>
      <c r="F325" t="inlineStr">
        <is>
          <t>NORRBOTTENS LÄN</t>
        </is>
      </c>
      <c r="G325" t="inlineStr">
        <is>
          <t>PITEÅ</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23880-2022</t>
        </is>
      </c>
      <c r="B326" t="inlineStr">
        <is>
          <t>avverkningsanmälan</t>
        </is>
      </c>
      <c r="C326" t="inlineStr">
        <is>
          <t>Föryngringsavverkning</t>
        </is>
      </c>
      <c r="D326" s="1" t="n">
        <v>44722</v>
      </c>
      <c r="E326" s="1" t="n">
        <v>46221</v>
      </c>
      <c r="F326" t="inlineStr">
        <is>
          <t>NORRBOTTENS LÄN</t>
        </is>
      </c>
      <c r="G326" t="inlineStr">
        <is>
          <t>PITEÅ</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7105-2026</t>
        </is>
      </c>
      <c r="B327" t="inlineStr">
        <is>
          <t>avverkningsanmälan</t>
        </is>
      </c>
      <c r="C327" t="inlineStr">
        <is>
          <t>Föryngringsavverkning</t>
        </is>
      </c>
      <c r="D327" s="1" t="n">
        <v>46058</v>
      </c>
      <c r="E327" s="1" t="n">
        <v>46221</v>
      </c>
      <c r="F327" t="inlineStr">
        <is>
          <t>NORRBOTTENS LÄN</t>
        </is>
      </c>
      <c r="G327" t="inlineStr">
        <is>
          <t>PITEÅ</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7155-2026</t>
        </is>
      </c>
      <c r="B328" t="inlineStr">
        <is>
          <t>avverkningsanmälan</t>
        </is>
      </c>
      <c r="C328" t="inlineStr">
        <is>
          <t>Föryngringsavverkning</t>
        </is>
      </c>
      <c r="D328" s="1" t="n">
        <v>46058</v>
      </c>
      <c r="E328" s="1" t="n">
        <v>46221</v>
      </c>
      <c r="F328" t="inlineStr">
        <is>
          <t>NORRBOTTENS LÄN</t>
        </is>
      </c>
      <c r="G328" t="inlineStr">
        <is>
          <t>PITEÅ</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60687-2024</t>
        </is>
      </c>
      <c r="B329" t="inlineStr">
        <is>
          <t>avverkningsanmälan</t>
        </is>
      </c>
      <c r="C329" t="inlineStr">
        <is>
          <t>Föryngringsavverkning</t>
        </is>
      </c>
      <c r="D329" s="1" t="n">
        <v>45644</v>
      </c>
      <c r="E329" s="1" t="n">
        <v>46221</v>
      </c>
      <c r="F329" t="inlineStr">
        <is>
          <t>NORRBOTTENS LÄN</t>
        </is>
      </c>
      <c r="G329" t="inlineStr">
        <is>
          <t>PITEÅ</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48435-2025</t>
        </is>
      </c>
      <c r="B330" t="inlineStr">
        <is>
          <t>avverkningsanmälan</t>
        </is>
      </c>
      <c r="C330" t="inlineStr">
        <is>
          <t>Föryngringsavverkning</t>
        </is>
      </c>
      <c r="D330" s="1" t="n">
        <v>45935</v>
      </c>
      <c r="E330" s="1" t="n">
        <v>46221</v>
      </c>
      <c r="F330" t="inlineStr">
        <is>
          <t>NORRBOTTENS LÄN</t>
        </is>
      </c>
      <c r="G330" t="inlineStr">
        <is>
          <t>PITEÅ</t>
        </is>
      </c>
      <c r="H330" t="inlineStr">
        <is>
          <t>SCA</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A 59954-2024</t>
        </is>
      </c>
      <c r="B331" t="inlineStr">
        <is>
          <t>avverkningsanmälan</t>
        </is>
      </c>
      <c r="C331" t="inlineStr">
        <is>
          <t>Föryngringsavverkning</t>
        </is>
      </c>
      <c r="D331" s="1" t="n">
        <v>45642</v>
      </c>
      <c r="E331" s="1" t="n">
        <v>46221</v>
      </c>
      <c r="F331" t="inlineStr">
        <is>
          <t>NORRBOTTENS LÄN</t>
        </is>
      </c>
      <c r="G331" t="inlineStr">
        <is>
          <t>PITEÅ</t>
        </is>
      </c>
      <c r="I331" t="n">
        <v>6.2</v>
      </c>
      <c r="J331" t="n">
        <v>0</v>
      </c>
      <c r="K331" t="n">
        <v>0</v>
      </c>
      <c r="L331" t="n">
        <v>0</v>
      </c>
      <c r="M331" t="n">
        <v>0</v>
      </c>
      <c r="N331" t="n">
        <v>0</v>
      </c>
      <c r="O331" t="n">
        <v>0</v>
      </c>
      <c r="P331" t="n">
        <v>0</v>
      </c>
      <c r="Q331" t="n">
        <v>0</v>
      </c>
      <c r="R331" t="n">
        <v>0</v>
      </c>
      <c r="S331" t="n">
        <v>0</v>
      </c>
      <c r="T331" t="n">
        <v>0</v>
      </c>
      <c r="U331" s="2" t="inlineStr"/>
    </row>
    <row r="332" ht="15" customHeight="1">
      <c r="A332" t="inlineStr">
        <is>
          <t>A 59973-2024</t>
        </is>
      </c>
      <c r="B332" t="inlineStr">
        <is>
          <t>avverkningsanmälan</t>
        </is>
      </c>
      <c r="C332" t="inlineStr">
        <is>
          <t>Föryngringsavverkning</t>
        </is>
      </c>
      <c r="D332" s="1" t="n">
        <v>45642</v>
      </c>
      <c r="E332" s="1" t="n">
        <v>46221</v>
      </c>
      <c r="F332" t="inlineStr">
        <is>
          <t>NORRBOTTENS LÄN</t>
        </is>
      </c>
      <c r="G332" t="inlineStr">
        <is>
          <t>PITEÅ</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21643-2024</t>
        </is>
      </c>
      <c r="B333" t="inlineStr">
        <is>
          <t>avverkningsanmälan</t>
        </is>
      </c>
      <c r="C333" t="inlineStr">
        <is>
          <t>Föryngringsavverkning</t>
        </is>
      </c>
      <c r="D333" s="1" t="n">
        <v>45442</v>
      </c>
      <c r="E333" s="1" t="n">
        <v>46221</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36804-2025</t>
        </is>
      </c>
      <c r="B334" t="inlineStr">
        <is>
          <t>avverkningsanmälan</t>
        </is>
      </c>
      <c r="C334" t="inlineStr">
        <is>
          <t>Föryngringsavverkning</t>
        </is>
      </c>
      <c r="D334" s="1" t="n">
        <v>45873</v>
      </c>
      <c r="E334" s="1" t="n">
        <v>46221</v>
      </c>
      <c r="F334" t="inlineStr">
        <is>
          <t>NORRBOTTENS LÄN</t>
        </is>
      </c>
      <c r="G334" t="inlineStr">
        <is>
          <t>PITEÅ</t>
        </is>
      </c>
      <c r="H334" t="inlineStr">
        <is>
          <t>Sveaskog</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36999-2025</t>
        </is>
      </c>
      <c r="B335" t="inlineStr">
        <is>
          <t>avverkningsanmälan</t>
        </is>
      </c>
      <c r="C335" t="inlineStr">
        <is>
          <t>Föryngringsavverkning</t>
        </is>
      </c>
      <c r="D335" s="1" t="n">
        <v>45874</v>
      </c>
      <c r="E335" s="1" t="n">
        <v>46221</v>
      </c>
      <c r="F335" t="inlineStr">
        <is>
          <t>NORRBOTTENS LÄN</t>
        </is>
      </c>
      <c r="G335" t="inlineStr">
        <is>
          <t>PITEÅ</t>
        </is>
      </c>
      <c r="H335" t="inlineStr">
        <is>
          <t>SCA</t>
        </is>
      </c>
      <c r="I335" t="n">
        <v>6.9</v>
      </c>
      <c r="J335" t="n">
        <v>0</v>
      </c>
      <c r="K335" t="n">
        <v>0</v>
      </c>
      <c r="L335" t="n">
        <v>0</v>
      </c>
      <c r="M335" t="n">
        <v>0</v>
      </c>
      <c r="N335" t="n">
        <v>0</v>
      </c>
      <c r="O335" t="n">
        <v>0</v>
      </c>
      <c r="P335" t="n">
        <v>0</v>
      </c>
      <c r="Q335" t="n">
        <v>0</v>
      </c>
      <c r="R335" t="n">
        <v>0</v>
      </c>
      <c r="S335" t="n">
        <v>0</v>
      </c>
      <c r="T335" t="n">
        <v>0</v>
      </c>
      <c r="U335" s="2" t="inlineStr"/>
    </row>
    <row r="336" ht="15" customHeight="1">
      <c r="A336" t="inlineStr">
        <is>
          <t>A 49758-2025</t>
        </is>
      </c>
      <c r="B336" t="inlineStr">
        <is>
          <t>avverkningsanmälan</t>
        </is>
      </c>
      <c r="C336" t="inlineStr">
        <is>
          <t>Föryngringsavverkning</t>
        </is>
      </c>
      <c r="D336" s="1" t="n">
        <v>45940</v>
      </c>
      <c r="E336" s="1" t="n">
        <v>46221</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49768-2025</t>
        </is>
      </c>
      <c r="B337" t="inlineStr">
        <is>
          <t>avverkningsanmälan</t>
        </is>
      </c>
      <c r="C337" t="inlineStr">
        <is>
          <t>Föryngringsavverkning</t>
        </is>
      </c>
      <c r="D337" s="1" t="n">
        <v>45940</v>
      </c>
      <c r="E337" s="1" t="n">
        <v>46221</v>
      </c>
      <c r="F337" t="inlineStr">
        <is>
          <t>NORRBOTTENS LÄN</t>
        </is>
      </c>
      <c r="G337" t="inlineStr">
        <is>
          <t>PITEÅ</t>
        </is>
      </c>
      <c r="I337" t="n">
        <v>7.9</v>
      </c>
      <c r="J337" t="n">
        <v>0</v>
      </c>
      <c r="K337" t="n">
        <v>0</v>
      </c>
      <c r="L337" t="n">
        <v>0</v>
      </c>
      <c r="M337" t="n">
        <v>0</v>
      </c>
      <c r="N337" t="n">
        <v>0</v>
      </c>
      <c r="O337" t="n">
        <v>0</v>
      </c>
      <c r="P337" t="n">
        <v>0</v>
      </c>
      <c r="Q337" t="n">
        <v>0</v>
      </c>
      <c r="R337" t="n">
        <v>0</v>
      </c>
      <c r="S337" t="n">
        <v>0</v>
      </c>
      <c r="T337" t="n">
        <v>0</v>
      </c>
      <c r="U337" s="2" t="inlineStr"/>
    </row>
    <row r="338" ht="15" customHeight="1">
      <c r="A338" t="inlineStr">
        <is>
          <t>A 472-2023</t>
        </is>
      </c>
      <c r="B338" t="inlineStr">
        <is>
          <t>avverkningsanmälan</t>
        </is>
      </c>
      <c r="C338" t="inlineStr">
        <is>
          <t>Föryngringsavverkning</t>
        </is>
      </c>
      <c r="D338" s="1" t="n">
        <v>44929</v>
      </c>
      <c r="E338" s="1" t="n">
        <v>46221</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473-2023</t>
        </is>
      </c>
      <c r="B339" t="inlineStr">
        <is>
          <t>avverkningsanmälan</t>
        </is>
      </c>
      <c r="C339" t="inlineStr">
        <is>
          <t>Föryngringsavverkning</t>
        </is>
      </c>
      <c r="D339" s="1" t="n">
        <v>44929</v>
      </c>
      <c r="E339" s="1" t="n">
        <v>46221</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36990-2025</t>
        </is>
      </c>
      <c r="B340" t="inlineStr">
        <is>
          <t>avverkningsanmälan</t>
        </is>
      </c>
      <c r="C340" t="inlineStr">
        <is>
          <t>Föryngringsavverkning</t>
        </is>
      </c>
      <c r="D340" s="1" t="n">
        <v>45874</v>
      </c>
      <c r="E340" s="1" t="n">
        <v>46221</v>
      </c>
      <c r="F340" t="inlineStr">
        <is>
          <t>NORRBOTTENS LÄN</t>
        </is>
      </c>
      <c r="G340" t="inlineStr">
        <is>
          <t>PITEÅ</t>
        </is>
      </c>
      <c r="H340" t="inlineStr">
        <is>
          <t>Sveaskog</t>
        </is>
      </c>
      <c r="I340" t="n">
        <v>22.3</v>
      </c>
      <c r="J340" t="n">
        <v>0</v>
      </c>
      <c r="K340" t="n">
        <v>0</v>
      </c>
      <c r="L340" t="n">
        <v>0</v>
      </c>
      <c r="M340" t="n">
        <v>0</v>
      </c>
      <c r="N340" t="n">
        <v>0</v>
      </c>
      <c r="O340" t="n">
        <v>0</v>
      </c>
      <c r="P340" t="n">
        <v>0</v>
      </c>
      <c r="Q340" t="n">
        <v>0</v>
      </c>
      <c r="R340" t="n">
        <v>0</v>
      </c>
      <c r="S340" t="n">
        <v>0</v>
      </c>
      <c r="T340" t="n">
        <v>0</v>
      </c>
      <c r="U340" s="2" t="inlineStr"/>
    </row>
    <row r="341" ht="15" customHeight="1">
      <c r="A341" t="inlineStr">
        <is>
          <t>A 60476-2022</t>
        </is>
      </c>
      <c r="B341" t="inlineStr">
        <is>
          <t>avverkningsanmälan</t>
        </is>
      </c>
      <c r="C341" t="inlineStr">
        <is>
          <t>Föryngringsavverkning</t>
        </is>
      </c>
      <c r="D341" s="1" t="n">
        <v>44911</v>
      </c>
      <c r="E341" s="1" t="n">
        <v>46221</v>
      </c>
      <c r="F341" t="inlineStr">
        <is>
          <t>NORRBOTTENS LÄN</t>
        </is>
      </c>
      <c r="G341" t="inlineStr">
        <is>
          <t>PITEÅ</t>
        </is>
      </c>
      <c r="H341" t="inlineStr">
        <is>
          <t>Sveaskog</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59516-2022</t>
        </is>
      </c>
      <c r="B342" t="inlineStr">
        <is>
          <t>avverkningsanmälan</t>
        </is>
      </c>
      <c r="C342" t="inlineStr">
        <is>
          <t>Föryngringsavverkning</t>
        </is>
      </c>
      <c r="D342" s="1" t="n">
        <v>44907</v>
      </c>
      <c r="E342" s="1" t="n">
        <v>46221</v>
      </c>
      <c r="F342" t="inlineStr">
        <is>
          <t>NORRBOTTENS LÄN</t>
        </is>
      </c>
      <c r="G342" t="inlineStr">
        <is>
          <t>PITEÅ</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49885-2025</t>
        </is>
      </c>
      <c r="B343" t="inlineStr">
        <is>
          <t>avverkningsanmälan</t>
        </is>
      </c>
      <c r="C343" t="inlineStr">
        <is>
          <t>Föryngringsavverkning</t>
        </is>
      </c>
      <c r="D343" s="1" t="n">
        <v>45940</v>
      </c>
      <c r="E343" s="1" t="n">
        <v>46221</v>
      </c>
      <c r="F343" t="inlineStr">
        <is>
          <t>NORRBOTTENS LÄN</t>
        </is>
      </c>
      <c r="G343" t="inlineStr">
        <is>
          <t>PITEÅ</t>
        </is>
      </c>
      <c r="H343" t="inlineStr">
        <is>
          <t>Sveaskog</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49876-2025</t>
        </is>
      </c>
      <c r="B344" t="inlineStr">
        <is>
          <t>avverkningsanmälan</t>
        </is>
      </c>
      <c r="C344" t="inlineStr">
        <is>
          <t>Föryngringsavverkning</t>
        </is>
      </c>
      <c r="D344" s="1" t="n">
        <v>45940</v>
      </c>
      <c r="E344" s="1" t="n">
        <v>46221</v>
      </c>
      <c r="F344" t="inlineStr">
        <is>
          <t>NORRBOTTENS LÄN</t>
        </is>
      </c>
      <c r="G344" t="inlineStr">
        <is>
          <t>PITEÅ</t>
        </is>
      </c>
      <c r="H344" t="inlineStr">
        <is>
          <t>Sveaskog</t>
        </is>
      </c>
      <c r="I344" t="n">
        <v>32.9</v>
      </c>
      <c r="J344" t="n">
        <v>0</v>
      </c>
      <c r="K344" t="n">
        <v>0</v>
      </c>
      <c r="L344" t="n">
        <v>0</v>
      </c>
      <c r="M344" t="n">
        <v>0</v>
      </c>
      <c r="N344" t="n">
        <v>0</v>
      </c>
      <c r="O344" t="n">
        <v>0</v>
      </c>
      <c r="P344" t="n">
        <v>0</v>
      </c>
      <c r="Q344" t="n">
        <v>0</v>
      </c>
      <c r="R344" t="n">
        <v>0</v>
      </c>
      <c r="S344" t="n">
        <v>0</v>
      </c>
      <c r="T344" t="n">
        <v>0</v>
      </c>
      <c r="U344" s="2" t="inlineStr"/>
    </row>
    <row r="345" ht="15" customHeight="1">
      <c r="A345" t="inlineStr">
        <is>
          <t>A 50426-2025</t>
        </is>
      </c>
      <c r="B345" t="inlineStr">
        <is>
          <t>avverkningsanmälan</t>
        </is>
      </c>
      <c r="C345" t="inlineStr">
        <is>
          <t>Föryngringsavverkning</t>
        </is>
      </c>
      <c r="D345" s="1" t="n">
        <v>45944</v>
      </c>
      <c r="E345" s="1" t="n">
        <v>46221</v>
      </c>
      <c r="F345" t="inlineStr">
        <is>
          <t>NORRBOTTENS LÄN</t>
        </is>
      </c>
      <c r="G345" t="inlineStr">
        <is>
          <t>PITEÅ</t>
        </is>
      </c>
      <c r="H345" t="inlineStr">
        <is>
          <t>Övriga Aktiebolag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37436-2025</t>
        </is>
      </c>
      <c r="B346" t="inlineStr">
        <is>
          <t>avverkningsanmälan</t>
        </is>
      </c>
      <c r="C346" t="inlineStr">
        <is>
          <t>Föryngringsavverkning</t>
        </is>
      </c>
      <c r="D346" s="1" t="n">
        <v>45877</v>
      </c>
      <c r="E346" s="1" t="n">
        <v>46221</v>
      </c>
      <c r="F346" t="inlineStr">
        <is>
          <t>NORRBOTTENS LÄN</t>
        </is>
      </c>
      <c r="G346" t="inlineStr">
        <is>
          <t>PITEÅ</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37721-2025</t>
        </is>
      </c>
      <c r="B347" t="inlineStr">
        <is>
          <t>avverkningsanmälan</t>
        </is>
      </c>
      <c r="C347" t="inlineStr">
        <is>
          <t>Föryngringsavverkning</t>
        </is>
      </c>
      <c r="D347" s="1" t="n">
        <v>45880</v>
      </c>
      <c r="E347" s="1" t="n">
        <v>46221</v>
      </c>
      <c r="F347" t="inlineStr">
        <is>
          <t>NORRBOTTENS LÄN</t>
        </is>
      </c>
      <c r="G347" t="inlineStr">
        <is>
          <t>PITEÅ</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37722-2025</t>
        </is>
      </c>
      <c r="B348" t="inlineStr">
        <is>
          <t>avverkningsanmälan</t>
        </is>
      </c>
      <c r="C348" t="inlineStr">
        <is>
          <t>Föryngringsavverkning</t>
        </is>
      </c>
      <c r="D348" s="1" t="n">
        <v>45880</v>
      </c>
      <c r="E348" s="1" t="n">
        <v>46221</v>
      </c>
      <c r="F348" t="inlineStr">
        <is>
          <t>NORRBOTTENS LÄN</t>
        </is>
      </c>
      <c r="G348" t="inlineStr">
        <is>
          <t>PITEÅ</t>
        </is>
      </c>
      <c r="I348" t="n">
        <v>3.7</v>
      </c>
      <c r="J348" t="n">
        <v>0</v>
      </c>
      <c r="K348" t="n">
        <v>0</v>
      </c>
      <c r="L348" t="n">
        <v>0</v>
      </c>
      <c r="M348" t="n">
        <v>0</v>
      </c>
      <c r="N348" t="n">
        <v>0</v>
      </c>
      <c r="O348" t="n">
        <v>0</v>
      </c>
      <c r="P348" t="n">
        <v>0</v>
      </c>
      <c r="Q348" t="n">
        <v>0</v>
      </c>
      <c r="R348" t="n">
        <v>0</v>
      </c>
      <c r="S348" t="n">
        <v>0</v>
      </c>
      <c r="T348" t="n">
        <v>0</v>
      </c>
      <c r="U348" s="2" t="inlineStr"/>
    </row>
    <row r="349" ht="15" customHeight="1">
      <c r="A349" t="inlineStr">
        <is>
          <t>A 21705-2025</t>
        </is>
      </c>
      <c r="B349" t="inlineStr">
        <is>
          <t>avverkningsanmälan</t>
        </is>
      </c>
      <c r="C349" t="inlineStr">
        <is>
          <t>Föryngringsavverkning</t>
        </is>
      </c>
      <c r="D349" s="1" t="n">
        <v>45783</v>
      </c>
      <c r="E349" s="1" t="n">
        <v>46221</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50489-2025</t>
        </is>
      </c>
      <c r="B350" t="inlineStr">
        <is>
          <t>avverkningsanmälan</t>
        </is>
      </c>
      <c r="C350" t="inlineStr">
        <is>
          <t>Föryngringsavverkning</t>
        </is>
      </c>
      <c r="D350" s="1" t="n">
        <v>45945</v>
      </c>
      <c r="E350" s="1" t="n">
        <v>46221</v>
      </c>
      <c r="F350" t="inlineStr">
        <is>
          <t>NORRBOTTENS LÄN</t>
        </is>
      </c>
      <c r="G350" t="inlineStr">
        <is>
          <t>PITEÅ</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6026-2025</t>
        </is>
      </c>
      <c r="B351" t="inlineStr">
        <is>
          <t>avverkningsanmälan</t>
        </is>
      </c>
      <c r="C351" t="inlineStr">
        <is>
          <t>Föryngringsavverkning</t>
        </is>
      </c>
      <c r="D351" s="1" t="n">
        <v>45695</v>
      </c>
      <c r="E351" s="1" t="n">
        <v>46221</v>
      </c>
      <c r="F351" t="inlineStr">
        <is>
          <t>NORRBOTTENS LÄN</t>
        </is>
      </c>
      <c r="G351" t="inlineStr">
        <is>
          <t>PITEÅ</t>
        </is>
      </c>
      <c r="H351" t="inlineStr">
        <is>
          <t>Övriga Aktiebolag</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50475-2025</t>
        </is>
      </c>
      <c r="B352" t="inlineStr">
        <is>
          <t>avverkningsanmälan</t>
        </is>
      </c>
      <c r="C352" t="inlineStr">
        <is>
          <t>Föryngringsavverkning</t>
        </is>
      </c>
      <c r="D352" s="1" t="n">
        <v>45945</v>
      </c>
      <c r="E352" s="1" t="n">
        <v>46221</v>
      </c>
      <c r="F352" t="inlineStr">
        <is>
          <t>NORRBOTTENS LÄN</t>
        </is>
      </c>
      <c r="G352" t="inlineStr">
        <is>
          <t>PITEÅ</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50924-2025</t>
        </is>
      </c>
      <c r="B353" t="inlineStr">
        <is>
          <t>avverkningsanmälan</t>
        </is>
      </c>
      <c r="C353" t="inlineStr">
        <is>
          <t>Föryngringsavverkning</t>
        </is>
      </c>
      <c r="D353" s="1" t="n">
        <v>45946</v>
      </c>
      <c r="E353" s="1" t="n">
        <v>46221</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51375-2025</t>
        </is>
      </c>
      <c r="B354" t="inlineStr">
        <is>
          <t>avverkningsanmälan</t>
        </is>
      </c>
      <c r="C354" t="inlineStr">
        <is>
          <t>Föryngringsavverkning</t>
        </is>
      </c>
      <c r="D354" s="1" t="n">
        <v>45950</v>
      </c>
      <c r="E354" s="1" t="n">
        <v>46221</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39891-2024</t>
        </is>
      </c>
      <c r="B355" t="inlineStr">
        <is>
          <t>avverkningsanmälan</t>
        </is>
      </c>
      <c r="C355" t="inlineStr">
        <is>
          <t>Föryngringsavverkning</t>
        </is>
      </c>
      <c r="D355" s="1" t="n">
        <v>45553</v>
      </c>
      <c r="E355" s="1" t="n">
        <v>46221</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3663-2025</t>
        </is>
      </c>
      <c r="B356" t="inlineStr">
        <is>
          <t>avverkningsanmälan</t>
        </is>
      </c>
      <c r="C356" t="inlineStr">
        <is>
          <t>Föryngringsavverkning</t>
        </is>
      </c>
      <c r="D356" s="1" t="n">
        <v>45681</v>
      </c>
      <c r="E356" s="1" t="n">
        <v>46221</v>
      </c>
      <c r="F356" t="inlineStr">
        <is>
          <t>NORRBOTTENS LÄN</t>
        </is>
      </c>
      <c r="G356" t="inlineStr">
        <is>
          <t>PITEÅ</t>
        </is>
      </c>
      <c r="I356" t="n">
        <v>3.8</v>
      </c>
      <c r="J356" t="n">
        <v>0</v>
      </c>
      <c r="K356" t="n">
        <v>0</v>
      </c>
      <c r="L356" t="n">
        <v>0</v>
      </c>
      <c r="M356" t="n">
        <v>0</v>
      </c>
      <c r="N356" t="n">
        <v>0</v>
      </c>
      <c r="O356" t="n">
        <v>0</v>
      </c>
      <c r="P356" t="n">
        <v>0</v>
      </c>
      <c r="Q356" t="n">
        <v>0</v>
      </c>
      <c r="R356" t="n">
        <v>0</v>
      </c>
      <c r="S356" t="n">
        <v>0</v>
      </c>
      <c r="T356" t="n">
        <v>0</v>
      </c>
      <c r="U356" s="2" t="inlineStr"/>
    </row>
    <row r="357" ht="15" customHeight="1">
      <c r="A357" t="inlineStr">
        <is>
          <t>A 27175-2023</t>
        </is>
      </c>
      <c r="B357" t="inlineStr">
        <is>
          <t>avverkningsanmälan</t>
        </is>
      </c>
      <c r="C357" t="inlineStr">
        <is>
          <t>Föryngringsavverkning</t>
        </is>
      </c>
      <c r="D357" s="1" t="n">
        <v>45096</v>
      </c>
      <c r="E357" s="1" t="n">
        <v>46221</v>
      </c>
      <c r="F357" t="inlineStr">
        <is>
          <t>NORRBOTTENS LÄN</t>
        </is>
      </c>
      <c r="G357" t="inlineStr">
        <is>
          <t>PITEÅ</t>
        </is>
      </c>
      <c r="H357" t="inlineStr">
        <is>
          <t>Övriga Aktiebolag</t>
        </is>
      </c>
      <c r="I357" t="n">
        <v>9.4</v>
      </c>
      <c r="J357" t="n">
        <v>0</v>
      </c>
      <c r="K357" t="n">
        <v>0</v>
      </c>
      <c r="L357" t="n">
        <v>0</v>
      </c>
      <c r="M357" t="n">
        <v>0</v>
      </c>
      <c r="N357" t="n">
        <v>0</v>
      </c>
      <c r="O357" t="n">
        <v>0</v>
      </c>
      <c r="P357" t="n">
        <v>0</v>
      </c>
      <c r="Q357" t="n">
        <v>0</v>
      </c>
      <c r="R357" t="n">
        <v>0</v>
      </c>
      <c r="S357" t="n">
        <v>0</v>
      </c>
      <c r="T357" t="n">
        <v>0</v>
      </c>
      <c r="U357" s="2" t="inlineStr"/>
    </row>
    <row r="358" ht="15" customHeight="1">
      <c r="A358" t="inlineStr">
        <is>
          <t>A 50031-2021</t>
        </is>
      </c>
      <c r="B358" t="inlineStr">
        <is>
          <t>avverkningsanmälan</t>
        </is>
      </c>
      <c r="C358" t="inlineStr">
        <is>
          <t>Föryngringsavverkning</t>
        </is>
      </c>
      <c r="D358" s="1" t="n">
        <v>44454</v>
      </c>
      <c r="E358" s="1" t="n">
        <v>46221</v>
      </c>
      <c r="F358" t="inlineStr">
        <is>
          <t>NORRBOTTENS LÄN</t>
        </is>
      </c>
      <c r="G358" t="inlineStr">
        <is>
          <t>PITEÅ</t>
        </is>
      </c>
      <c r="I358" t="n">
        <v>10.5</v>
      </c>
      <c r="J358" t="n">
        <v>0</v>
      </c>
      <c r="K358" t="n">
        <v>0</v>
      </c>
      <c r="L358" t="n">
        <v>0</v>
      </c>
      <c r="M358" t="n">
        <v>0</v>
      </c>
      <c r="N358" t="n">
        <v>0</v>
      </c>
      <c r="O358" t="n">
        <v>0</v>
      </c>
      <c r="P358" t="n">
        <v>0</v>
      </c>
      <c r="Q358" t="n">
        <v>0</v>
      </c>
      <c r="R358" t="n">
        <v>0</v>
      </c>
      <c r="S358" t="n">
        <v>0</v>
      </c>
      <c r="T358" t="n">
        <v>0</v>
      </c>
      <c r="U358" s="2" t="inlineStr"/>
    </row>
    <row r="359" ht="15" customHeight="1">
      <c r="A359" t="inlineStr">
        <is>
          <t>A 48602-2022</t>
        </is>
      </c>
      <c r="B359" t="inlineStr">
        <is>
          <t>avverkningsanmälan</t>
        </is>
      </c>
      <c r="C359" t="inlineStr">
        <is>
          <t>Föryngringsavverkning</t>
        </is>
      </c>
      <c r="D359" s="1" t="n">
        <v>44859</v>
      </c>
      <c r="E359" s="1" t="n">
        <v>46221</v>
      </c>
      <c r="F359" t="inlineStr">
        <is>
          <t>NORRBOTTENS LÄN</t>
        </is>
      </c>
      <c r="G359" t="inlineStr">
        <is>
          <t>PITEÅ</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51571-2025</t>
        </is>
      </c>
      <c r="B360" t="inlineStr">
        <is>
          <t>avverkningsanmälan</t>
        </is>
      </c>
      <c r="C360" t="inlineStr">
        <is>
          <t>Föryngringsavverkning</t>
        </is>
      </c>
      <c r="D360" s="1" t="n">
        <v>45951</v>
      </c>
      <c r="E360" s="1" t="n">
        <v>46221</v>
      </c>
      <c r="F360" t="inlineStr">
        <is>
          <t>NORRBOTTENS LÄN</t>
        </is>
      </c>
      <c r="G360" t="inlineStr">
        <is>
          <t>PITEÅ</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52414-2025</t>
        </is>
      </c>
      <c r="B361" t="inlineStr">
        <is>
          <t>avverkningsanmälan</t>
        </is>
      </c>
      <c r="C361" t="inlineStr">
        <is>
          <t>Avverkning för annat ändamål</t>
        </is>
      </c>
      <c r="D361" s="1" t="n">
        <v>45952</v>
      </c>
      <c r="E361" s="1" t="n">
        <v>46221</v>
      </c>
      <c r="F361" t="inlineStr">
        <is>
          <t>NORRBOTTENS LÄN</t>
        </is>
      </c>
      <c r="G361" t="inlineStr">
        <is>
          <t>PITEÅ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38244-2025</t>
        </is>
      </c>
      <c r="B362" t="inlineStr">
        <is>
          <t>avverkningsanmälan</t>
        </is>
      </c>
      <c r="C362" t="inlineStr">
        <is>
          <t>Föryngringsavverkning</t>
        </is>
      </c>
      <c r="D362" s="1" t="n">
        <v>45883</v>
      </c>
      <c r="E362" s="1" t="n">
        <v>46221</v>
      </c>
      <c r="F362" t="inlineStr">
        <is>
          <t>NORRBOTTENS LÄN</t>
        </is>
      </c>
      <c r="G362" t="inlineStr">
        <is>
          <t>PITEÅ</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11937-2025</t>
        </is>
      </c>
      <c r="B363" t="inlineStr">
        <is>
          <t>avverkningsanmälan</t>
        </is>
      </c>
      <c r="C363" t="inlineStr">
        <is>
          <t>Föryngringsavverkning</t>
        </is>
      </c>
      <c r="D363" s="1" t="n">
        <v>45728</v>
      </c>
      <c r="E363" s="1" t="n">
        <v>46221</v>
      </c>
      <c r="F363" t="inlineStr">
        <is>
          <t>NORRBOTTENS LÄN</t>
        </is>
      </c>
      <c r="G363" t="inlineStr">
        <is>
          <t>PITEÅ</t>
        </is>
      </c>
      <c r="H363" t="inlineStr">
        <is>
          <t>Kommuner</t>
        </is>
      </c>
      <c r="I363" t="n">
        <v>8.699999999999999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52435-2025</t>
        </is>
      </c>
      <c r="B364" t="inlineStr">
        <is>
          <t>avverkningsanmälan</t>
        </is>
      </c>
      <c r="C364" t="inlineStr">
        <is>
          <t>Avverkning för annat ändamål</t>
        </is>
      </c>
      <c r="D364" s="1" t="n">
        <v>45952</v>
      </c>
      <c r="E364" s="1" t="n">
        <v>46221</v>
      </c>
      <c r="F364" t="inlineStr">
        <is>
          <t>NORRBOTTENS LÄN</t>
        </is>
      </c>
      <c r="G364" t="inlineStr">
        <is>
          <t>PITEÅ</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52349-2025</t>
        </is>
      </c>
      <c r="B365" t="inlineStr">
        <is>
          <t>avverkningsanmälan</t>
        </is>
      </c>
      <c r="C365" t="inlineStr">
        <is>
          <t>Föryngringsavverkning</t>
        </is>
      </c>
      <c r="D365" s="1" t="n">
        <v>45953</v>
      </c>
      <c r="E365" s="1" t="n">
        <v>46221</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44461-2023</t>
        </is>
      </c>
      <c r="B366" t="inlineStr">
        <is>
          <t>avverkningsanmälan</t>
        </is>
      </c>
      <c r="C366" t="inlineStr">
        <is>
          <t>Föryngringsavverkning</t>
        </is>
      </c>
      <c r="D366" s="1" t="n">
        <v>45183</v>
      </c>
      <c r="E366" s="1" t="n">
        <v>46221</v>
      </c>
      <c r="F366" t="inlineStr">
        <is>
          <t>NORRBOTTENS LÄN</t>
        </is>
      </c>
      <c r="G366" t="inlineStr">
        <is>
          <t>PITEÅ</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52648-2025</t>
        </is>
      </c>
      <c r="B367" t="inlineStr">
        <is>
          <t>avverkningsanmälan</t>
        </is>
      </c>
      <c r="C367" t="inlineStr">
        <is>
          <t>Föryngringsavverkning</t>
        </is>
      </c>
      <c r="D367" s="1" t="n">
        <v>45955</v>
      </c>
      <c r="E367" s="1" t="n">
        <v>46221</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52650-2025</t>
        </is>
      </c>
      <c r="B368" t="inlineStr">
        <is>
          <t>avverkningsanmälan</t>
        </is>
      </c>
      <c r="C368" t="inlineStr">
        <is>
          <t>Föryngringsavverkning</t>
        </is>
      </c>
      <c r="D368" s="1" t="n">
        <v>45955</v>
      </c>
      <c r="E368" s="1" t="n">
        <v>46221</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52652-2025</t>
        </is>
      </c>
      <c r="B369" t="inlineStr">
        <is>
          <t>avverkningsanmälan</t>
        </is>
      </c>
      <c r="C369" t="inlineStr">
        <is>
          <t>Föryngringsavverkning</t>
        </is>
      </c>
      <c r="D369" s="1" t="n">
        <v>45955</v>
      </c>
      <c r="E369" s="1" t="n">
        <v>46221</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52656-2025</t>
        </is>
      </c>
      <c r="B370" t="inlineStr">
        <is>
          <t>avverkningsanmälan</t>
        </is>
      </c>
      <c r="C370" t="inlineStr">
        <is>
          <t>Föryngringsavverkning</t>
        </is>
      </c>
      <c r="D370" s="1" t="n">
        <v>45955</v>
      </c>
      <c r="E370" s="1" t="n">
        <v>46221</v>
      </c>
      <c r="F370" t="inlineStr">
        <is>
          <t>NORRBOTTENS LÄN</t>
        </is>
      </c>
      <c r="G370" t="inlineStr">
        <is>
          <t>PITEÅ</t>
        </is>
      </c>
      <c r="I370" t="n">
        <v>6.3</v>
      </c>
      <c r="J370" t="n">
        <v>0</v>
      </c>
      <c r="K370" t="n">
        <v>0</v>
      </c>
      <c r="L370" t="n">
        <v>0</v>
      </c>
      <c r="M370" t="n">
        <v>0</v>
      </c>
      <c r="N370" t="n">
        <v>0</v>
      </c>
      <c r="O370" t="n">
        <v>0</v>
      </c>
      <c r="P370" t="n">
        <v>0</v>
      </c>
      <c r="Q370" t="n">
        <v>0</v>
      </c>
      <c r="R370" t="n">
        <v>0</v>
      </c>
      <c r="S370" t="n">
        <v>0</v>
      </c>
      <c r="T370" t="n">
        <v>0</v>
      </c>
      <c r="U370" s="2" t="inlineStr"/>
    </row>
    <row r="371" ht="15" customHeight="1">
      <c r="A371" t="inlineStr">
        <is>
          <t>A 37951-2021</t>
        </is>
      </c>
      <c r="B371" t="inlineStr">
        <is>
          <t>avverkningsanmälan</t>
        </is>
      </c>
      <c r="C371" t="inlineStr">
        <is>
          <t>Föryngringsavverkning</t>
        </is>
      </c>
      <c r="D371" s="1" t="n">
        <v>44403</v>
      </c>
      <c r="E371" s="1" t="n">
        <v>46221</v>
      </c>
      <c r="F371" t="inlineStr">
        <is>
          <t>NORRBOTTENS LÄN</t>
        </is>
      </c>
      <c r="G371" t="inlineStr">
        <is>
          <t>PITEÅ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8905-2026</t>
        </is>
      </c>
      <c r="B372" t="inlineStr">
        <is>
          <t>avverkningsanmälan</t>
        </is>
      </c>
      <c r="C372" t="inlineStr">
        <is>
          <t>Föryngringsavverkning</t>
        </is>
      </c>
      <c r="D372" s="1" t="n">
        <v>46068</v>
      </c>
      <c r="E372" s="1" t="n">
        <v>46221</v>
      </c>
      <c r="F372" t="inlineStr">
        <is>
          <t>NORRBOTTENS LÄN</t>
        </is>
      </c>
      <c r="G372" t="inlineStr">
        <is>
          <t>PITEÅ</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52679-2025</t>
        </is>
      </c>
      <c r="B373" t="inlineStr">
        <is>
          <t>avverkningsanmälan</t>
        </is>
      </c>
      <c r="C373" t="inlineStr">
        <is>
          <t>Föryngringsavverkning</t>
        </is>
      </c>
      <c r="D373" s="1" t="n">
        <v>45956</v>
      </c>
      <c r="E373" s="1" t="n">
        <v>46221</v>
      </c>
      <c r="F373" t="inlineStr">
        <is>
          <t>NORRBOTTENS LÄN</t>
        </is>
      </c>
      <c r="G373" t="inlineStr">
        <is>
          <t>PITEÅ</t>
        </is>
      </c>
      <c r="H373" t="inlineStr">
        <is>
          <t>SCA</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52955-2025</t>
        </is>
      </c>
      <c r="B374" t="inlineStr">
        <is>
          <t>avverkningsanmälan</t>
        </is>
      </c>
      <c r="C374" t="inlineStr">
        <is>
          <t>Föryngringsavverkning</t>
        </is>
      </c>
      <c r="D374" s="1" t="n">
        <v>45957</v>
      </c>
      <c r="E374" s="1" t="n">
        <v>46221</v>
      </c>
      <c r="F374" t="inlineStr">
        <is>
          <t>NORRBOTTENS LÄN</t>
        </is>
      </c>
      <c r="G374" t="inlineStr">
        <is>
          <t>PITEÅ</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52954-2025</t>
        </is>
      </c>
      <c r="B375" t="inlineStr">
        <is>
          <t>avverkningsanmälan</t>
        </is>
      </c>
      <c r="C375" t="inlineStr">
        <is>
          <t>Föryngringsavverkning</t>
        </is>
      </c>
      <c r="D375" s="1" t="n">
        <v>45957</v>
      </c>
      <c r="E375" s="1" t="n">
        <v>46221</v>
      </c>
      <c r="F375" t="inlineStr">
        <is>
          <t>NORRBOTTENS LÄN</t>
        </is>
      </c>
      <c r="G375" t="inlineStr">
        <is>
          <t>PITEÅ</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53652-2025</t>
        </is>
      </c>
      <c r="B376" t="inlineStr">
        <is>
          <t>avverkningsanmälan</t>
        </is>
      </c>
      <c r="C376" t="inlineStr">
        <is>
          <t>Föryngringsavverkning</t>
        </is>
      </c>
      <c r="D376" s="1" t="n">
        <v>45960</v>
      </c>
      <c r="E376" s="1" t="n">
        <v>46221</v>
      </c>
      <c r="F376" t="inlineStr">
        <is>
          <t>NORRBOTTENS LÄN</t>
        </is>
      </c>
      <c r="G376" t="inlineStr">
        <is>
          <t>PITEÅ</t>
        </is>
      </c>
      <c r="I376" t="n">
        <v>8.1</v>
      </c>
      <c r="J376" t="n">
        <v>0</v>
      </c>
      <c r="K376" t="n">
        <v>0</v>
      </c>
      <c r="L376" t="n">
        <v>0</v>
      </c>
      <c r="M376" t="n">
        <v>0</v>
      </c>
      <c r="N376" t="n">
        <v>0</v>
      </c>
      <c r="O376" t="n">
        <v>0</v>
      </c>
      <c r="P376" t="n">
        <v>0</v>
      </c>
      <c r="Q376" t="n">
        <v>0</v>
      </c>
      <c r="R376" t="n">
        <v>0</v>
      </c>
      <c r="S376" t="n">
        <v>0</v>
      </c>
      <c r="T376" t="n">
        <v>0</v>
      </c>
      <c r="U376" s="2" t="inlineStr"/>
    </row>
    <row r="377" ht="15" customHeight="1">
      <c r="A377" t="inlineStr">
        <is>
          <t>A 53663-2025</t>
        </is>
      </c>
      <c r="B377" t="inlineStr">
        <is>
          <t>avverkningsanmälan</t>
        </is>
      </c>
      <c r="C377" t="inlineStr">
        <is>
          <t>Föryngringsavverkning</t>
        </is>
      </c>
      <c r="D377" s="1" t="n">
        <v>45960</v>
      </c>
      <c r="E377" s="1" t="n">
        <v>46221</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11469-2025</t>
        </is>
      </c>
      <c r="B378" t="inlineStr">
        <is>
          <t>avverkningsanmälan</t>
        </is>
      </c>
      <c r="C378" t="inlineStr">
        <is>
          <t>Föryngringsavverkning</t>
        </is>
      </c>
      <c r="D378" s="1" t="n">
        <v>45726</v>
      </c>
      <c r="E378" s="1" t="n">
        <v>46221</v>
      </c>
      <c r="F378" t="inlineStr">
        <is>
          <t>NORRBOTTENS LÄN</t>
        </is>
      </c>
      <c r="G378" t="inlineStr">
        <is>
          <t>PITEÅ</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53685-2025</t>
        </is>
      </c>
      <c r="B379" t="inlineStr">
        <is>
          <t>avverkningsanmälan</t>
        </is>
      </c>
      <c r="C379" t="inlineStr">
        <is>
          <t>Föryngringsavverkning</t>
        </is>
      </c>
      <c r="D379" s="1" t="n">
        <v>45960</v>
      </c>
      <c r="E379" s="1" t="n">
        <v>46221</v>
      </c>
      <c r="F379" t="inlineStr">
        <is>
          <t>NORRBOTTENS LÄN</t>
        </is>
      </c>
      <c r="G379" t="inlineStr">
        <is>
          <t>PITEÅ</t>
        </is>
      </c>
      <c r="I379" t="n">
        <v>6.4</v>
      </c>
      <c r="J379" t="n">
        <v>0</v>
      </c>
      <c r="K379" t="n">
        <v>0</v>
      </c>
      <c r="L379" t="n">
        <v>0</v>
      </c>
      <c r="M379" t="n">
        <v>0</v>
      </c>
      <c r="N379" t="n">
        <v>0</v>
      </c>
      <c r="O379" t="n">
        <v>0</v>
      </c>
      <c r="P379" t="n">
        <v>0</v>
      </c>
      <c r="Q379" t="n">
        <v>0</v>
      </c>
      <c r="R379" t="n">
        <v>0</v>
      </c>
      <c r="S379" t="n">
        <v>0</v>
      </c>
      <c r="T379" t="n">
        <v>0</v>
      </c>
      <c r="U379" s="2" t="inlineStr"/>
    </row>
    <row r="380" ht="15" customHeight="1">
      <c r="A380" t="inlineStr">
        <is>
          <t>A 53700-2025</t>
        </is>
      </c>
      <c r="B380" t="inlineStr">
        <is>
          <t>avverkningsanmälan</t>
        </is>
      </c>
      <c r="C380" t="inlineStr">
        <is>
          <t>Föryngringsavverkning</t>
        </is>
      </c>
      <c r="D380" s="1" t="n">
        <v>45960</v>
      </c>
      <c r="E380" s="1" t="n">
        <v>46221</v>
      </c>
      <c r="F380" t="inlineStr">
        <is>
          <t>NORRBOTTENS LÄN</t>
        </is>
      </c>
      <c r="G380" t="inlineStr">
        <is>
          <t>PITEÅ</t>
        </is>
      </c>
      <c r="I380" t="n">
        <v>5.6</v>
      </c>
      <c r="J380" t="n">
        <v>0</v>
      </c>
      <c r="K380" t="n">
        <v>0</v>
      </c>
      <c r="L380" t="n">
        <v>0</v>
      </c>
      <c r="M380" t="n">
        <v>0</v>
      </c>
      <c r="N380" t="n">
        <v>0</v>
      </c>
      <c r="O380" t="n">
        <v>0</v>
      </c>
      <c r="P380" t="n">
        <v>0</v>
      </c>
      <c r="Q380" t="n">
        <v>0</v>
      </c>
      <c r="R380" t="n">
        <v>0</v>
      </c>
      <c r="S380" t="n">
        <v>0</v>
      </c>
      <c r="T380" t="n">
        <v>0</v>
      </c>
      <c r="U380" s="2" t="inlineStr"/>
    </row>
    <row r="381" ht="15" customHeight="1">
      <c r="A381" t="inlineStr">
        <is>
          <t>A 27923-2023</t>
        </is>
      </c>
      <c r="B381" t="inlineStr">
        <is>
          <t>avverkningsanmälan</t>
        </is>
      </c>
      <c r="C381" t="inlineStr">
        <is>
          <t>Föryngringsavverkning</t>
        </is>
      </c>
      <c r="D381" s="1" t="n">
        <v>45098</v>
      </c>
      <c r="E381" s="1" t="n">
        <v>46221</v>
      </c>
      <c r="F381" t="inlineStr">
        <is>
          <t>NORRBOTTENS LÄN</t>
        </is>
      </c>
      <c r="G381" t="inlineStr">
        <is>
          <t>PITEÅ</t>
        </is>
      </c>
      <c r="H381" t="inlineStr">
        <is>
          <t>Övriga Aktiebolag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56319-2022</t>
        </is>
      </c>
      <c r="B382" t="inlineStr">
        <is>
          <t>avverkningsanmälan</t>
        </is>
      </c>
      <c r="C382" t="inlineStr">
        <is>
          <t>Föryngringsavverkning</t>
        </is>
      </c>
      <c r="D382" s="1" t="n">
        <v>44890</v>
      </c>
      <c r="E382" s="1" t="n">
        <v>46221</v>
      </c>
      <c r="F382" t="inlineStr">
        <is>
          <t>NORRBOTTENS LÄN</t>
        </is>
      </c>
      <c r="G382" t="inlineStr">
        <is>
          <t>PITEÅ</t>
        </is>
      </c>
      <c r="H382" t="inlineStr">
        <is>
          <t>Övriga Aktiebolag</t>
        </is>
      </c>
      <c r="I382" t="n">
        <v>5.3</v>
      </c>
      <c r="J382" t="n">
        <v>0</v>
      </c>
      <c r="K382" t="n">
        <v>0</v>
      </c>
      <c r="L382" t="n">
        <v>0</v>
      </c>
      <c r="M382" t="n">
        <v>0</v>
      </c>
      <c r="N382" t="n">
        <v>0</v>
      </c>
      <c r="O382" t="n">
        <v>0</v>
      </c>
      <c r="P382" t="n">
        <v>0</v>
      </c>
      <c r="Q382" t="n">
        <v>0</v>
      </c>
      <c r="R382" t="n">
        <v>0</v>
      </c>
      <c r="S382" t="n">
        <v>0</v>
      </c>
      <c r="T382" t="n">
        <v>0</v>
      </c>
      <c r="U382" s="2" t="inlineStr"/>
    </row>
    <row r="383" ht="15" customHeight="1">
      <c r="A383" t="inlineStr">
        <is>
          <t>A 53578-2025</t>
        </is>
      </c>
      <c r="B383" t="inlineStr">
        <is>
          <t>avverkningsanmälan</t>
        </is>
      </c>
      <c r="C383" t="inlineStr">
        <is>
          <t>Föryngringsavverkning</t>
        </is>
      </c>
      <c r="D383" s="1" t="n">
        <v>45960</v>
      </c>
      <c r="E383" s="1" t="n">
        <v>46221</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53464-2025</t>
        </is>
      </c>
      <c r="B384" t="inlineStr">
        <is>
          <t>avverkningsanmälan</t>
        </is>
      </c>
      <c r="C384" t="inlineStr">
        <is>
          <t>Föryngringsavverkning</t>
        </is>
      </c>
      <c r="D384" s="1" t="n">
        <v>45959</v>
      </c>
      <c r="E384" s="1" t="n">
        <v>46221</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54104-2025</t>
        </is>
      </c>
      <c r="B385" t="inlineStr">
        <is>
          <t>avverkningsanmälan</t>
        </is>
      </c>
      <c r="C385" t="inlineStr">
        <is>
          <t>Föryngringsavverkning</t>
        </is>
      </c>
      <c r="D385" s="1" t="n">
        <v>45964</v>
      </c>
      <c r="E385" s="1" t="n">
        <v>46221</v>
      </c>
      <c r="F385" t="inlineStr">
        <is>
          <t>NORRBOTTENS LÄN</t>
        </is>
      </c>
      <c r="G385" t="inlineStr">
        <is>
          <t>PITEÅ</t>
        </is>
      </c>
      <c r="I385" t="n">
        <v>5</v>
      </c>
      <c r="J385" t="n">
        <v>0</v>
      </c>
      <c r="K385" t="n">
        <v>0</v>
      </c>
      <c r="L385" t="n">
        <v>0</v>
      </c>
      <c r="M385" t="n">
        <v>0</v>
      </c>
      <c r="N385" t="n">
        <v>0</v>
      </c>
      <c r="O385" t="n">
        <v>0</v>
      </c>
      <c r="P385" t="n">
        <v>0</v>
      </c>
      <c r="Q385" t="n">
        <v>0</v>
      </c>
      <c r="R385" t="n">
        <v>0</v>
      </c>
      <c r="S385" t="n">
        <v>0</v>
      </c>
      <c r="T385" t="n">
        <v>0</v>
      </c>
      <c r="U385" s="2" t="inlineStr"/>
    </row>
    <row r="386" ht="15" customHeight="1">
      <c r="A386" t="inlineStr">
        <is>
          <t>A 44199-2023</t>
        </is>
      </c>
      <c r="B386" t="inlineStr">
        <is>
          <t>avverkningsanmälan</t>
        </is>
      </c>
      <c r="C386" t="inlineStr">
        <is>
          <t>Avverkning för annat ändamål</t>
        </is>
      </c>
      <c r="D386" s="1" t="n">
        <v>45188</v>
      </c>
      <c r="E386" s="1" t="n">
        <v>46221</v>
      </c>
      <c r="F386" t="inlineStr">
        <is>
          <t>NORRBOTTENS LÄN</t>
        </is>
      </c>
      <c r="G386" t="inlineStr">
        <is>
          <t>PITEÅ</t>
        </is>
      </c>
      <c r="H386" t="inlineStr">
        <is>
          <t>Sveaskog</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2888-2025</t>
        </is>
      </c>
      <c r="B387" t="inlineStr">
        <is>
          <t>avverkningsanmälan</t>
        </is>
      </c>
      <c r="C387" t="inlineStr">
        <is>
          <t>Föryngringsavverkning</t>
        </is>
      </c>
      <c r="D387" s="1" t="n">
        <v>45677</v>
      </c>
      <c r="E387" s="1" t="n">
        <v>46221</v>
      </c>
      <c r="F387" t="inlineStr">
        <is>
          <t>NORRBOTTENS LÄN</t>
        </is>
      </c>
      <c r="G387" t="inlineStr">
        <is>
          <t>PITEÅ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4329-2025</t>
        </is>
      </c>
      <c r="B388" t="inlineStr">
        <is>
          <t>avverkningsanmälan</t>
        </is>
      </c>
      <c r="C388" t="inlineStr">
        <is>
          <t>Föryngringsavverkning</t>
        </is>
      </c>
      <c r="D388" s="1" t="n">
        <v>45685</v>
      </c>
      <c r="E388" s="1" t="n">
        <v>46221</v>
      </c>
      <c r="F388" t="inlineStr">
        <is>
          <t>NORRBOTTENS LÄN</t>
        </is>
      </c>
      <c r="G388" t="inlineStr">
        <is>
          <t>PITEÅ</t>
        </is>
      </c>
      <c r="I388" t="n">
        <v>10.8</v>
      </c>
      <c r="J388" t="n">
        <v>0</v>
      </c>
      <c r="K388" t="n">
        <v>0</v>
      </c>
      <c r="L388" t="n">
        <v>0</v>
      </c>
      <c r="M388" t="n">
        <v>0</v>
      </c>
      <c r="N388" t="n">
        <v>0</v>
      </c>
      <c r="O388" t="n">
        <v>0</v>
      </c>
      <c r="P388" t="n">
        <v>0</v>
      </c>
      <c r="Q388" t="n">
        <v>0</v>
      </c>
      <c r="R388" t="n">
        <v>0</v>
      </c>
      <c r="S388" t="n">
        <v>0</v>
      </c>
      <c r="T388" t="n">
        <v>0</v>
      </c>
      <c r="U388" s="2" t="inlineStr"/>
    </row>
    <row r="389" ht="15" customHeight="1">
      <c r="A389" t="inlineStr">
        <is>
          <t>A 28707-2024</t>
        </is>
      </c>
      <c r="B389" t="inlineStr">
        <is>
          <t>avverkningsanmälan</t>
        </is>
      </c>
      <c r="C389" t="inlineStr">
        <is>
          <t>Föryngringsavverkning</t>
        </is>
      </c>
      <c r="D389" s="1" t="n">
        <v>45478</v>
      </c>
      <c r="E389" s="1" t="n">
        <v>46221</v>
      </c>
      <c r="F389" t="inlineStr">
        <is>
          <t>NORRBOTTENS LÄN</t>
        </is>
      </c>
      <c r="G389" t="inlineStr">
        <is>
          <t>PITEÅ</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55260-2025</t>
        </is>
      </c>
      <c r="B390" t="inlineStr">
        <is>
          <t>avverkningsanmälan</t>
        </is>
      </c>
      <c r="C390" t="inlineStr">
        <is>
          <t>Föryngringsavverkning</t>
        </is>
      </c>
      <c r="D390" s="1" t="n">
        <v>45968</v>
      </c>
      <c r="E390" s="1" t="n">
        <v>46221</v>
      </c>
      <c r="F390" t="inlineStr">
        <is>
          <t>NORRBOTTENS LÄN</t>
        </is>
      </c>
      <c r="G390" t="inlineStr">
        <is>
          <t>PITEÅ</t>
        </is>
      </c>
      <c r="H390" t="inlineStr">
        <is>
          <t>Sveaskog</t>
        </is>
      </c>
      <c r="I390" t="n">
        <v>3.7</v>
      </c>
      <c r="J390" t="n">
        <v>0</v>
      </c>
      <c r="K390" t="n">
        <v>0</v>
      </c>
      <c r="L390" t="n">
        <v>0</v>
      </c>
      <c r="M390" t="n">
        <v>0</v>
      </c>
      <c r="N390" t="n">
        <v>0</v>
      </c>
      <c r="O390" t="n">
        <v>0</v>
      </c>
      <c r="P390" t="n">
        <v>0</v>
      </c>
      <c r="Q390" t="n">
        <v>0</v>
      </c>
      <c r="R390" t="n">
        <v>0</v>
      </c>
      <c r="S390" t="n">
        <v>0</v>
      </c>
      <c r="T390" t="n">
        <v>0</v>
      </c>
      <c r="U390" s="2" t="inlineStr"/>
    </row>
    <row r="391" ht="15" customHeight="1">
      <c r="A391" t="inlineStr">
        <is>
          <t>A 55377-2025</t>
        </is>
      </c>
      <c r="B391" t="inlineStr">
        <is>
          <t>avverkningsanmälan</t>
        </is>
      </c>
      <c r="C391" t="inlineStr">
        <is>
          <t>Föryngringsavverkning</t>
        </is>
      </c>
      <c r="D391" s="1" t="n">
        <v>45971</v>
      </c>
      <c r="E391" s="1" t="n">
        <v>46221</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55473-2025</t>
        </is>
      </c>
      <c r="B392" t="inlineStr">
        <is>
          <t>avverkningsanmälan</t>
        </is>
      </c>
      <c r="C392" t="inlineStr">
        <is>
          <t>Föryngringsavverkning</t>
        </is>
      </c>
      <c r="D392" s="1" t="n">
        <v>45971</v>
      </c>
      <c r="E392" s="1" t="n">
        <v>46221</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s="2" t="inlineStr"/>
    </row>
    <row r="393" ht="15" customHeight="1">
      <c r="A393" t="inlineStr">
        <is>
          <t>A 55500-2025</t>
        </is>
      </c>
      <c r="B393" t="inlineStr">
        <is>
          <t>avverkningsanmälan</t>
        </is>
      </c>
      <c r="C393" t="inlineStr">
        <is>
          <t>Föryngringsavverkning</t>
        </is>
      </c>
      <c r="D393" s="1" t="n">
        <v>45971</v>
      </c>
      <c r="E393" s="1" t="n">
        <v>46221</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56233-2025</t>
        </is>
      </c>
      <c r="B394" t="inlineStr">
        <is>
          <t>avverkningsanmälan</t>
        </is>
      </c>
      <c r="C394" t="inlineStr">
        <is>
          <t>Föryngringsavverkning</t>
        </is>
      </c>
      <c r="D394" s="1" t="n">
        <v>45974</v>
      </c>
      <c r="E394" s="1" t="n">
        <v>46221</v>
      </c>
      <c r="F394" t="inlineStr">
        <is>
          <t>NORRBOTTENS LÄN</t>
        </is>
      </c>
      <c r="G394" t="inlineStr">
        <is>
          <t>PITEÅ</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56136-2025</t>
        </is>
      </c>
      <c r="B395" t="inlineStr">
        <is>
          <t>avverkningsanmälan</t>
        </is>
      </c>
      <c r="C395" t="inlineStr">
        <is>
          <t>Föryngringsavverkning</t>
        </is>
      </c>
      <c r="D395" s="1" t="n">
        <v>45974</v>
      </c>
      <c r="E395" s="1" t="n">
        <v>46221</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57180-2022</t>
        </is>
      </c>
      <c r="B396" t="inlineStr">
        <is>
          <t>avverkningsanmälan</t>
        </is>
      </c>
      <c r="C396" t="inlineStr">
        <is>
          <t>Föryngringsavverkning</t>
        </is>
      </c>
      <c r="D396" s="1" t="n">
        <v>44895</v>
      </c>
      <c r="E396" s="1" t="n">
        <v>46221</v>
      </c>
      <c r="F396" t="inlineStr">
        <is>
          <t>NORRBOTTENS LÄN</t>
        </is>
      </c>
      <c r="G396" t="inlineStr">
        <is>
          <t>PITEÅ</t>
        </is>
      </c>
      <c r="H396" t="inlineStr">
        <is>
          <t>Sveaskog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1501-2025</t>
        </is>
      </c>
      <c r="B397" t="inlineStr">
        <is>
          <t>avverkningsanmälan</t>
        </is>
      </c>
      <c r="C397" t="inlineStr">
        <is>
          <t>Avverkning för annat ändamål</t>
        </is>
      </c>
      <c r="D397" s="1" t="n">
        <v>45670</v>
      </c>
      <c r="E397" s="1" t="n">
        <v>46221</v>
      </c>
      <c r="F397" t="inlineStr">
        <is>
          <t>NORRBOTTENS LÄN</t>
        </is>
      </c>
      <c r="G397" t="inlineStr">
        <is>
          <t>PITEÅ</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57162-2025</t>
        </is>
      </c>
      <c r="B398" t="inlineStr">
        <is>
          <t>avverkningsanmälan</t>
        </is>
      </c>
      <c r="C398" t="inlineStr">
        <is>
          <t>Föryngringsavverkning</t>
        </is>
      </c>
      <c r="D398" s="1" t="n">
        <v>45978</v>
      </c>
      <c r="E398" s="1" t="n">
        <v>46221</v>
      </c>
      <c r="F398" t="inlineStr">
        <is>
          <t>NORRBOTTENS LÄN</t>
        </is>
      </c>
      <c r="G398" t="inlineStr">
        <is>
          <t>PITEÅ</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11246-2026</t>
        </is>
      </c>
      <c r="B399" t="inlineStr">
        <is>
          <t>avverkningsanmälan</t>
        </is>
      </c>
      <c r="C399" t="inlineStr">
        <is>
          <t>Föryngringsavverkning</t>
        </is>
      </c>
      <c r="D399" s="1" t="n">
        <v>46080</v>
      </c>
      <c r="E399" s="1" t="n">
        <v>46221</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34724-2024</t>
        </is>
      </c>
      <c r="B400" t="inlineStr">
        <is>
          <t>avverkningsanmälan</t>
        </is>
      </c>
      <c r="C400" t="inlineStr">
        <is>
          <t>Föryngringsavverkning</t>
        </is>
      </c>
      <c r="D400" s="1" t="n">
        <v>45526</v>
      </c>
      <c r="E400" s="1" t="n">
        <v>46221</v>
      </c>
      <c r="F400" t="inlineStr">
        <is>
          <t>NORRBOTTENS LÄN</t>
        </is>
      </c>
      <c r="G400" t="inlineStr">
        <is>
          <t>PITEÅ</t>
        </is>
      </c>
      <c r="H400" t="inlineStr">
        <is>
          <t>SCA</t>
        </is>
      </c>
      <c r="I400" t="n">
        <v>7.7</v>
      </c>
      <c r="J400" t="n">
        <v>0</v>
      </c>
      <c r="K400" t="n">
        <v>0</v>
      </c>
      <c r="L400" t="n">
        <v>0</v>
      </c>
      <c r="M400" t="n">
        <v>0</v>
      </c>
      <c r="N400" t="n">
        <v>0</v>
      </c>
      <c r="O400" t="n">
        <v>0</v>
      </c>
      <c r="P400" t="n">
        <v>0</v>
      </c>
      <c r="Q400" t="n">
        <v>0</v>
      </c>
      <c r="R400" t="n">
        <v>0</v>
      </c>
      <c r="S400" t="n">
        <v>0</v>
      </c>
      <c r="T400" t="n">
        <v>0</v>
      </c>
      <c r="U400" s="2" t="inlineStr"/>
    </row>
    <row r="401" ht="15" customHeight="1">
      <c r="A401" t="inlineStr">
        <is>
          <t>A 56828-2025</t>
        </is>
      </c>
      <c r="B401" t="inlineStr">
        <is>
          <t>avverkningsanmälan</t>
        </is>
      </c>
      <c r="C401" t="inlineStr">
        <is>
          <t>Föryngringsavverkning</t>
        </is>
      </c>
      <c r="D401" s="1" t="n">
        <v>45978</v>
      </c>
      <c r="E401" s="1" t="n">
        <v>46221</v>
      </c>
      <c r="F401" t="inlineStr">
        <is>
          <t>NORRBOTTENS LÄN</t>
        </is>
      </c>
      <c r="G401" t="inlineStr">
        <is>
          <t>PITEÅ</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56619-2025</t>
        </is>
      </c>
      <c r="B402" t="inlineStr">
        <is>
          <t>avverkningsanmälan</t>
        </is>
      </c>
      <c r="C402" t="inlineStr">
        <is>
          <t>Föryngringsavverkning</t>
        </is>
      </c>
      <c r="D402" s="1" t="n">
        <v>45975</v>
      </c>
      <c r="E402" s="1" t="n">
        <v>46221</v>
      </c>
      <c r="F402" t="inlineStr">
        <is>
          <t>NORRBOTTENS LÄN</t>
        </is>
      </c>
      <c r="G402" t="inlineStr">
        <is>
          <t>PITEÅ</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56638-2025</t>
        </is>
      </c>
      <c r="B403" t="inlineStr">
        <is>
          <t>avverkningsanmälan</t>
        </is>
      </c>
      <c r="C403" t="inlineStr">
        <is>
          <t>Föryngringsavverkning</t>
        </is>
      </c>
      <c r="D403" s="1" t="n">
        <v>45975</v>
      </c>
      <c r="E403" s="1" t="n">
        <v>46221</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55928-2023</t>
        </is>
      </c>
      <c r="B404" t="inlineStr">
        <is>
          <t>avverkningsanmälan</t>
        </is>
      </c>
      <c r="C404" t="inlineStr">
        <is>
          <t>Avverkning för annat ändamål</t>
        </is>
      </c>
      <c r="D404" s="1" t="n">
        <v>45239</v>
      </c>
      <c r="E404" s="1" t="n">
        <v>46221</v>
      </c>
      <c r="F404" t="inlineStr">
        <is>
          <t>NORRBOTTENS LÄN</t>
        </is>
      </c>
      <c r="G404" t="inlineStr">
        <is>
          <t>PITEÅ</t>
        </is>
      </c>
      <c r="H404" t="inlineStr">
        <is>
          <t>SCA</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A 57524-2025</t>
        </is>
      </c>
      <c r="B405" t="inlineStr">
        <is>
          <t>avverkningsanmälan</t>
        </is>
      </c>
      <c r="C405" t="inlineStr">
        <is>
          <t>Föryngringsavverkning</t>
        </is>
      </c>
      <c r="D405" s="1" t="n">
        <v>45980</v>
      </c>
      <c r="E405" s="1" t="n">
        <v>46221</v>
      </c>
      <c r="F405" t="inlineStr">
        <is>
          <t>NORRBOTTENS LÄN</t>
        </is>
      </c>
      <c r="G405" t="inlineStr">
        <is>
          <t>PITEÅ</t>
        </is>
      </c>
      <c r="H405" t="inlineStr">
        <is>
          <t>Sveaskog</t>
        </is>
      </c>
      <c r="I405" t="n">
        <v>13.2</v>
      </c>
      <c r="J405" t="n">
        <v>0</v>
      </c>
      <c r="K405" t="n">
        <v>0</v>
      </c>
      <c r="L405" t="n">
        <v>0</v>
      </c>
      <c r="M405" t="n">
        <v>0</v>
      </c>
      <c r="N405" t="n">
        <v>0</v>
      </c>
      <c r="O405" t="n">
        <v>0</v>
      </c>
      <c r="P405" t="n">
        <v>0</v>
      </c>
      <c r="Q405" t="n">
        <v>0</v>
      </c>
      <c r="R405" t="n">
        <v>0</v>
      </c>
      <c r="S405" t="n">
        <v>0</v>
      </c>
      <c r="T405" t="n">
        <v>0</v>
      </c>
      <c r="U405" s="2" t="inlineStr"/>
    </row>
    <row r="406" ht="15" customHeight="1">
      <c r="A406" t="inlineStr">
        <is>
          <t>A 11379-2026</t>
        </is>
      </c>
      <c r="B406" t="inlineStr">
        <is>
          <t>avverkningsanmälan</t>
        </is>
      </c>
      <c r="C406" t="inlineStr">
        <is>
          <t>Föryngringsavverkning</t>
        </is>
      </c>
      <c r="D406" s="1" t="n">
        <v>46083</v>
      </c>
      <c r="E406" s="1" t="n">
        <v>46221</v>
      </c>
      <c r="F406" t="inlineStr">
        <is>
          <t>NORRBOTTENS LÄN</t>
        </is>
      </c>
      <c r="G406" t="inlineStr">
        <is>
          <t>PITEÅ</t>
        </is>
      </c>
      <c r="I406" t="n">
        <v>9.199999999999999</v>
      </c>
      <c r="J406" t="n">
        <v>0</v>
      </c>
      <c r="K406" t="n">
        <v>0</v>
      </c>
      <c r="L406" t="n">
        <v>0</v>
      </c>
      <c r="M406" t="n">
        <v>0</v>
      </c>
      <c r="N406" t="n">
        <v>0</v>
      </c>
      <c r="O406" t="n">
        <v>0</v>
      </c>
      <c r="P406" t="n">
        <v>0</v>
      </c>
      <c r="Q406" t="n">
        <v>0</v>
      </c>
      <c r="R406" t="n">
        <v>0</v>
      </c>
      <c r="S406" t="n">
        <v>0</v>
      </c>
      <c r="T406" t="n">
        <v>0</v>
      </c>
      <c r="U406" s="2" t="inlineStr"/>
    </row>
    <row r="407" ht="15" customHeight="1">
      <c r="A407" t="inlineStr">
        <is>
          <t>A 4924-2025</t>
        </is>
      </c>
      <c r="B407" t="inlineStr">
        <is>
          <t>avverkningsanmälan</t>
        </is>
      </c>
      <c r="C407" t="inlineStr">
        <is>
          <t>Föryngringsavverkning</t>
        </is>
      </c>
      <c r="D407" s="1" t="n">
        <v>45688</v>
      </c>
      <c r="E407" s="1" t="n">
        <v>46221</v>
      </c>
      <c r="F407" t="inlineStr">
        <is>
          <t>NORRBOTTENS LÄN</t>
        </is>
      </c>
      <c r="G407" t="inlineStr">
        <is>
          <t>PITEÅ</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57732-2025</t>
        </is>
      </c>
      <c r="B408" t="inlineStr">
        <is>
          <t>avverkningsanmälan</t>
        </is>
      </c>
      <c r="C408" t="inlineStr">
        <is>
          <t>Föryngringsavverkning</t>
        </is>
      </c>
      <c r="D408" s="1" t="n">
        <v>45981</v>
      </c>
      <c r="E408" s="1" t="n">
        <v>46221</v>
      </c>
      <c r="F408" t="inlineStr">
        <is>
          <t>NORRBOTTENS LÄN</t>
        </is>
      </c>
      <c r="G408" t="inlineStr">
        <is>
          <t>PITEÅ</t>
        </is>
      </c>
      <c r="I408" t="n">
        <v>8.4</v>
      </c>
      <c r="J408" t="n">
        <v>0</v>
      </c>
      <c r="K408" t="n">
        <v>0</v>
      </c>
      <c r="L408" t="n">
        <v>0</v>
      </c>
      <c r="M408" t="n">
        <v>0</v>
      </c>
      <c r="N408" t="n">
        <v>0</v>
      </c>
      <c r="O408" t="n">
        <v>0</v>
      </c>
      <c r="P408" t="n">
        <v>0</v>
      </c>
      <c r="Q408" t="n">
        <v>0</v>
      </c>
      <c r="R408" t="n">
        <v>0</v>
      </c>
      <c r="S408" t="n">
        <v>0</v>
      </c>
      <c r="T408" t="n">
        <v>0</v>
      </c>
      <c r="U408" s="2" t="inlineStr"/>
    </row>
    <row r="409" ht="15" customHeight="1">
      <c r="A409" t="inlineStr">
        <is>
          <t>A 57733-2025</t>
        </is>
      </c>
      <c r="B409" t="inlineStr">
        <is>
          <t>avverkningsanmälan</t>
        </is>
      </c>
      <c r="C409" t="inlineStr">
        <is>
          <t>Föryngringsavverkning</t>
        </is>
      </c>
      <c r="D409" s="1" t="n">
        <v>45981</v>
      </c>
      <c r="E409" s="1" t="n">
        <v>46221</v>
      </c>
      <c r="F409" t="inlineStr">
        <is>
          <t>NORRBOTTENS LÄN</t>
        </is>
      </c>
      <c r="G409" t="inlineStr">
        <is>
          <t>PITEÅ</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61662-2023</t>
        </is>
      </c>
      <c r="B410" t="inlineStr">
        <is>
          <t>avverkningsanmälan</t>
        </is>
      </c>
      <c r="C410" t="inlineStr">
        <is>
          <t>Föryngringsavverkning</t>
        </is>
      </c>
      <c r="D410" s="1" t="n">
        <v>45265</v>
      </c>
      <c r="E410" s="1" t="n">
        <v>46221</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57994-2025</t>
        </is>
      </c>
      <c r="B411" t="inlineStr">
        <is>
          <t>avverkningsanmälan</t>
        </is>
      </c>
      <c r="C411" t="inlineStr">
        <is>
          <t>Föryngringsavverkning</t>
        </is>
      </c>
      <c r="D411" s="1" t="n">
        <v>45982</v>
      </c>
      <c r="E411" s="1" t="n">
        <v>46221</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58078-2025</t>
        </is>
      </c>
      <c r="B412" t="inlineStr">
        <is>
          <t>avverkningsanmälan</t>
        </is>
      </c>
      <c r="C412" t="inlineStr">
        <is>
          <t>Avverkning för annat ändamål</t>
        </is>
      </c>
      <c r="D412" s="1" t="n">
        <v>45982</v>
      </c>
      <c r="E412" s="1" t="n">
        <v>46221</v>
      </c>
      <c r="F412" t="inlineStr">
        <is>
          <t>NORRBOTTENS LÄN</t>
        </is>
      </c>
      <c r="G412" t="inlineStr">
        <is>
          <t>PITEÅ</t>
        </is>
      </c>
      <c r="H412" t="inlineStr">
        <is>
          <t>Sveaskog</t>
        </is>
      </c>
      <c r="I412" t="n">
        <v>6.8</v>
      </c>
      <c r="J412" t="n">
        <v>0</v>
      </c>
      <c r="K412" t="n">
        <v>0</v>
      </c>
      <c r="L412" t="n">
        <v>0</v>
      </c>
      <c r="M412" t="n">
        <v>0</v>
      </c>
      <c r="N412" t="n">
        <v>0</v>
      </c>
      <c r="O412" t="n">
        <v>0</v>
      </c>
      <c r="P412" t="n">
        <v>0</v>
      </c>
      <c r="Q412" t="n">
        <v>0</v>
      </c>
      <c r="R412" t="n">
        <v>0</v>
      </c>
      <c r="S412" t="n">
        <v>0</v>
      </c>
      <c r="T412" t="n">
        <v>0</v>
      </c>
      <c r="U412" s="2" t="inlineStr"/>
    </row>
    <row r="413" ht="15" customHeight="1">
      <c r="A413" t="inlineStr">
        <is>
          <t>A 57747-2025</t>
        </is>
      </c>
      <c r="B413" t="inlineStr">
        <is>
          <t>avverkningsanmälan</t>
        </is>
      </c>
      <c r="C413" t="inlineStr">
        <is>
          <t>Föryngringsavverkning</t>
        </is>
      </c>
      <c r="D413" s="1" t="n">
        <v>45981</v>
      </c>
      <c r="E413" s="1" t="n">
        <v>46221</v>
      </c>
      <c r="F413" t="inlineStr">
        <is>
          <t>NORRBOTTENS LÄN</t>
        </is>
      </c>
      <c r="G413" t="inlineStr">
        <is>
          <t>PITEÅ</t>
        </is>
      </c>
      <c r="I413" t="n">
        <v>5.5</v>
      </c>
      <c r="J413" t="n">
        <v>0</v>
      </c>
      <c r="K413" t="n">
        <v>0</v>
      </c>
      <c r="L413" t="n">
        <v>0</v>
      </c>
      <c r="M413" t="n">
        <v>0</v>
      </c>
      <c r="N413" t="n">
        <v>0</v>
      </c>
      <c r="O413" t="n">
        <v>0</v>
      </c>
      <c r="P413" t="n">
        <v>0</v>
      </c>
      <c r="Q413" t="n">
        <v>0</v>
      </c>
      <c r="R413" t="n">
        <v>0</v>
      </c>
      <c r="S413" t="n">
        <v>0</v>
      </c>
      <c r="T413" t="n">
        <v>0</v>
      </c>
      <c r="U413" s="2" t="inlineStr"/>
    </row>
    <row r="414" ht="15" customHeight="1">
      <c r="A414" t="inlineStr">
        <is>
          <t>A 57746-2025</t>
        </is>
      </c>
      <c r="B414" t="inlineStr">
        <is>
          <t>avverkningsanmälan</t>
        </is>
      </c>
      <c r="C414" t="inlineStr">
        <is>
          <t>Föryngringsavverkning</t>
        </is>
      </c>
      <c r="D414" s="1" t="n">
        <v>45981</v>
      </c>
      <c r="E414" s="1" t="n">
        <v>46221</v>
      </c>
      <c r="F414" t="inlineStr">
        <is>
          <t>NORRBOTTENS LÄN</t>
        </is>
      </c>
      <c r="G414" t="inlineStr">
        <is>
          <t>PITEÅ</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58219-2025</t>
        </is>
      </c>
      <c r="B415" t="inlineStr">
        <is>
          <t>avverkningsanmälan</t>
        </is>
      </c>
      <c r="C415" t="inlineStr">
        <is>
          <t>Föryngringsavverkning</t>
        </is>
      </c>
      <c r="D415" s="1" t="n">
        <v>45985</v>
      </c>
      <c r="E415" s="1" t="n">
        <v>46221</v>
      </c>
      <c r="F415" t="inlineStr">
        <is>
          <t>NORRBOTTENS LÄN</t>
        </is>
      </c>
      <c r="G415" t="inlineStr">
        <is>
          <t>PITEÅ</t>
        </is>
      </c>
      <c r="H415" t="inlineStr">
        <is>
          <t>Övriga Aktiebolag</t>
        </is>
      </c>
      <c r="I415" t="n">
        <v>12.9</v>
      </c>
      <c r="J415" t="n">
        <v>0</v>
      </c>
      <c r="K415" t="n">
        <v>0</v>
      </c>
      <c r="L415" t="n">
        <v>0</v>
      </c>
      <c r="M415" t="n">
        <v>0</v>
      </c>
      <c r="N415" t="n">
        <v>0</v>
      </c>
      <c r="O415" t="n">
        <v>0</v>
      </c>
      <c r="P415" t="n">
        <v>0</v>
      </c>
      <c r="Q415" t="n">
        <v>0</v>
      </c>
      <c r="R415" t="n">
        <v>0</v>
      </c>
      <c r="S415" t="n">
        <v>0</v>
      </c>
      <c r="T415" t="n">
        <v>0</v>
      </c>
      <c r="U415" s="2" t="inlineStr"/>
    </row>
    <row r="416" ht="15" customHeight="1">
      <c r="A416" t="inlineStr">
        <is>
          <t>A 12303-2026</t>
        </is>
      </c>
      <c r="B416" t="inlineStr">
        <is>
          <t>avverkningsanmälan</t>
        </is>
      </c>
      <c r="C416" t="inlineStr">
        <is>
          <t>Föryngringsavverkning</t>
        </is>
      </c>
      <c r="D416" s="1" t="n">
        <v>46087</v>
      </c>
      <c r="E416" s="1" t="n">
        <v>46221</v>
      </c>
      <c r="F416" t="inlineStr">
        <is>
          <t>NORRBOTTENS LÄN</t>
        </is>
      </c>
      <c r="G416" t="inlineStr">
        <is>
          <t>PITEÅ</t>
        </is>
      </c>
      <c r="H416" t="inlineStr">
        <is>
          <t>Kommuner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58352-2025</t>
        </is>
      </c>
      <c r="B417" t="inlineStr">
        <is>
          <t>avverkningsanmälan</t>
        </is>
      </c>
      <c r="C417" t="inlineStr">
        <is>
          <t>Föryngringsavverkning</t>
        </is>
      </c>
      <c r="D417" s="1" t="n">
        <v>45985</v>
      </c>
      <c r="E417" s="1" t="n">
        <v>46221</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12297-2026</t>
        </is>
      </c>
      <c r="B418" t="inlineStr">
        <is>
          <t>avverkningsanmälan</t>
        </is>
      </c>
      <c r="C418" t="inlineStr">
        <is>
          <t>Föryngringsavverkning</t>
        </is>
      </c>
      <c r="D418" s="1" t="n">
        <v>46087</v>
      </c>
      <c r="E418" s="1" t="n">
        <v>46221</v>
      </c>
      <c r="F418" t="inlineStr">
        <is>
          <t>NORRBOTTENS LÄN</t>
        </is>
      </c>
      <c r="G418" t="inlineStr">
        <is>
          <t>PITEÅ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61376-2023</t>
        </is>
      </c>
      <c r="B419" t="inlineStr">
        <is>
          <t>avverkningsanmälan</t>
        </is>
      </c>
      <c r="C419" t="inlineStr">
        <is>
          <t>Föryngringsavverkning</t>
        </is>
      </c>
      <c r="D419" s="1" t="n">
        <v>45264</v>
      </c>
      <c r="E419" s="1" t="n">
        <v>46221</v>
      </c>
      <c r="F419" t="inlineStr">
        <is>
          <t>NORRBOTTENS LÄN</t>
        </is>
      </c>
      <c r="G419" t="inlineStr">
        <is>
          <t>PITEÅ</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58580-2025</t>
        </is>
      </c>
      <c r="B420" t="inlineStr">
        <is>
          <t>avverkningsanmälan</t>
        </is>
      </c>
      <c r="C420" t="inlineStr">
        <is>
          <t>Föryngringsavverkning</t>
        </is>
      </c>
      <c r="D420" s="1" t="n">
        <v>45986</v>
      </c>
      <c r="E420" s="1" t="n">
        <v>46221</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34019-2024</t>
        </is>
      </c>
      <c r="B421" t="inlineStr">
        <is>
          <t>avverkningsanmälan</t>
        </is>
      </c>
      <c r="C421" t="inlineStr">
        <is>
          <t>Föryngringsavverkning</t>
        </is>
      </c>
      <c r="D421" s="1" t="n">
        <v>45523</v>
      </c>
      <c r="E421" s="1" t="n">
        <v>46221</v>
      </c>
      <c r="F421" t="inlineStr">
        <is>
          <t>NORRBOTTENS LÄN</t>
        </is>
      </c>
      <c r="G421" t="inlineStr">
        <is>
          <t>PITEÅ</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58701-2025</t>
        </is>
      </c>
      <c r="B422" t="inlineStr">
        <is>
          <t>avverkningsanmälan</t>
        </is>
      </c>
      <c r="C422" t="inlineStr">
        <is>
          <t>Föryngringsavverkning</t>
        </is>
      </c>
      <c r="D422" s="1" t="n">
        <v>45986</v>
      </c>
      <c r="E422" s="1" t="n">
        <v>46221</v>
      </c>
      <c r="F422" t="inlineStr">
        <is>
          <t>NORRBOTTENS LÄN</t>
        </is>
      </c>
      <c r="G422" t="inlineStr">
        <is>
          <t>PITEÅ</t>
        </is>
      </c>
      <c r="H422" t="inlineStr">
        <is>
          <t>Sveaskog</t>
        </is>
      </c>
      <c r="I422" t="n">
        <v>8.6</v>
      </c>
      <c r="J422" t="n">
        <v>0</v>
      </c>
      <c r="K422" t="n">
        <v>0</v>
      </c>
      <c r="L422" t="n">
        <v>0</v>
      </c>
      <c r="M422" t="n">
        <v>0</v>
      </c>
      <c r="N422" t="n">
        <v>0</v>
      </c>
      <c r="O422" t="n">
        <v>0</v>
      </c>
      <c r="P422" t="n">
        <v>0</v>
      </c>
      <c r="Q422" t="n">
        <v>0</v>
      </c>
      <c r="R422" t="n">
        <v>0</v>
      </c>
      <c r="S422" t="n">
        <v>0</v>
      </c>
      <c r="T422" t="n">
        <v>0</v>
      </c>
      <c r="U422" s="2" t="inlineStr"/>
    </row>
    <row r="423" ht="15" customHeight="1">
      <c r="A423" t="inlineStr">
        <is>
          <t>A 58374-2025</t>
        </is>
      </c>
      <c r="B423" t="inlineStr">
        <is>
          <t>avverkningsanmälan</t>
        </is>
      </c>
      <c r="C423" t="inlineStr">
        <is>
          <t>Föryngringsavverkning</t>
        </is>
      </c>
      <c r="D423" s="1" t="n">
        <v>45985</v>
      </c>
      <c r="E423" s="1" t="n">
        <v>46221</v>
      </c>
      <c r="F423" t="inlineStr">
        <is>
          <t>NORRBOTTENS LÄN</t>
        </is>
      </c>
      <c r="G423" t="inlineStr">
        <is>
          <t>PITEÅ</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58375-2025</t>
        </is>
      </c>
      <c r="B424" t="inlineStr">
        <is>
          <t>avverkningsanmälan</t>
        </is>
      </c>
      <c r="C424" t="inlineStr">
        <is>
          <t>Föryngringsavverkning</t>
        </is>
      </c>
      <c r="D424" s="1" t="n">
        <v>45985</v>
      </c>
      <c r="E424" s="1" t="n">
        <v>46221</v>
      </c>
      <c r="F424" t="inlineStr">
        <is>
          <t>NORRBOTTENS LÄN</t>
        </is>
      </c>
      <c r="G424" t="inlineStr">
        <is>
          <t>PITEÅ</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42520-2023</t>
        </is>
      </c>
      <c r="B425" t="inlineStr">
        <is>
          <t>avverkningsanmälan</t>
        </is>
      </c>
      <c r="C425" t="inlineStr">
        <is>
          <t>Föryngringsavverkning</t>
        </is>
      </c>
      <c r="D425" s="1" t="n">
        <v>45180</v>
      </c>
      <c r="E425" s="1" t="n">
        <v>46221</v>
      </c>
      <c r="F425" t="inlineStr">
        <is>
          <t>NORRBOTTENS LÄN</t>
        </is>
      </c>
      <c r="G425" t="inlineStr">
        <is>
          <t>PITEÅ</t>
        </is>
      </c>
      <c r="H425" t="inlineStr">
        <is>
          <t>Naturvårdsverket</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43297-2021</t>
        </is>
      </c>
      <c r="B426" t="inlineStr">
        <is>
          <t>avverkningsanmälan</t>
        </is>
      </c>
      <c r="C426" t="inlineStr">
        <is>
          <t>Föryngringsavverkning</t>
        </is>
      </c>
      <c r="D426" s="1" t="n">
        <v>44432</v>
      </c>
      <c r="E426" s="1" t="n">
        <v>46221</v>
      </c>
      <c r="F426" t="inlineStr">
        <is>
          <t>NORRBOTTENS LÄN</t>
        </is>
      </c>
      <c r="G426" t="inlineStr">
        <is>
          <t>PITEÅ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20201-2025</t>
        </is>
      </c>
      <c r="B427" t="inlineStr">
        <is>
          <t>avverkningsanmälan</t>
        </is>
      </c>
      <c r="C427" t="inlineStr">
        <is>
          <t>Föryngringsavverkning</t>
        </is>
      </c>
      <c r="D427" s="1" t="n">
        <v>45772</v>
      </c>
      <c r="E427" s="1" t="n">
        <v>46221</v>
      </c>
      <c r="F427" t="inlineStr">
        <is>
          <t>NORRBOTTENS LÄN</t>
        </is>
      </c>
      <c r="G427" t="inlineStr">
        <is>
          <t>PITEÅ</t>
        </is>
      </c>
      <c r="I427" t="n">
        <v>3.9</v>
      </c>
      <c r="J427" t="n">
        <v>0</v>
      </c>
      <c r="K427" t="n">
        <v>0</v>
      </c>
      <c r="L427" t="n">
        <v>0</v>
      </c>
      <c r="M427" t="n">
        <v>0</v>
      </c>
      <c r="N427" t="n">
        <v>0</v>
      </c>
      <c r="O427" t="n">
        <v>0</v>
      </c>
      <c r="P427" t="n">
        <v>0</v>
      </c>
      <c r="Q427" t="n">
        <v>0</v>
      </c>
      <c r="R427" t="n">
        <v>0</v>
      </c>
      <c r="S427" t="n">
        <v>0</v>
      </c>
      <c r="T427" t="n">
        <v>0</v>
      </c>
      <c r="U427" s="2" t="inlineStr"/>
    </row>
    <row r="428" ht="15" customHeight="1">
      <c r="A428" t="inlineStr">
        <is>
          <t>A 59220-2025</t>
        </is>
      </c>
      <c r="B428" t="inlineStr">
        <is>
          <t>avverkningsanmälan</t>
        </is>
      </c>
      <c r="C428" t="inlineStr">
        <is>
          <t>Föryngringsavverkning</t>
        </is>
      </c>
      <c r="D428" s="1" t="n">
        <v>45988</v>
      </c>
      <c r="E428" s="1" t="n">
        <v>46221</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61159-2023</t>
        </is>
      </c>
      <c r="B429" t="inlineStr">
        <is>
          <t>avverkningsanmälan</t>
        </is>
      </c>
      <c r="C429" t="inlineStr">
        <is>
          <t>Föryngringsavverkning</t>
        </is>
      </c>
      <c r="D429" s="1" t="n">
        <v>45262</v>
      </c>
      <c r="E429" s="1" t="n">
        <v>46221</v>
      </c>
      <c r="F429" t="inlineStr">
        <is>
          <t>NORRBOTTENS LÄN</t>
        </is>
      </c>
      <c r="G429" t="inlineStr">
        <is>
          <t>PITEÅ</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7083-2025</t>
        </is>
      </c>
      <c r="B430" t="inlineStr">
        <is>
          <t>avverkningsanmälan</t>
        </is>
      </c>
      <c r="C430" t="inlineStr">
        <is>
          <t>Föryngringsavverkning</t>
        </is>
      </c>
      <c r="D430" s="1" t="n">
        <v>45701</v>
      </c>
      <c r="E430" s="1" t="n">
        <v>46221</v>
      </c>
      <c r="F430" t="inlineStr">
        <is>
          <t>NORRBOTTENS LÄN</t>
        </is>
      </c>
      <c r="G430" t="inlineStr">
        <is>
          <t>PITEÅ</t>
        </is>
      </c>
      <c r="I430" t="n">
        <v>10.5</v>
      </c>
      <c r="J430" t="n">
        <v>0</v>
      </c>
      <c r="K430" t="n">
        <v>0</v>
      </c>
      <c r="L430" t="n">
        <v>0</v>
      </c>
      <c r="M430" t="n">
        <v>0</v>
      </c>
      <c r="N430" t="n">
        <v>0</v>
      </c>
      <c r="O430" t="n">
        <v>0</v>
      </c>
      <c r="P430" t="n">
        <v>0</v>
      </c>
      <c r="Q430" t="n">
        <v>0</v>
      </c>
      <c r="R430" t="n">
        <v>0</v>
      </c>
      <c r="S430" t="n">
        <v>0</v>
      </c>
      <c r="T430" t="n">
        <v>0</v>
      </c>
      <c r="U430" s="2" t="inlineStr"/>
    </row>
    <row r="431" ht="15" customHeight="1">
      <c r="A431" t="inlineStr">
        <is>
          <t>A 59421-2025</t>
        </is>
      </c>
      <c r="B431" t="inlineStr">
        <is>
          <t>avverkningsanmälan</t>
        </is>
      </c>
      <c r="C431" t="inlineStr">
        <is>
          <t>Föryngringsavverkning</t>
        </is>
      </c>
      <c r="D431" s="1" t="n">
        <v>45989</v>
      </c>
      <c r="E431" s="1" t="n">
        <v>46221</v>
      </c>
      <c r="F431" t="inlineStr">
        <is>
          <t>NORRBOTTENS LÄN</t>
        </is>
      </c>
      <c r="G431" t="inlineStr">
        <is>
          <t>PITEÅ</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12949-2026</t>
        </is>
      </c>
      <c r="B432" t="inlineStr">
        <is>
          <t>avverkningsanmälan</t>
        </is>
      </c>
      <c r="C432" t="inlineStr">
        <is>
          <t>Föryngringsavverkning</t>
        </is>
      </c>
      <c r="D432" s="1" t="n">
        <v>46092</v>
      </c>
      <c r="E432" s="1" t="n">
        <v>46221</v>
      </c>
      <c r="F432" t="inlineStr">
        <is>
          <t>NORRBOTTENS LÄN</t>
        </is>
      </c>
      <c r="G432" t="inlineStr">
        <is>
          <t>PITEÅ</t>
        </is>
      </c>
      <c r="I432" t="n">
        <v>14.4</v>
      </c>
      <c r="J432" t="n">
        <v>0</v>
      </c>
      <c r="K432" t="n">
        <v>0</v>
      </c>
      <c r="L432" t="n">
        <v>0</v>
      </c>
      <c r="M432" t="n">
        <v>0</v>
      </c>
      <c r="N432" t="n">
        <v>0</v>
      </c>
      <c r="O432" t="n">
        <v>0</v>
      </c>
      <c r="P432" t="n">
        <v>0</v>
      </c>
      <c r="Q432" t="n">
        <v>0</v>
      </c>
      <c r="R432" t="n">
        <v>0</v>
      </c>
      <c r="S432" t="n">
        <v>0</v>
      </c>
      <c r="T432" t="n">
        <v>0</v>
      </c>
      <c r="U432" s="2" t="inlineStr"/>
    </row>
    <row r="433" ht="15" customHeight="1">
      <c r="A433" t="inlineStr">
        <is>
          <t>A 53331-2021</t>
        </is>
      </c>
      <c r="B433" t="inlineStr">
        <is>
          <t>avverkningsanmälan</t>
        </is>
      </c>
      <c r="C433" t="inlineStr">
        <is>
          <t>Avverkning för annat ändamål</t>
        </is>
      </c>
      <c r="D433" s="1" t="n">
        <v>44468</v>
      </c>
      <c r="E433" s="1" t="n">
        <v>46221</v>
      </c>
      <c r="F433" t="inlineStr">
        <is>
          <t>NORRBOTTENS LÄN</t>
        </is>
      </c>
      <c r="G433" t="inlineStr">
        <is>
          <t>PITEÅ</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60099-2025</t>
        </is>
      </c>
      <c r="B434" t="inlineStr">
        <is>
          <t>avverkningsanmälan</t>
        </is>
      </c>
      <c r="C434" t="inlineStr">
        <is>
          <t>Föryngringsavverkning</t>
        </is>
      </c>
      <c r="D434" s="1" t="n">
        <v>45993</v>
      </c>
      <c r="E434" s="1" t="n">
        <v>46221</v>
      </c>
      <c r="F434" t="inlineStr">
        <is>
          <t>NORRBOTTENS LÄN</t>
        </is>
      </c>
      <c r="G434" t="inlineStr">
        <is>
          <t>PITEÅ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7461-2024</t>
        </is>
      </c>
      <c r="B435" t="inlineStr">
        <is>
          <t>avverkningsanmälan</t>
        </is>
      </c>
      <c r="C435" t="inlineStr">
        <is>
          <t>Föryngringsavverkning</t>
        </is>
      </c>
      <c r="D435" s="1" t="n">
        <v>45345</v>
      </c>
      <c r="E435" s="1" t="n">
        <v>46221</v>
      </c>
      <c r="F435" t="inlineStr">
        <is>
          <t>NORRBOTTENS LÄN</t>
        </is>
      </c>
      <c r="G435" t="inlineStr">
        <is>
          <t>PITEÅ</t>
        </is>
      </c>
      <c r="I435" t="n">
        <v>14.7</v>
      </c>
      <c r="J435" t="n">
        <v>0</v>
      </c>
      <c r="K435" t="n">
        <v>0</v>
      </c>
      <c r="L435" t="n">
        <v>0</v>
      </c>
      <c r="M435" t="n">
        <v>0</v>
      </c>
      <c r="N435" t="n">
        <v>0</v>
      </c>
      <c r="O435" t="n">
        <v>0</v>
      </c>
      <c r="P435" t="n">
        <v>0</v>
      </c>
      <c r="Q435" t="n">
        <v>0</v>
      </c>
      <c r="R435" t="n">
        <v>0</v>
      </c>
      <c r="S435" t="n">
        <v>0</v>
      </c>
      <c r="T435" t="n">
        <v>0</v>
      </c>
      <c r="U435" s="2" t="inlineStr"/>
    </row>
    <row r="436" ht="15" customHeight="1">
      <c r="A436" t="inlineStr">
        <is>
          <t>A 60101-2025</t>
        </is>
      </c>
      <c r="B436" t="inlineStr">
        <is>
          <t>avverkningsanmälan</t>
        </is>
      </c>
      <c r="C436" t="inlineStr">
        <is>
          <t>Föryngringsavverkning</t>
        </is>
      </c>
      <c r="D436" s="1" t="n">
        <v>45993</v>
      </c>
      <c r="E436" s="1" t="n">
        <v>46221</v>
      </c>
      <c r="F436" t="inlineStr">
        <is>
          <t>NORRBOTTENS LÄN</t>
        </is>
      </c>
      <c r="G436" t="inlineStr">
        <is>
          <t>PITEÅ</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57892-2023</t>
        </is>
      </c>
      <c r="B437" t="inlineStr">
        <is>
          <t>avverkningsanmälan</t>
        </is>
      </c>
      <c r="C437" t="inlineStr">
        <is>
          <t>Föryngringsavverkning</t>
        </is>
      </c>
      <c r="D437" s="1" t="n">
        <v>45244</v>
      </c>
      <c r="E437" s="1" t="n">
        <v>46221</v>
      </c>
      <c r="F437" t="inlineStr">
        <is>
          <t>NORRBOTTENS LÄN</t>
        </is>
      </c>
      <c r="G437" t="inlineStr">
        <is>
          <t>PITEÅ</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14778-2025</t>
        </is>
      </c>
      <c r="B438" t="inlineStr">
        <is>
          <t>avverkningsanmälan</t>
        </is>
      </c>
      <c r="C438" t="inlineStr">
        <is>
          <t>Föryngringsavverkning</t>
        </is>
      </c>
      <c r="D438" s="1" t="n">
        <v>45742</v>
      </c>
      <c r="E438" s="1" t="n">
        <v>46221</v>
      </c>
      <c r="F438" t="inlineStr">
        <is>
          <t>NORRBOTTENS LÄN</t>
        </is>
      </c>
      <c r="G438" t="inlineStr">
        <is>
          <t>PITEÅ</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14560-2025</t>
        </is>
      </c>
      <c r="B439" t="inlineStr">
        <is>
          <t>avverkningsanmälan</t>
        </is>
      </c>
      <c r="C439" t="inlineStr">
        <is>
          <t>Föryngringsavverkning</t>
        </is>
      </c>
      <c r="D439" s="1" t="n">
        <v>45741</v>
      </c>
      <c r="E439" s="1" t="n">
        <v>46221</v>
      </c>
      <c r="F439" t="inlineStr">
        <is>
          <t>NORRBOTTENS LÄN</t>
        </is>
      </c>
      <c r="G439" t="inlineStr">
        <is>
          <t>PITEÅ</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60444-2025</t>
        </is>
      </c>
      <c r="B440" t="inlineStr">
        <is>
          <t>avverkningsanmälan</t>
        </is>
      </c>
      <c r="C440" t="inlineStr">
        <is>
          <t>Föryngringsavverkning</t>
        </is>
      </c>
      <c r="D440" s="1" t="n">
        <v>45995</v>
      </c>
      <c r="E440" s="1" t="n">
        <v>46221</v>
      </c>
      <c r="F440" t="inlineStr">
        <is>
          <t>NORRBOTTENS LÄN</t>
        </is>
      </c>
      <c r="G440" t="inlineStr">
        <is>
          <t>PITEÅ</t>
        </is>
      </c>
      <c r="I440" t="n">
        <v>17.3</v>
      </c>
      <c r="J440" t="n">
        <v>0</v>
      </c>
      <c r="K440" t="n">
        <v>0</v>
      </c>
      <c r="L440" t="n">
        <v>0</v>
      </c>
      <c r="M440" t="n">
        <v>0</v>
      </c>
      <c r="N440" t="n">
        <v>0</v>
      </c>
      <c r="O440" t="n">
        <v>0</v>
      </c>
      <c r="P440" t="n">
        <v>0</v>
      </c>
      <c r="Q440" t="n">
        <v>0</v>
      </c>
      <c r="R440" t="n">
        <v>0</v>
      </c>
      <c r="S440" t="n">
        <v>0</v>
      </c>
      <c r="T440" t="n">
        <v>0</v>
      </c>
      <c r="U440" s="2" t="inlineStr"/>
    </row>
    <row r="441" ht="15" customHeight="1">
      <c r="A441" t="inlineStr">
        <is>
          <t>A 60439-2025</t>
        </is>
      </c>
      <c r="B441" t="inlineStr">
        <is>
          <t>avverkningsanmälan</t>
        </is>
      </c>
      <c r="C441" t="inlineStr">
        <is>
          <t>Föryngringsavverkning</t>
        </is>
      </c>
      <c r="D441" s="1" t="n">
        <v>45995</v>
      </c>
      <c r="E441" s="1" t="n">
        <v>46221</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60442-2025</t>
        </is>
      </c>
      <c r="B442" t="inlineStr">
        <is>
          <t>avverkningsanmälan</t>
        </is>
      </c>
      <c r="C442" t="inlineStr">
        <is>
          <t>Föryngringsavverkning</t>
        </is>
      </c>
      <c r="D442" s="1" t="n">
        <v>45995</v>
      </c>
      <c r="E442" s="1" t="n">
        <v>46221</v>
      </c>
      <c r="F442" t="inlineStr">
        <is>
          <t>NORRBOTTENS LÄN</t>
        </is>
      </c>
      <c r="G442" t="inlineStr">
        <is>
          <t>PITEÅ</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60443-2025</t>
        </is>
      </c>
      <c r="B443" t="inlineStr">
        <is>
          <t>avverkningsanmälan</t>
        </is>
      </c>
      <c r="C443" t="inlineStr">
        <is>
          <t>Föryngringsavverkning</t>
        </is>
      </c>
      <c r="D443" s="1" t="n">
        <v>45995</v>
      </c>
      <c r="E443" s="1" t="n">
        <v>46221</v>
      </c>
      <c r="F443" t="inlineStr">
        <is>
          <t>NORRBOTTENS LÄN</t>
        </is>
      </c>
      <c r="G443" t="inlineStr">
        <is>
          <t>PITEÅ</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7553-2023</t>
        </is>
      </c>
      <c r="B444" t="inlineStr">
        <is>
          <t>avverkningsanmälan</t>
        </is>
      </c>
      <c r="C444" t="inlineStr">
        <is>
          <t>Föryngringsavverkning</t>
        </is>
      </c>
      <c r="D444" s="1" t="n">
        <v>44972</v>
      </c>
      <c r="E444" s="1" t="n">
        <v>46221</v>
      </c>
      <c r="F444" t="inlineStr">
        <is>
          <t>NORRBOTTENS LÄN</t>
        </is>
      </c>
      <c r="G444" t="inlineStr">
        <is>
          <t>PITEÅ</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39562-2023</t>
        </is>
      </c>
      <c r="B445" t="inlineStr">
        <is>
          <t>avverkningsanmälan</t>
        </is>
      </c>
      <c r="C445" t="inlineStr">
        <is>
          <t>Föryngringsavverkning</t>
        </is>
      </c>
      <c r="D445" s="1" t="n">
        <v>45167</v>
      </c>
      <c r="E445" s="1" t="n">
        <v>46221</v>
      </c>
      <c r="F445" t="inlineStr">
        <is>
          <t>NORRBOTTENS LÄN</t>
        </is>
      </c>
      <c r="G445" t="inlineStr">
        <is>
          <t>PITEÅ</t>
        </is>
      </c>
      <c r="H445" t="inlineStr">
        <is>
          <t>Sveaskog</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52403-2025</t>
        </is>
      </c>
      <c r="B446" t="inlineStr">
        <is>
          <t>avverkningsanmälan</t>
        </is>
      </c>
      <c r="C446" t="inlineStr">
        <is>
          <t>Avverkning för annat ändamål</t>
        </is>
      </c>
      <c r="D446" s="1" t="n">
        <v>45952</v>
      </c>
      <c r="E446" s="1" t="n">
        <v>46221</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61597-2025</t>
        </is>
      </c>
      <c r="B447" t="inlineStr">
        <is>
          <t>avverkningsanmälan</t>
        </is>
      </c>
      <c r="C447" t="inlineStr">
        <is>
          <t>Avverkning för annat ändamål</t>
        </is>
      </c>
      <c r="D447" s="1" t="n">
        <v>46002</v>
      </c>
      <c r="E447" s="1" t="n">
        <v>46221</v>
      </c>
      <c r="F447" t="inlineStr">
        <is>
          <t>NORRBOTTENS LÄN</t>
        </is>
      </c>
      <c r="G447" t="inlineStr">
        <is>
          <t>PITEÅ</t>
        </is>
      </c>
      <c r="H447" t="inlineStr">
        <is>
          <t>Sveaskog</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54100-2023</t>
        </is>
      </c>
      <c r="B448" t="inlineStr">
        <is>
          <t>avverkningsanmälan</t>
        </is>
      </c>
      <c r="C448" t="inlineStr">
        <is>
          <t>Föryngringsavverkning</t>
        </is>
      </c>
      <c r="D448" s="1" t="n">
        <v>45225</v>
      </c>
      <c r="E448" s="1" t="n">
        <v>46221</v>
      </c>
      <c r="F448" t="inlineStr">
        <is>
          <t>NORRBOTTENS LÄN</t>
        </is>
      </c>
      <c r="G448" t="inlineStr">
        <is>
          <t>PITEÅ</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A 50031-2021</t>
        </is>
      </c>
      <c r="B449" t="inlineStr">
        <is>
          <t>avverkningsanmälan</t>
        </is>
      </c>
      <c r="C449" t="inlineStr">
        <is>
          <t>Föryngringsavverkning</t>
        </is>
      </c>
      <c r="D449" s="1" t="n">
        <v>44454</v>
      </c>
      <c r="E449" s="1" t="n">
        <v>46221</v>
      </c>
      <c r="F449" t="inlineStr">
        <is>
          <t>NORRBOTTENS LÄN</t>
        </is>
      </c>
      <c r="G449" t="inlineStr">
        <is>
          <t>PITEÅ</t>
        </is>
      </c>
      <c r="I449" t="n">
        <v>10.5</v>
      </c>
      <c r="J449" t="n">
        <v>0</v>
      </c>
      <c r="K449" t="n">
        <v>0</v>
      </c>
      <c r="L449" t="n">
        <v>0</v>
      </c>
      <c r="M449" t="n">
        <v>0</v>
      </c>
      <c r="N449" t="n">
        <v>0</v>
      </c>
      <c r="O449" t="n">
        <v>0</v>
      </c>
      <c r="P449" t="n">
        <v>0</v>
      </c>
      <c r="Q449" t="n">
        <v>0</v>
      </c>
      <c r="R449" t="n">
        <v>0</v>
      </c>
      <c r="S449" t="n">
        <v>0</v>
      </c>
      <c r="T449" t="n">
        <v>0</v>
      </c>
      <c r="U449" s="2" t="inlineStr"/>
    </row>
    <row r="450" ht="15" customHeight="1">
      <c r="A450" t="inlineStr">
        <is>
          <t>A 61708-2025</t>
        </is>
      </c>
      <c r="B450" t="inlineStr">
        <is>
          <t>avverkningsanmälan</t>
        </is>
      </c>
      <c r="C450" t="inlineStr">
        <is>
          <t>Föryngringsavverkning</t>
        </is>
      </c>
      <c r="D450" s="1" t="n">
        <v>46002</v>
      </c>
      <c r="E450" s="1" t="n">
        <v>46221</v>
      </c>
      <c r="F450" t="inlineStr">
        <is>
          <t>NORRBOTTENS LÄN</t>
        </is>
      </c>
      <c r="G450" t="inlineStr">
        <is>
          <t>PITEÅ</t>
        </is>
      </c>
      <c r="H450" t="inlineStr">
        <is>
          <t>Sveaskog</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40661-2024</t>
        </is>
      </c>
      <c r="B451" t="inlineStr">
        <is>
          <t>avverkningsanmälan</t>
        </is>
      </c>
      <c r="C451" t="inlineStr">
        <is>
          <t>Föryngringsavverkning</t>
        </is>
      </c>
      <c r="D451" s="1" t="n">
        <v>45558</v>
      </c>
      <c r="E451" s="1" t="n">
        <v>46221</v>
      </c>
      <c r="F451" t="inlineStr">
        <is>
          <t>NORRBOTTENS LÄN</t>
        </is>
      </c>
      <c r="G451" t="inlineStr">
        <is>
          <t>PITEÅ</t>
        </is>
      </c>
      <c r="H451" t="inlineStr">
        <is>
          <t>SCA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62198-2025</t>
        </is>
      </c>
      <c r="B452" t="inlineStr">
        <is>
          <t>avverkningsanmälan</t>
        </is>
      </c>
      <c r="C452" t="inlineStr">
        <is>
          <t>Föryngringsavverkning</t>
        </is>
      </c>
      <c r="D452" s="1" t="n">
        <v>46006</v>
      </c>
      <c r="E452" s="1" t="n">
        <v>46221</v>
      </c>
      <c r="F452" t="inlineStr">
        <is>
          <t>NORRBOTTENS LÄN</t>
        </is>
      </c>
      <c r="G452" t="inlineStr">
        <is>
          <t>PITEÅ</t>
        </is>
      </c>
      <c r="H452" t="inlineStr">
        <is>
          <t>SCA</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62214-2025</t>
        </is>
      </c>
      <c r="B453" t="inlineStr">
        <is>
          <t>avverkningsanmälan</t>
        </is>
      </c>
      <c r="C453" t="inlineStr">
        <is>
          <t>Föryngringsavverkning</t>
        </is>
      </c>
      <c r="D453" s="1" t="n">
        <v>46006</v>
      </c>
      <c r="E453" s="1" t="n">
        <v>46221</v>
      </c>
      <c r="F453" t="inlineStr">
        <is>
          <t>NORRBOTTENS LÄN</t>
        </is>
      </c>
      <c r="G453" t="inlineStr">
        <is>
          <t>PITEÅ</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62199-2025</t>
        </is>
      </c>
      <c r="B454" t="inlineStr">
        <is>
          <t>avverkningsanmälan</t>
        </is>
      </c>
      <c r="C454" t="inlineStr">
        <is>
          <t>Föryngringsavverkning</t>
        </is>
      </c>
      <c r="D454" s="1" t="n">
        <v>46006</v>
      </c>
      <c r="E454" s="1" t="n">
        <v>46221</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62300-2025</t>
        </is>
      </c>
      <c r="B455" t="inlineStr">
        <is>
          <t>avverkningsanmälan</t>
        </is>
      </c>
      <c r="C455" t="inlineStr">
        <is>
          <t>Föryngringsavverkning</t>
        </is>
      </c>
      <c r="D455" s="1" t="n">
        <v>46006</v>
      </c>
      <c r="E455" s="1" t="n">
        <v>46221</v>
      </c>
      <c r="F455" t="inlineStr">
        <is>
          <t>NORRBOTTENS LÄN</t>
        </is>
      </c>
      <c r="G455" t="inlineStr">
        <is>
          <t>PITEÅ</t>
        </is>
      </c>
      <c r="I455" t="n">
        <v>9</v>
      </c>
      <c r="J455" t="n">
        <v>0</v>
      </c>
      <c r="K455" t="n">
        <v>0</v>
      </c>
      <c r="L455" t="n">
        <v>0</v>
      </c>
      <c r="M455" t="n">
        <v>0</v>
      </c>
      <c r="N455" t="n">
        <v>0</v>
      </c>
      <c r="O455" t="n">
        <v>0</v>
      </c>
      <c r="P455" t="n">
        <v>0</v>
      </c>
      <c r="Q455" t="n">
        <v>0</v>
      </c>
      <c r="R455" t="n">
        <v>0</v>
      </c>
      <c r="S455" t="n">
        <v>0</v>
      </c>
      <c r="T455" t="n">
        <v>0</v>
      </c>
      <c r="U455" s="2" t="inlineStr"/>
    </row>
    <row r="456" ht="15" customHeight="1">
      <c r="A456" t="inlineStr">
        <is>
          <t>A 62290-2025</t>
        </is>
      </c>
      <c r="B456" t="inlineStr">
        <is>
          <t>avverkningsanmälan</t>
        </is>
      </c>
      <c r="C456" t="inlineStr">
        <is>
          <t>Föryngringsavverkning</t>
        </is>
      </c>
      <c r="D456" s="1" t="n">
        <v>46006</v>
      </c>
      <c r="E456" s="1" t="n">
        <v>46221</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62291-2025</t>
        </is>
      </c>
      <c r="B457" t="inlineStr">
        <is>
          <t>avverkningsanmälan</t>
        </is>
      </c>
      <c r="C457" t="inlineStr">
        <is>
          <t>Föryngringsavverkning</t>
        </is>
      </c>
      <c r="D457" s="1" t="n">
        <v>46006</v>
      </c>
      <c r="E457" s="1" t="n">
        <v>46221</v>
      </c>
      <c r="F457" t="inlineStr">
        <is>
          <t>NORRBOTTENS LÄN</t>
        </is>
      </c>
      <c r="G457" t="inlineStr">
        <is>
          <t>PITEÅ</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62284-2025</t>
        </is>
      </c>
      <c r="B458" t="inlineStr">
        <is>
          <t>avverkningsanmälan</t>
        </is>
      </c>
      <c r="C458" t="inlineStr">
        <is>
          <t>Föryngringsavverkning</t>
        </is>
      </c>
      <c r="D458" s="1" t="n">
        <v>46006</v>
      </c>
      <c r="E458" s="1" t="n">
        <v>46221</v>
      </c>
      <c r="F458" t="inlineStr">
        <is>
          <t>NORRBOTTENS LÄN</t>
        </is>
      </c>
      <c r="G458" t="inlineStr">
        <is>
          <t>PITEÅ</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62287-2025</t>
        </is>
      </c>
      <c r="B459" t="inlineStr">
        <is>
          <t>avverkningsanmälan</t>
        </is>
      </c>
      <c r="C459" t="inlineStr">
        <is>
          <t>Föryngringsavverkning</t>
        </is>
      </c>
      <c r="D459" s="1" t="n">
        <v>46006</v>
      </c>
      <c r="E459" s="1" t="n">
        <v>46221</v>
      </c>
      <c r="F459" t="inlineStr">
        <is>
          <t>NORRBOTTENS LÄN</t>
        </is>
      </c>
      <c r="G459" t="inlineStr">
        <is>
          <t>PITEÅ</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62288-2025</t>
        </is>
      </c>
      <c r="B460" t="inlineStr">
        <is>
          <t>avverkningsanmälan</t>
        </is>
      </c>
      <c r="C460" t="inlineStr">
        <is>
          <t>Föryngringsavverkning</t>
        </is>
      </c>
      <c r="D460" s="1" t="n">
        <v>46006</v>
      </c>
      <c r="E460" s="1" t="n">
        <v>46221</v>
      </c>
      <c r="F460" t="inlineStr">
        <is>
          <t>NORRBOTTENS LÄN</t>
        </is>
      </c>
      <c r="G460" t="inlineStr">
        <is>
          <t>PITEÅ</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62237-2025</t>
        </is>
      </c>
      <c r="B461" t="inlineStr">
        <is>
          <t>avverkningsanmälan</t>
        </is>
      </c>
      <c r="C461" t="inlineStr">
        <is>
          <t>Föryngringsavverkning</t>
        </is>
      </c>
      <c r="D461" s="1" t="n">
        <v>46006</v>
      </c>
      <c r="E461" s="1" t="n">
        <v>46221</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62680-2025</t>
        </is>
      </c>
      <c r="B462" t="inlineStr">
        <is>
          <t>avverkningsanmälan</t>
        </is>
      </c>
      <c r="C462" t="inlineStr">
        <is>
          <t>Föryngringsavverkning</t>
        </is>
      </c>
      <c r="D462" s="1" t="n">
        <v>46008</v>
      </c>
      <c r="E462" s="1" t="n">
        <v>46221</v>
      </c>
      <c r="F462" t="inlineStr">
        <is>
          <t>NORRBOTTENS LÄN</t>
        </is>
      </c>
      <c r="G462" t="inlineStr">
        <is>
          <t>PITEÅ</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11964-2024</t>
        </is>
      </c>
      <c r="B463" t="inlineStr">
        <is>
          <t>avverkningsanmälan</t>
        </is>
      </c>
      <c r="C463" t="inlineStr">
        <is>
          <t>Föryngringsavverkning</t>
        </is>
      </c>
      <c r="D463" s="1" t="n">
        <v>45376</v>
      </c>
      <c r="E463" s="1" t="n">
        <v>46221</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62727-2025</t>
        </is>
      </c>
      <c r="B464" t="inlineStr">
        <is>
          <t>avverkningsanmälan</t>
        </is>
      </c>
      <c r="C464" t="inlineStr">
        <is>
          <t>Föryngringsavverkning</t>
        </is>
      </c>
      <c r="D464" s="1" t="n">
        <v>46008</v>
      </c>
      <c r="E464" s="1" t="n">
        <v>46221</v>
      </c>
      <c r="F464" t="inlineStr">
        <is>
          <t>NORRBOTTENS LÄN</t>
        </is>
      </c>
      <c r="G464" t="inlineStr">
        <is>
          <t>PITEÅ</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56312-2022</t>
        </is>
      </c>
      <c r="B465" t="inlineStr">
        <is>
          <t>avverkningsanmälan</t>
        </is>
      </c>
      <c r="C465" t="inlineStr">
        <is>
          <t>Föryngringsavverkning</t>
        </is>
      </c>
      <c r="D465" s="1" t="n">
        <v>44890</v>
      </c>
      <c r="E465" s="1" t="n">
        <v>46221</v>
      </c>
      <c r="F465" t="inlineStr">
        <is>
          <t>NORRBOTTENS LÄN</t>
        </is>
      </c>
      <c r="G465" t="inlineStr">
        <is>
          <t>PITEÅ</t>
        </is>
      </c>
      <c r="I465" t="n">
        <v>4.4</v>
      </c>
      <c r="J465" t="n">
        <v>0</v>
      </c>
      <c r="K465" t="n">
        <v>0</v>
      </c>
      <c r="L465" t="n">
        <v>0</v>
      </c>
      <c r="M465" t="n">
        <v>0</v>
      </c>
      <c r="N465" t="n">
        <v>0</v>
      </c>
      <c r="O465" t="n">
        <v>0</v>
      </c>
      <c r="P465" t="n">
        <v>0</v>
      </c>
      <c r="Q465" t="n">
        <v>0</v>
      </c>
      <c r="R465" t="n">
        <v>0</v>
      </c>
      <c r="S465" t="n">
        <v>0</v>
      </c>
      <c r="T465" t="n">
        <v>0</v>
      </c>
      <c r="U465" s="2" t="inlineStr"/>
    </row>
    <row r="466" ht="15" customHeight="1">
      <c r="A466" t="inlineStr">
        <is>
          <t>A 25930-2023</t>
        </is>
      </c>
      <c r="B466" t="inlineStr">
        <is>
          <t>avverkningsanmälan</t>
        </is>
      </c>
      <c r="C466" t="inlineStr">
        <is>
          <t>Föryngringsavverkning</t>
        </is>
      </c>
      <c r="D466" s="1" t="n">
        <v>45090</v>
      </c>
      <c r="E466" s="1" t="n">
        <v>46221</v>
      </c>
      <c r="F466" t="inlineStr">
        <is>
          <t>NORRBOTTENS LÄN</t>
        </is>
      </c>
      <c r="G466" t="inlineStr">
        <is>
          <t>PITEÅ</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46808-2025</t>
        </is>
      </c>
      <c r="B467" t="inlineStr">
        <is>
          <t>avverkningsanmälan</t>
        </is>
      </c>
      <c r="C467" t="inlineStr">
        <is>
          <t>Föryngringsavverkning</t>
        </is>
      </c>
      <c r="D467" s="1" t="n">
        <v>45926</v>
      </c>
      <c r="E467" s="1" t="n">
        <v>46221</v>
      </c>
      <c r="F467" t="inlineStr">
        <is>
          <t>NORRBOTTENS LÄN</t>
        </is>
      </c>
      <c r="G467" t="inlineStr">
        <is>
          <t>PITEÅ</t>
        </is>
      </c>
      <c r="I467" t="n">
        <v>4.2</v>
      </c>
      <c r="J467" t="n">
        <v>0</v>
      </c>
      <c r="K467" t="n">
        <v>0</v>
      </c>
      <c r="L467" t="n">
        <v>0</v>
      </c>
      <c r="M467" t="n">
        <v>0</v>
      </c>
      <c r="N467" t="n">
        <v>0</v>
      </c>
      <c r="O467" t="n">
        <v>0</v>
      </c>
      <c r="P467" t="n">
        <v>0</v>
      </c>
      <c r="Q467" t="n">
        <v>0</v>
      </c>
      <c r="R467" t="n">
        <v>0</v>
      </c>
      <c r="S467" t="n">
        <v>0</v>
      </c>
      <c r="T467" t="n">
        <v>0</v>
      </c>
      <c r="U467" s="2" t="inlineStr"/>
    </row>
    <row r="468" ht="15" customHeight="1">
      <c r="A468" t="inlineStr">
        <is>
          <t>A 63167-2025</t>
        </is>
      </c>
      <c r="B468" t="inlineStr">
        <is>
          <t>avverkningsanmälan</t>
        </is>
      </c>
      <c r="C468" t="inlineStr">
        <is>
          <t>Föryngringsavverkning</t>
        </is>
      </c>
      <c r="D468" s="1" t="n">
        <v>46010</v>
      </c>
      <c r="E468" s="1" t="n">
        <v>46221</v>
      </c>
      <c r="F468" t="inlineStr">
        <is>
          <t>NORRBOTTENS LÄN</t>
        </is>
      </c>
      <c r="G468" t="inlineStr">
        <is>
          <t>PITEÅ</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64972-2023</t>
        </is>
      </c>
      <c r="B469" t="inlineStr">
        <is>
          <t>avverkningsanmälan</t>
        </is>
      </c>
      <c r="C469" t="inlineStr">
        <is>
          <t>Föryngringsavverkning</t>
        </is>
      </c>
      <c r="D469" s="1" t="n">
        <v>45285</v>
      </c>
      <c r="E469" s="1" t="n">
        <v>46221</v>
      </c>
      <c r="F469" t="inlineStr">
        <is>
          <t>NORRBOTTENS LÄN</t>
        </is>
      </c>
      <c r="G469" t="inlineStr">
        <is>
          <t>PITEÅ</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2452-2024</t>
        </is>
      </c>
      <c r="B470" t="inlineStr">
        <is>
          <t>avverkningsanmälan</t>
        </is>
      </c>
      <c r="C470" t="inlineStr">
        <is>
          <t>Föryngringsavverkning</t>
        </is>
      </c>
      <c r="D470" s="1" t="n">
        <v>45312</v>
      </c>
      <c r="E470" s="1" t="n">
        <v>46221</v>
      </c>
      <c r="F470" t="inlineStr">
        <is>
          <t>NORRBOTTENS LÄN</t>
        </is>
      </c>
      <c r="G470" t="inlineStr">
        <is>
          <t>PITEÅ</t>
        </is>
      </c>
      <c r="I470" t="n">
        <v>3</v>
      </c>
      <c r="J470" t="n">
        <v>0</v>
      </c>
      <c r="K470" t="n">
        <v>0</v>
      </c>
      <c r="L470" t="n">
        <v>0</v>
      </c>
      <c r="M470" t="n">
        <v>0</v>
      </c>
      <c r="N470" t="n">
        <v>0</v>
      </c>
      <c r="O470" t="n">
        <v>0</v>
      </c>
      <c r="P470" t="n">
        <v>0</v>
      </c>
      <c r="Q470" t="n">
        <v>0</v>
      </c>
      <c r="R470" t="n">
        <v>0</v>
      </c>
      <c r="S470" t="n">
        <v>0</v>
      </c>
      <c r="T470" t="n">
        <v>0</v>
      </c>
      <c r="U470" s="2" t="inlineStr"/>
    </row>
    <row r="471" ht="15" customHeight="1">
      <c r="A471" t="inlineStr">
        <is>
          <t>A 63175-2025</t>
        </is>
      </c>
      <c r="B471" t="inlineStr">
        <is>
          <t>avverkningsanmälan</t>
        </is>
      </c>
      <c r="C471" t="inlineStr">
        <is>
          <t>Föryngringsavverkning</t>
        </is>
      </c>
      <c r="D471" s="1" t="n">
        <v>46010</v>
      </c>
      <c r="E471" s="1" t="n">
        <v>46221</v>
      </c>
      <c r="F471" t="inlineStr">
        <is>
          <t>NORRBOTTENS LÄN</t>
        </is>
      </c>
      <c r="G471" t="inlineStr">
        <is>
          <t>PITEÅ</t>
        </is>
      </c>
      <c r="I471" t="n">
        <v>6.5</v>
      </c>
      <c r="J471" t="n">
        <v>0</v>
      </c>
      <c r="K471" t="n">
        <v>0</v>
      </c>
      <c r="L471" t="n">
        <v>0</v>
      </c>
      <c r="M471" t="n">
        <v>0</v>
      </c>
      <c r="N471" t="n">
        <v>0</v>
      </c>
      <c r="O471" t="n">
        <v>0</v>
      </c>
      <c r="P471" t="n">
        <v>0</v>
      </c>
      <c r="Q471" t="n">
        <v>0</v>
      </c>
      <c r="R471" t="n">
        <v>0</v>
      </c>
      <c r="S471" t="n">
        <v>0</v>
      </c>
      <c r="T471" t="n">
        <v>0</v>
      </c>
      <c r="U471" s="2" t="inlineStr"/>
    </row>
    <row r="472" ht="15" customHeight="1">
      <c r="A472" t="inlineStr">
        <is>
          <t>A 46803-2025</t>
        </is>
      </c>
      <c r="B472" t="inlineStr">
        <is>
          <t>avverkningsanmälan</t>
        </is>
      </c>
      <c r="C472" t="inlineStr">
        <is>
          <t>Föryngringsavverkning</t>
        </is>
      </c>
      <c r="D472" s="1" t="n">
        <v>45926</v>
      </c>
      <c r="E472" s="1" t="n">
        <v>46221</v>
      </c>
      <c r="F472" t="inlineStr">
        <is>
          <t>NORRBOTTENS LÄN</t>
        </is>
      </c>
      <c r="G472" t="inlineStr">
        <is>
          <t>PITEÅ</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46806-2025</t>
        </is>
      </c>
      <c r="B473" t="inlineStr">
        <is>
          <t>avverkningsanmälan</t>
        </is>
      </c>
      <c r="C473" t="inlineStr">
        <is>
          <t>Föryngringsavverkning</t>
        </is>
      </c>
      <c r="D473" s="1" t="n">
        <v>45926</v>
      </c>
      <c r="E473" s="1" t="n">
        <v>46221</v>
      </c>
      <c r="F473" t="inlineStr">
        <is>
          <t>NORRBOTTENS LÄN</t>
        </is>
      </c>
      <c r="G473" t="inlineStr">
        <is>
          <t>PITEÅ</t>
        </is>
      </c>
      <c r="I473" t="n">
        <v>3</v>
      </c>
      <c r="J473" t="n">
        <v>0</v>
      </c>
      <c r="K473" t="n">
        <v>0</v>
      </c>
      <c r="L473" t="n">
        <v>0</v>
      </c>
      <c r="M473" t="n">
        <v>0</v>
      </c>
      <c r="N473" t="n">
        <v>0</v>
      </c>
      <c r="O473" t="n">
        <v>0</v>
      </c>
      <c r="P473" t="n">
        <v>0</v>
      </c>
      <c r="Q473" t="n">
        <v>0</v>
      </c>
      <c r="R473" t="n">
        <v>0</v>
      </c>
      <c r="S473" t="n">
        <v>0</v>
      </c>
      <c r="T473" t="n">
        <v>0</v>
      </c>
      <c r="U473" s="2" t="inlineStr"/>
    </row>
    <row r="474" ht="15" customHeight="1">
      <c r="A474" t="inlineStr">
        <is>
          <t>A 47323-2025</t>
        </is>
      </c>
      <c r="B474" t="inlineStr">
        <is>
          <t>avverkningsanmälan</t>
        </is>
      </c>
      <c r="C474" t="inlineStr">
        <is>
          <t>Föryngringsavverkning</t>
        </is>
      </c>
      <c r="D474" s="1" t="n">
        <v>45930</v>
      </c>
      <c r="E474" s="1" t="n">
        <v>46221</v>
      </c>
      <c r="F474" t="inlineStr">
        <is>
          <t>NORRBOTTENS LÄN</t>
        </is>
      </c>
      <c r="G474" t="inlineStr">
        <is>
          <t>PITEÅ</t>
        </is>
      </c>
      <c r="I474" t="n">
        <v>4.6</v>
      </c>
      <c r="J474" t="n">
        <v>0</v>
      </c>
      <c r="K474" t="n">
        <v>0</v>
      </c>
      <c r="L474" t="n">
        <v>0</v>
      </c>
      <c r="M474" t="n">
        <v>0</v>
      </c>
      <c r="N474" t="n">
        <v>0</v>
      </c>
      <c r="O474" t="n">
        <v>0</v>
      </c>
      <c r="P474" t="n">
        <v>0</v>
      </c>
      <c r="Q474" t="n">
        <v>0</v>
      </c>
      <c r="R474" t="n">
        <v>0</v>
      </c>
      <c r="S474" t="n">
        <v>0</v>
      </c>
      <c r="T474" t="n">
        <v>0</v>
      </c>
      <c r="U474" s="2" t="inlineStr"/>
    </row>
    <row r="475" ht="15" customHeight="1">
      <c r="A475" t="inlineStr">
        <is>
          <t>A 63424-2025</t>
        </is>
      </c>
      <c r="B475" t="inlineStr">
        <is>
          <t>avverkningsanmälan</t>
        </is>
      </c>
      <c r="C475" t="inlineStr">
        <is>
          <t>Föryngringsavverkning</t>
        </is>
      </c>
      <c r="D475" s="1" t="n">
        <v>46013</v>
      </c>
      <c r="E475" s="1" t="n">
        <v>46221</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63566-2025</t>
        </is>
      </c>
      <c r="B476" t="inlineStr">
        <is>
          <t>avverkningsanmälan</t>
        </is>
      </c>
      <c r="C476" t="inlineStr">
        <is>
          <t>Föryngringsavverkning</t>
        </is>
      </c>
      <c r="D476" s="1" t="n">
        <v>46013</v>
      </c>
      <c r="E476" s="1" t="n">
        <v>46221</v>
      </c>
      <c r="F476" t="inlineStr">
        <is>
          <t>NORRBOTTENS LÄN</t>
        </is>
      </c>
      <c r="G476" t="inlineStr">
        <is>
          <t>PITEÅ</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32371-2023</t>
        </is>
      </c>
      <c r="B477" t="inlineStr">
        <is>
          <t>avverkningsanmälan</t>
        </is>
      </c>
      <c r="C477" t="inlineStr">
        <is>
          <t>Föryngringsavverkning</t>
        </is>
      </c>
      <c r="D477" s="1" t="n">
        <v>45110</v>
      </c>
      <c r="E477" s="1" t="n">
        <v>46221</v>
      </c>
      <c r="F477" t="inlineStr">
        <is>
          <t>NORRBOTTENS LÄN</t>
        </is>
      </c>
      <c r="G477" t="inlineStr">
        <is>
          <t>PITEÅ</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63567-2025</t>
        </is>
      </c>
      <c r="B478" t="inlineStr">
        <is>
          <t>avverkningsanmälan</t>
        </is>
      </c>
      <c r="C478" t="inlineStr">
        <is>
          <t>Föryngringsavverkning</t>
        </is>
      </c>
      <c r="D478" s="1" t="n">
        <v>46013</v>
      </c>
      <c r="E478" s="1" t="n">
        <v>46221</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48533-2025</t>
        </is>
      </c>
      <c r="B479" t="inlineStr">
        <is>
          <t>avverkningsanmälan</t>
        </is>
      </c>
      <c r="C479" t="inlineStr">
        <is>
          <t>Föryngringsavverkning</t>
        </is>
      </c>
      <c r="D479" s="1" t="n">
        <v>45936</v>
      </c>
      <c r="E479" s="1" t="n">
        <v>46221</v>
      </c>
      <c r="F479" t="inlineStr">
        <is>
          <t>NORRBOTTENS LÄN</t>
        </is>
      </c>
      <c r="G479" t="inlineStr">
        <is>
          <t>PITEÅ</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51606-2025</t>
        </is>
      </c>
      <c r="B480" t="inlineStr">
        <is>
          <t>avverkningsanmälan</t>
        </is>
      </c>
      <c r="C480" t="inlineStr">
        <is>
          <t>Föryngringsavverkning</t>
        </is>
      </c>
      <c r="D480" s="1" t="n">
        <v>45951</v>
      </c>
      <c r="E480" s="1" t="n">
        <v>46221</v>
      </c>
      <c r="F480" t="inlineStr">
        <is>
          <t>NORRBOTTENS LÄN</t>
        </is>
      </c>
      <c r="G480" t="inlineStr">
        <is>
          <t>PITEÅ</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58601-2025</t>
        </is>
      </c>
      <c r="B481" t="inlineStr">
        <is>
          <t>avverkningsanmälan</t>
        </is>
      </c>
      <c r="C481" t="inlineStr">
        <is>
          <t>Föryngringsavverkning</t>
        </is>
      </c>
      <c r="D481" s="1" t="n">
        <v>45986</v>
      </c>
      <c r="E481" s="1" t="n">
        <v>46221</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s="2" t="inlineStr"/>
    </row>
    <row r="482" ht="15" customHeight="1">
      <c r="A482" t="inlineStr">
        <is>
          <t>A 49340-2025</t>
        </is>
      </c>
      <c r="B482" t="inlineStr">
        <is>
          <t>avverkningsanmälan</t>
        </is>
      </c>
      <c r="C482" t="inlineStr">
        <is>
          <t>Föryngringsavverkning</t>
        </is>
      </c>
      <c r="D482" s="1" t="n">
        <v>45938</v>
      </c>
      <c r="E482" s="1" t="n">
        <v>46221</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44082-2023</t>
        </is>
      </c>
      <c r="B483" t="inlineStr">
        <is>
          <t>avverkningsanmälan</t>
        </is>
      </c>
      <c r="C483" t="inlineStr">
        <is>
          <t>Föryngringsavverkning</t>
        </is>
      </c>
      <c r="D483" s="1" t="n">
        <v>45188</v>
      </c>
      <c r="E483" s="1" t="n">
        <v>46221</v>
      </c>
      <c r="F483" t="inlineStr">
        <is>
          <t>NORRBOTTENS LÄN</t>
        </is>
      </c>
      <c r="G483" t="inlineStr">
        <is>
          <t>PITEÅ</t>
        </is>
      </c>
      <c r="H483" t="inlineStr">
        <is>
          <t>Sveaskog</t>
        </is>
      </c>
      <c r="I483" t="n">
        <v>11.1</v>
      </c>
      <c r="J483" t="n">
        <v>0</v>
      </c>
      <c r="K483" t="n">
        <v>0</v>
      </c>
      <c r="L483" t="n">
        <v>0</v>
      </c>
      <c r="M483" t="n">
        <v>0</v>
      </c>
      <c r="N483" t="n">
        <v>0</v>
      </c>
      <c r="O483" t="n">
        <v>0</v>
      </c>
      <c r="P483" t="n">
        <v>0</v>
      </c>
      <c r="Q483" t="n">
        <v>0</v>
      </c>
      <c r="R483" t="n">
        <v>0</v>
      </c>
      <c r="S483" t="n">
        <v>0</v>
      </c>
      <c r="T483" t="n">
        <v>0</v>
      </c>
      <c r="U483" s="2" t="inlineStr"/>
    </row>
    <row r="484" ht="15" customHeight="1">
      <c r="A484" t="inlineStr">
        <is>
          <t>A 48532-2025</t>
        </is>
      </c>
      <c r="B484" t="inlineStr">
        <is>
          <t>avverkningsanmälan</t>
        </is>
      </c>
      <c r="C484" t="inlineStr">
        <is>
          <t>Föryngringsavverkning</t>
        </is>
      </c>
      <c r="D484" s="1" t="n">
        <v>45936</v>
      </c>
      <c r="E484" s="1" t="n">
        <v>46221</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48554-2025</t>
        </is>
      </c>
      <c r="B485" t="inlineStr">
        <is>
          <t>avverkningsanmälan</t>
        </is>
      </c>
      <c r="C485" t="inlineStr">
        <is>
          <t>Föryngringsavverkning</t>
        </is>
      </c>
      <c r="D485" s="1" t="n">
        <v>45936</v>
      </c>
      <c r="E485" s="1" t="n">
        <v>46221</v>
      </c>
      <c r="F485" t="inlineStr">
        <is>
          <t>NORRBOTTENS LÄN</t>
        </is>
      </c>
      <c r="G485" t="inlineStr">
        <is>
          <t>PITEÅ</t>
        </is>
      </c>
      <c r="I485" t="n">
        <v>5.3</v>
      </c>
      <c r="J485" t="n">
        <v>0</v>
      </c>
      <c r="K485" t="n">
        <v>0</v>
      </c>
      <c r="L485" t="n">
        <v>0</v>
      </c>
      <c r="M485" t="n">
        <v>0</v>
      </c>
      <c r="N485" t="n">
        <v>0</v>
      </c>
      <c r="O485" t="n">
        <v>0</v>
      </c>
      <c r="P485" t="n">
        <v>0</v>
      </c>
      <c r="Q485" t="n">
        <v>0</v>
      </c>
      <c r="R485" t="n">
        <v>0</v>
      </c>
      <c r="S485" t="n">
        <v>0</v>
      </c>
      <c r="T485" t="n">
        <v>0</v>
      </c>
      <c r="U485" s="2" t="inlineStr"/>
    </row>
    <row r="486" ht="15" customHeight="1">
      <c r="A486" t="inlineStr">
        <is>
          <t>A 48555-2025</t>
        </is>
      </c>
      <c r="B486" t="inlineStr">
        <is>
          <t>avverkningsanmälan</t>
        </is>
      </c>
      <c r="C486" t="inlineStr">
        <is>
          <t>Föryngringsavverkning</t>
        </is>
      </c>
      <c r="D486" s="1" t="n">
        <v>45936</v>
      </c>
      <c r="E486" s="1" t="n">
        <v>46221</v>
      </c>
      <c r="F486" t="inlineStr">
        <is>
          <t>NORRBOTTENS LÄN</t>
        </is>
      </c>
      <c r="G486" t="inlineStr">
        <is>
          <t>PITEÅ</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48569-2025</t>
        </is>
      </c>
      <c r="B487" t="inlineStr">
        <is>
          <t>avverkningsanmälan</t>
        </is>
      </c>
      <c r="C487" t="inlineStr">
        <is>
          <t>Föryngringsavverkning</t>
        </is>
      </c>
      <c r="D487" s="1" t="n">
        <v>45936</v>
      </c>
      <c r="E487" s="1" t="n">
        <v>46221</v>
      </c>
      <c r="F487" t="inlineStr">
        <is>
          <t>NORRBOTTENS LÄN</t>
        </is>
      </c>
      <c r="G487" t="inlineStr">
        <is>
          <t>PITEÅ</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47025-2024</t>
        </is>
      </c>
      <c r="B488" t="inlineStr">
        <is>
          <t>avverkningsanmälan</t>
        </is>
      </c>
      <c r="C488" t="inlineStr">
        <is>
          <t>Föryngringsavverkning</t>
        </is>
      </c>
      <c r="D488" s="1" t="n">
        <v>45586</v>
      </c>
      <c r="E488" s="1" t="n">
        <v>46221</v>
      </c>
      <c r="F488" t="inlineStr">
        <is>
          <t>NORRBOTTENS LÄN</t>
        </is>
      </c>
      <c r="G488" t="inlineStr">
        <is>
          <t>PITEÅ</t>
        </is>
      </c>
      <c r="H488" t="inlineStr">
        <is>
          <t>Övriga Aktiebolag</t>
        </is>
      </c>
      <c r="I488" t="n">
        <v>6.7</v>
      </c>
      <c r="J488" t="n">
        <v>0</v>
      </c>
      <c r="K488" t="n">
        <v>0</v>
      </c>
      <c r="L488" t="n">
        <v>0</v>
      </c>
      <c r="M488" t="n">
        <v>0</v>
      </c>
      <c r="N488" t="n">
        <v>0</v>
      </c>
      <c r="O488" t="n">
        <v>0</v>
      </c>
      <c r="P488" t="n">
        <v>0</v>
      </c>
      <c r="Q488" t="n">
        <v>0</v>
      </c>
      <c r="R488" t="n">
        <v>0</v>
      </c>
      <c r="S488" t="n">
        <v>0</v>
      </c>
      <c r="T488" t="n">
        <v>0</v>
      </c>
      <c r="U488" s="2" t="inlineStr"/>
    </row>
    <row r="489" ht="15" customHeight="1">
      <c r="A489" t="inlineStr">
        <is>
          <t>A 47194-2024</t>
        </is>
      </c>
      <c r="B489" t="inlineStr">
        <is>
          <t>avverkningsanmälan</t>
        </is>
      </c>
      <c r="C489" t="inlineStr">
        <is>
          <t>Föryngringsavverkning</t>
        </is>
      </c>
      <c r="D489" s="1" t="n">
        <v>45586</v>
      </c>
      <c r="E489" s="1" t="n">
        <v>46221</v>
      </c>
      <c r="F489" t="inlineStr">
        <is>
          <t>NORRBOTTENS LÄN</t>
        </is>
      </c>
      <c r="G489" t="inlineStr">
        <is>
          <t>PITEÅ</t>
        </is>
      </c>
      <c r="H489" t="inlineStr">
        <is>
          <t>Sveaskog</t>
        </is>
      </c>
      <c r="I489" t="n">
        <v>10</v>
      </c>
      <c r="J489" t="n">
        <v>0</v>
      </c>
      <c r="K489" t="n">
        <v>0</v>
      </c>
      <c r="L489" t="n">
        <v>0</v>
      </c>
      <c r="M489" t="n">
        <v>0</v>
      </c>
      <c r="N489" t="n">
        <v>0</v>
      </c>
      <c r="O489" t="n">
        <v>0</v>
      </c>
      <c r="P489" t="n">
        <v>0</v>
      </c>
      <c r="Q489" t="n">
        <v>0</v>
      </c>
      <c r="R489" t="n">
        <v>0</v>
      </c>
      <c r="S489" t="n">
        <v>0</v>
      </c>
      <c r="T489" t="n">
        <v>0</v>
      </c>
      <c r="U489" s="2" t="inlineStr"/>
    </row>
    <row r="490" ht="15" customHeight="1">
      <c r="A490" t="inlineStr">
        <is>
          <t>A 58994-2025</t>
        </is>
      </c>
      <c r="B490" t="inlineStr">
        <is>
          <t>avverkningsanmälan</t>
        </is>
      </c>
      <c r="C490" t="inlineStr">
        <is>
          <t>Föryngringsavverkning</t>
        </is>
      </c>
      <c r="D490" s="1" t="n">
        <v>45987</v>
      </c>
      <c r="E490" s="1" t="n">
        <v>46221</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s="2" t="inlineStr"/>
      <c r="X490">
        <f>HYPERLINK("https://klasma.github.io/Logging_2581/knärot/A 58994-2025 karta knärot.png", "A 58994-2025")</f>
        <v/>
      </c>
      <c r="Y490">
        <f>HYPERLINK("https://klasma.github.io/Logging_2581/klagomål/A 58994-2025 FSC-klagomål.docx", "A 58994-2025")</f>
        <v/>
      </c>
      <c r="Z490">
        <f>HYPERLINK("https://klasma.github.io/Logging_2581/klagomålsmail/A 58994-2025 FSC-klagomål mail.docx", "A 58994-2025")</f>
        <v/>
      </c>
      <c r="AA490">
        <f>HYPERLINK("https://klasma.github.io/Logging_2581/tillsyn/A 58994-2025 tillsynsbegäran.docx", "A 58994-2025")</f>
        <v/>
      </c>
      <c r="AB490">
        <f>HYPERLINK("https://klasma.github.io/Logging_2581/tillsynsmail/A 58994-2025 tillsynsbegäran mail.docx", "A 58994-2025")</f>
        <v/>
      </c>
    </row>
    <row r="491" ht="15" customHeight="1">
      <c r="A491" t="inlineStr">
        <is>
          <t>A 7905-2024</t>
        </is>
      </c>
      <c r="B491" t="inlineStr">
        <is>
          <t>avverkningsanmälan</t>
        </is>
      </c>
      <c r="C491" t="inlineStr">
        <is>
          <t>Föryngringsavverkning</t>
        </is>
      </c>
      <c r="D491" s="1" t="n">
        <v>45350</v>
      </c>
      <c r="E491" s="1" t="n">
        <v>46221</v>
      </c>
      <c r="F491" t="inlineStr">
        <is>
          <t>NORRBOTTENS LÄN</t>
        </is>
      </c>
      <c r="G491" t="inlineStr">
        <is>
          <t>PITEÅ</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46410-2024</t>
        </is>
      </c>
      <c r="B492" t="inlineStr">
        <is>
          <t>avverkningsanmälan</t>
        </is>
      </c>
      <c r="C492" t="inlineStr">
        <is>
          <t>Föryngringsavverkning</t>
        </is>
      </c>
      <c r="D492" s="1" t="n">
        <v>45582</v>
      </c>
      <c r="E492" s="1" t="n">
        <v>46221</v>
      </c>
      <c r="F492" t="inlineStr">
        <is>
          <t>NORRBOTTENS LÄN</t>
        </is>
      </c>
      <c r="G492" t="inlineStr">
        <is>
          <t>PITEÅ</t>
        </is>
      </c>
      <c r="H492" t="inlineStr">
        <is>
          <t>Sveaskog</t>
        </is>
      </c>
      <c r="I492" t="n">
        <v>9.5</v>
      </c>
      <c r="J492" t="n">
        <v>0</v>
      </c>
      <c r="K492" t="n">
        <v>0</v>
      </c>
      <c r="L492" t="n">
        <v>0</v>
      </c>
      <c r="M492" t="n">
        <v>0</v>
      </c>
      <c r="N492" t="n">
        <v>0</v>
      </c>
      <c r="O492" t="n">
        <v>0</v>
      </c>
      <c r="P492" t="n">
        <v>0</v>
      </c>
      <c r="Q492" t="n">
        <v>0</v>
      </c>
      <c r="R492" t="n">
        <v>0</v>
      </c>
      <c r="S492" t="n">
        <v>0</v>
      </c>
      <c r="T492" t="n">
        <v>0</v>
      </c>
      <c r="U492" s="2" t="inlineStr"/>
    </row>
    <row r="493" ht="15" customHeight="1">
      <c r="A493" t="inlineStr">
        <is>
          <t>A 5184-2025</t>
        </is>
      </c>
      <c r="B493" t="inlineStr">
        <is>
          <t>avverkningsanmälan</t>
        </is>
      </c>
      <c r="C493" t="inlineStr">
        <is>
          <t>Föryngringsavverkning</t>
        </is>
      </c>
      <c r="D493" s="1" t="n">
        <v>45691</v>
      </c>
      <c r="E493" s="1" t="n">
        <v>46221</v>
      </c>
      <c r="F493" t="inlineStr">
        <is>
          <t>NORRBOTTENS LÄN</t>
        </is>
      </c>
      <c r="G493" t="inlineStr">
        <is>
          <t>PITEÅ</t>
        </is>
      </c>
      <c r="H493" t="inlineStr">
        <is>
          <t>Övriga Aktiebolag</t>
        </is>
      </c>
      <c r="I493" t="n">
        <v>6.3</v>
      </c>
      <c r="J493" t="n">
        <v>0</v>
      </c>
      <c r="K493" t="n">
        <v>0</v>
      </c>
      <c r="L493" t="n">
        <v>0</v>
      </c>
      <c r="M493" t="n">
        <v>0</v>
      </c>
      <c r="N493" t="n">
        <v>0</v>
      </c>
      <c r="O493" t="n">
        <v>0</v>
      </c>
      <c r="P493" t="n">
        <v>0</v>
      </c>
      <c r="Q493" t="n">
        <v>0</v>
      </c>
      <c r="R493" t="n">
        <v>0</v>
      </c>
      <c r="S493" t="n">
        <v>0</v>
      </c>
      <c r="T493" t="n">
        <v>0</v>
      </c>
      <c r="U493" s="2" t="inlineStr"/>
    </row>
    <row r="494" ht="15" customHeight="1">
      <c r="A494" t="inlineStr">
        <is>
          <t>A 57207-2023</t>
        </is>
      </c>
      <c r="B494" t="inlineStr">
        <is>
          <t>avverkningsanmälan</t>
        </is>
      </c>
      <c r="C494" t="inlineStr">
        <is>
          <t>Föryngringsavverkning</t>
        </is>
      </c>
      <c r="D494" s="1" t="n">
        <v>45245</v>
      </c>
      <c r="E494" s="1" t="n">
        <v>46221</v>
      </c>
      <c r="F494" t="inlineStr">
        <is>
          <t>NORRBOTTENS LÄN</t>
        </is>
      </c>
      <c r="G494" t="inlineStr">
        <is>
          <t>PITEÅ</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18269-2022</t>
        </is>
      </c>
      <c r="B495" t="inlineStr">
        <is>
          <t>avverkningsanmälan</t>
        </is>
      </c>
      <c r="C495" t="inlineStr">
        <is>
          <t>Föryngringsavverkning</t>
        </is>
      </c>
      <c r="D495" s="1" t="n">
        <v>44685</v>
      </c>
      <c r="E495" s="1" t="n">
        <v>46221</v>
      </c>
      <c r="F495" t="inlineStr">
        <is>
          <t>NORRBOTTENS LÄN</t>
        </is>
      </c>
      <c r="G495" t="inlineStr">
        <is>
          <t>PITEÅ</t>
        </is>
      </c>
      <c r="I495" t="n">
        <v>3</v>
      </c>
      <c r="J495" t="n">
        <v>0</v>
      </c>
      <c r="K495" t="n">
        <v>0</v>
      </c>
      <c r="L495" t="n">
        <v>0</v>
      </c>
      <c r="M495" t="n">
        <v>0</v>
      </c>
      <c r="N495" t="n">
        <v>0</v>
      </c>
      <c r="O495" t="n">
        <v>0</v>
      </c>
      <c r="P495" t="n">
        <v>0</v>
      </c>
      <c r="Q495" t="n">
        <v>0</v>
      </c>
      <c r="R495" t="n">
        <v>0</v>
      </c>
      <c r="S495" t="n">
        <v>0</v>
      </c>
      <c r="T495" t="n">
        <v>0</v>
      </c>
      <c r="U495" s="2" t="inlineStr"/>
    </row>
    <row r="496" ht="15" customHeight="1">
      <c r="A496" t="inlineStr">
        <is>
          <t>A 73026-2021</t>
        </is>
      </c>
      <c r="B496" t="inlineStr">
        <is>
          <t>avverkningsanmälan</t>
        </is>
      </c>
      <c r="C496" t="inlineStr">
        <is>
          <t>Föryngringsavverkning</t>
        </is>
      </c>
      <c r="D496" s="1" t="n">
        <v>44550</v>
      </c>
      <c r="E496" s="1" t="n">
        <v>46221</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9833-2024</t>
        </is>
      </c>
      <c r="B497" t="inlineStr">
        <is>
          <t>avverkningsanmälan</t>
        </is>
      </c>
      <c r="C497" t="inlineStr">
        <is>
          <t>Föryngringsavverkning</t>
        </is>
      </c>
      <c r="D497" s="1" t="n">
        <v>45363</v>
      </c>
      <c r="E497" s="1" t="n">
        <v>46221</v>
      </c>
      <c r="F497" t="inlineStr">
        <is>
          <t>NORRBOTTENS LÄN</t>
        </is>
      </c>
      <c r="G497" t="inlineStr">
        <is>
          <t>PITEÅ</t>
        </is>
      </c>
      <c r="H497" t="inlineStr">
        <is>
          <t>SCA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51655-2025</t>
        </is>
      </c>
      <c r="B498" t="inlineStr">
        <is>
          <t>avverkningsanmälan</t>
        </is>
      </c>
      <c r="C498" t="inlineStr">
        <is>
          <t>Föryngringsavverkning</t>
        </is>
      </c>
      <c r="D498" s="1" t="n">
        <v>45951</v>
      </c>
      <c r="E498" s="1" t="n">
        <v>46221</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11844-2024</t>
        </is>
      </c>
      <c r="B499" t="inlineStr">
        <is>
          <t>avverkningsanmälan</t>
        </is>
      </c>
      <c r="C499" t="inlineStr">
        <is>
          <t>Föryngringsavverkning</t>
        </is>
      </c>
      <c r="D499" s="1" t="n">
        <v>45376</v>
      </c>
      <c r="E499" s="1" t="n">
        <v>46221</v>
      </c>
      <c r="F499" t="inlineStr">
        <is>
          <t>NORRBOTTENS LÄN</t>
        </is>
      </c>
      <c r="G499" t="inlineStr">
        <is>
          <t>PITEÅ</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44713-2024</t>
        </is>
      </c>
      <c r="B500" t="inlineStr">
        <is>
          <t>avverkningsanmälan</t>
        </is>
      </c>
      <c r="C500" t="inlineStr">
        <is>
          <t>Föryngringsavverkning</t>
        </is>
      </c>
      <c r="D500" s="1" t="n">
        <v>45574</v>
      </c>
      <c r="E500" s="1" t="n">
        <v>46221</v>
      </c>
      <c r="F500" t="inlineStr">
        <is>
          <t>NORRBOTTENS LÄN</t>
        </is>
      </c>
      <c r="G500" t="inlineStr">
        <is>
          <t>PITEÅ</t>
        </is>
      </c>
      <c r="H500" t="inlineStr">
        <is>
          <t>SCA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44715-2024</t>
        </is>
      </c>
      <c r="B501" t="inlineStr">
        <is>
          <t>avverkningsanmälan</t>
        </is>
      </c>
      <c r="C501" t="inlineStr">
        <is>
          <t>Föryngringsavverkning</t>
        </is>
      </c>
      <c r="D501" s="1" t="n">
        <v>45574</v>
      </c>
      <c r="E501" s="1" t="n">
        <v>46221</v>
      </c>
      <c r="F501" t="inlineStr">
        <is>
          <t>NORRBOTTENS LÄN</t>
        </is>
      </c>
      <c r="G501" t="inlineStr">
        <is>
          <t>PITEÅ</t>
        </is>
      </c>
      <c r="H501" t="inlineStr">
        <is>
          <t>SCA</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34424-2023</t>
        </is>
      </c>
      <c r="B502" t="inlineStr">
        <is>
          <t>avverkningsanmälan</t>
        </is>
      </c>
      <c r="C502" t="inlineStr">
        <is>
          <t>Föryngringsavverkning</t>
        </is>
      </c>
      <c r="D502" s="1" t="n">
        <v>45139</v>
      </c>
      <c r="E502" s="1" t="n">
        <v>46221</v>
      </c>
      <c r="F502" t="inlineStr">
        <is>
          <t>NORRBOTTENS LÄN</t>
        </is>
      </c>
      <c r="G502" t="inlineStr">
        <is>
          <t>PITEÅ</t>
        </is>
      </c>
      <c r="I502" t="n">
        <v>4.7</v>
      </c>
      <c r="J502" t="n">
        <v>0</v>
      </c>
      <c r="K502" t="n">
        <v>0</v>
      </c>
      <c r="L502" t="n">
        <v>0</v>
      </c>
      <c r="M502" t="n">
        <v>0</v>
      </c>
      <c r="N502" t="n">
        <v>0</v>
      </c>
      <c r="O502" t="n">
        <v>0</v>
      </c>
      <c r="P502" t="n">
        <v>0</v>
      </c>
      <c r="Q502" t="n">
        <v>0</v>
      </c>
      <c r="R502" t="n">
        <v>0</v>
      </c>
      <c r="S502" t="n">
        <v>0</v>
      </c>
      <c r="T502" t="n">
        <v>0</v>
      </c>
      <c r="U502" s="2" t="inlineStr"/>
    </row>
    <row r="503" ht="15" customHeight="1">
      <c r="A503" t="inlineStr">
        <is>
          <t>A 58064-2023</t>
        </is>
      </c>
      <c r="B503" t="inlineStr">
        <is>
          <t>avverkningsanmälan</t>
        </is>
      </c>
      <c r="C503" t="inlineStr">
        <is>
          <t>Avverkning för annat ändamål</t>
        </is>
      </c>
      <c r="D503" s="1" t="n">
        <v>45247</v>
      </c>
      <c r="E503" s="1" t="n">
        <v>46221</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1301-2026</t>
        </is>
      </c>
      <c r="B504" t="inlineStr">
        <is>
          <t>avverkningsanmälan</t>
        </is>
      </c>
      <c r="C504" t="inlineStr">
        <is>
          <t>Föryngringsavverkning</t>
        </is>
      </c>
      <c r="D504" s="1" t="n">
        <v>46031</v>
      </c>
      <c r="E504" s="1" t="n">
        <v>46221</v>
      </c>
      <c r="F504" t="inlineStr">
        <is>
          <t>NORRBOTTENS LÄN</t>
        </is>
      </c>
      <c r="G504" t="inlineStr">
        <is>
          <t>PITEÅ</t>
        </is>
      </c>
      <c r="I504" t="n">
        <v>17.1</v>
      </c>
      <c r="J504" t="n">
        <v>0</v>
      </c>
      <c r="K504" t="n">
        <v>0</v>
      </c>
      <c r="L504" t="n">
        <v>0</v>
      </c>
      <c r="M504" t="n">
        <v>0</v>
      </c>
      <c r="N504" t="n">
        <v>0</v>
      </c>
      <c r="O504" t="n">
        <v>0</v>
      </c>
      <c r="P504" t="n">
        <v>0</v>
      </c>
      <c r="Q504" t="n">
        <v>0</v>
      </c>
      <c r="R504" t="n">
        <v>0</v>
      </c>
      <c r="S504" t="n">
        <v>0</v>
      </c>
      <c r="T504" t="n">
        <v>0</v>
      </c>
      <c r="U504" s="2" t="inlineStr"/>
    </row>
    <row r="505" ht="15" customHeight="1">
      <c r="A505" t="inlineStr">
        <is>
          <t>A 2103-2026</t>
        </is>
      </c>
      <c r="B505" t="inlineStr">
        <is>
          <t>avverkningsanmälan</t>
        </is>
      </c>
      <c r="C505" t="inlineStr">
        <is>
          <t>Föryngringsavverkning</t>
        </is>
      </c>
      <c r="D505" s="1" t="n">
        <v>46036</v>
      </c>
      <c r="E505" s="1" t="n">
        <v>46221</v>
      </c>
      <c r="F505" t="inlineStr">
        <is>
          <t>NORRBOTTENS LÄN</t>
        </is>
      </c>
      <c r="G505" t="inlineStr">
        <is>
          <t>PITEÅ</t>
        </is>
      </c>
      <c r="I505" t="n">
        <v>3.9</v>
      </c>
      <c r="J505" t="n">
        <v>0</v>
      </c>
      <c r="K505" t="n">
        <v>0</v>
      </c>
      <c r="L505" t="n">
        <v>0</v>
      </c>
      <c r="M505" t="n">
        <v>0</v>
      </c>
      <c r="N505" t="n">
        <v>0</v>
      </c>
      <c r="O505" t="n">
        <v>0</v>
      </c>
      <c r="P505" t="n">
        <v>0</v>
      </c>
      <c r="Q505" t="n">
        <v>0</v>
      </c>
      <c r="R505" t="n">
        <v>0</v>
      </c>
      <c r="S505" t="n">
        <v>0</v>
      </c>
      <c r="T505" t="n">
        <v>0</v>
      </c>
      <c r="U505" s="2" t="inlineStr"/>
    </row>
    <row r="506" ht="15" customHeight="1">
      <c r="A506" t="inlineStr">
        <is>
          <t>A 2139-2026</t>
        </is>
      </c>
      <c r="B506" t="inlineStr">
        <is>
          <t>avverkningsanmälan</t>
        </is>
      </c>
      <c r="C506" t="inlineStr">
        <is>
          <t>Föryngringsavverkning</t>
        </is>
      </c>
      <c r="D506" s="1" t="n">
        <v>46036</v>
      </c>
      <c r="E506" s="1" t="n">
        <v>46221</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15906-2025</t>
        </is>
      </c>
      <c r="B507" t="inlineStr">
        <is>
          <t>avverkningsanmälan</t>
        </is>
      </c>
      <c r="C507" t="inlineStr">
        <is>
          <t>Föryngringsavverkning</t>
        </is>
      </c>
      <c r="D507" s="1" t="n">
        <v>45749</v>
      </c>
      <c r="E507" s="1" t="n">
        <v>46221</v>
      </c>
      <c r="F507" t="inlineStr">
        <is>
          <t>NORRBOTTENS LÄN</t>
        </is>
      </c>
      <c r="G507" t="inlineStr">
        <is>
          <t>PITEÅ</t>
        </is>
      </c>
      <c r="I507" t="n">
        <v>11.1</v>
      </c>
      <c r="J507" t="n">
        <v>0</v>
      </c>
      <c r="K507" t="n">
        <v>0</v>
      </c>
      <c r="L507" t="n">
        <v>0</v>
      </c>
      <c r="M507" t="n">
        <v>0</v>
      </c>
      <c r="N507" t="n">
        <v>0</v>
      </c>
      <c r="O507" t="n">
        <v>0</v>
      </c>
      <c r="P507" t="n">
        <v>0</v>
      </c>
      <c r="Q507" t="n">
        <v>0</v>
      </c>
      <c r="R507" t="n">
        <v>0</v>
      </c>
      <c r="S507" t="n">
        <v>0</v>
      </c>
      <c r="T507" t="n">
        <v>0</v>
      </c>
      <c r="U507" s="2" t="inlineStr"/>
    </row>
    <row r="508" ht="15" customHeight="1">
      <c r="A508" t="inlineStr">
        <is>
          <t>A 2136-2026</t>
        </is>
      </c>
      <c r="B508" t="inlineStr">
        <is>
          <t>avverkningsanmälan</t>
        </is>
      </c>
      <c r="C508" t="inlineStr">
        <is>
          <t>Föryngringsavverkning</t>
        </is>
      </c>
      <c r="D508" s="1" t="n">
        <v>46036</v>
      </c>
      <c r="E508" s="1" t="n">
        <v>46221</v>
      </c>
      <c r="F508" t="inlineStr">
        <is>
          <t>NORRBOTTENS LÄN</t>
        </is>
      </c>
      <c r="G508" t="inlineStr">
        <is>
          <t>PITEÅ</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54859-2023</t>
        </is>
      </c>
      <c r="B509" t="inlineStr">
        <is>
          <t>avverkningsanmälan</t>
        </is>
      </c>
      <c r="C509" t="inlineStr">
        <is>
          <t>Föryngringsavverkning</t>
        </is>
      </c>
      <c r="D509" s="1" t="n">
        <v>45229</v>
      </c>
      <c r="E509" s="1" t="n">
        <v>46221</v>
      </c>
      <c r="F509" t="inlineStr">
        <is>
          <t>NORRBOTTENS LÄN</t>
        </is>
      </c>
      <c r="G509" t="inlineStr">
        <is>
          <t>PITEÅ</t>
        </is>
      </c>
      <c r="H509" t="inlineStr">
        <is>
          <t>Kommuner</t>
        </is>
      </c>
      <c r="I509" t="n">
        <v>10.7</v>
      </c>
      <c r="J509" t="n">
        <v>0</v>
      </c>
      <c r="K509" t="n">
        <v>0</v>
      </c>
      <c r="L509" t="n">
        <v>0</v>
      </c>
      <c r="M509" t="n">
        <v>0</v>
      </c>
      <c r="N509" t="n">
        <v>0</v>
      </c>
      <c r="O509" t="n">
        <v>0</v>
      </c>
      <c r="P509" t="n">
        <v>0</v>
      </c>
      <c r="Q509" t="n">
        <v>0</v>
      </c>
      <c r="R509" t="n">
        <v>0</v>
      </c>
      <c r="S509" t="n">
        <v>0</v>
      </c>
      <c r="T509" t="n">
        <v>0</v>
      </c>
      <c r="U509" s="2" t="inlineStr"/>
    </row>
    <row r="510" ht="15" customHeight="1">
      <c r="A510" t="inlineStr">
        <is>
          <t>A 16250-2026</t>
        </is>
      </c>
      <c r="B510" t="inlineStr">
        <is>
          <t>avverkningsanmälan</t>
        </is>
      </c>
      <c r="C510" t="inlineStr">
        <is>
          <t>Föryngringsavverkning</t>
        </is>
      </c>
      <c r="D510" s="1" t="n">
        <v>46111</v>
      </c>
      <c r="E510" s="1" t="n">
        <v>46221</v>
      </c>
      <c r="F510" t="inlineStr">
        <is>
          <t>NORRBOTTENS LÄN</t>
        </is>
      </c>
      <c r="G510" t="inlineStr">
        <is>
          <t>PITEÅ</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25835-2024</t>
        </is>
      </c>
      <c r="B511" t="inlineStr">
        <is>
          <t>avverkningsanmälan</t>
        </is>
      </c>
      <c r="C511" t="inlineStr">
        <is>
          <t>Föryngringsavverkning</t>
        </is>
      </c>
      <c r="D511" s="1" t="n">
        <v>45467</v>
      </c>
      <c r="E511" s="1" t="n">
        <v>46221</v>
      </c>
      <c r="F511" t="inlineStr">
        <is>
          <t>NORRBOTTENS LÄN</t>
        </is>
      </c>
      <c r="G511" t="inlineStr">
        <is>
          <t>PITEÅ</t>
        </is>
      </c>
      <c r="I511" t="n">
        <v>3.5</v>
      </c>
      <c r="J511" t="n">
        <v>0</v>
      </c>
      <c r="K511" t="n">
        <v>0</v>
      </c>
      <c r="L511" t="n">
        <v>0</v>
      </c>
      <c r="M511" t="n">
        <v>0</v>
      </c>
      <c r="N511" t="n">
        <v>0</v>
      </c>
      <c r="O511" t="n">
        <v>0</v>
      </c>
      <c r="P511" t="n">
        <v>0</v>
      </c>
      <c r="Q511" t="n">
        <v>0</v>
      </c>
      <c r="R511" t="n">
        <v>0</v>
      </c>
      <c r="S511" t="n">
        <v>0</v>
      </c>
      <c r="T511" t="n">
        <v>0</v>
      </c>
      <c r="U511" s="2" t="inlineStr"/>
    </row>
    <row r="512" ht="15" customHeight="1">
      <c r="A512" t="inlineStr">
        <is>
          <t>A 2783-2026</t>
        </is>
      </c>
      <c r="B512" t="inlineStr">
        <is>
          <t>avverkningsanmälan</t>
        </is>
      </c>
      <c r="C512" t="inlineStr">
        <is>
          <t>Föryngringsavverkning</t>
        </is>
      </c>
      <c r="D512" s="1" t="n">
        <v>46038</v>
      </c>
      <c r="E512" s="1" t="n">
        <v>46221</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69078-2021</t>
        </is>
      </c>
      <c r="B513" t="inlineStr">
        <is>
          <t>avverkningsanmälan</t>
        </is>
      </c>
      <c r="C513" t="inlineStr">
        <is>
          <t>Föryngringsavverkning</t>
        </is>
      </c>
      <c r="D513" s="1" t="n">
        <v>44529</v>
      </c>
      <c r="E513" s="1" t="n">
        <v>46221</v>
      </c>
      <c r="F513" t="inlineStr">
        <is>
          <t>NORRBOTTENS LÄN</t>
        </is>
      </c>
      <c r="G513" t="inlineStr">
        <is>
          <t>PITEÅ</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11971-2024</t>
        </is>
      </c>
      <c r="B514" t="inlineStr">
        <is>
          <t>avverkningsanmälan</t>
        </is>
      </c>
      <c r="C514" t="inlineStr">
        <is>
          <t>Föryngringsavverkning</t>
        </is>
      </c>
      <c r="D514" s="1" t="n">
        <v>45376</v>
      </c>
      <c r="E514" s="1" t="n">
        <v>46221</v>
      </c>
      <c r="F514" t="inlineStr">
        <is>
          <t>NORRBOTTENS LÄN</t>
        </is>
      </c>
      <c r="G514" t="inlineStr">
        <is>
          <t>PITEÅ</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4232-2024</t>
        </is>
      </c>
      <c r="B515" t="inlineStr">
        <is>
          <t>avverkningsanmälan</t>
        </is>
      </c>
      <c r="C515" t="inlineStr">
        <is>
          <t>Föryngringsavverkning</t>
        </is>
      </c>
      <c r="D515" s="1" t="n">
        <v>45324</v>
      </c>
      <c r="E515" s="1" t="n">
        <v>46221</v>
      </c>
      <c r="F515" t="inlineStr">
        <is>
          <t>NORRBOTTENS LÄN</t>
        </is>
      </c>
      <c r="G515" t="inlineStr">
        <is>
          <t>PITEÅ</t>
        </is>
      </c>
      <c r="H515" t="inlineStr">
        <is>
          <t>Sveaskog</t>
        </is>
      </c>
      <c r="I515" t="n">
        <v>11.1</v>
      </c>
      <c r="J515" t="n">
        <v>0</v>
      </c>
      <c r="K515" t="n">
        <v>0</v>
      </c>
      <c r="L515" t="n">
        <v>0</v>
      </c>
      <c r="M515" t="n">
        <v>0</v>
      </c>
      <c r="N515" t="n">
        <v>0</v>
      </c>
      <c r="O515" t="n">
        <v>0</v>
      </c>
      <c r="P515" t="n">
        <v>0</v>
      </c>
      <c r="Q515" t="n">
        <v>0</v>
      </c>
      <c r="R515" t="n">
        <v>0</v>
      </c>
      <c r="S515" t="n">
        <v>0</v>
      </c>
      <c r="T515" t="n">
        <v>0</v>
      </c>
      <c r="U515" s="2" t="inlineStr"/>
    </row>
    <row r="516" ht="15" customHeight="1">
      <c r="A516" t="inlineStr">
        <is>
          <t>A 2147-2026</t>
        </is>
      </c>
      <c r="B516" t="inlineStr">
        <is>
          <t>avverkningsanmälan</t>
        </is>
      </c>
      <c r="C516" t="inlineStr">
        <is>
          <t>Föryngringsavverkning</t>
        </is>
      </c>
      <c r="D516" s="1" t="n">
        <v>46036</v>
      </c>
      <c r="E516" s="1" t="n">
        <v>46221</v>
      </c>
      <c r="F516" t="inlineStr">
        <is>
          <t>NORRBOTTENS LÄN</t>
        </is>
      </c>
      <c r="G516" t="inlineStr">
        <is>
          <t>PITEÅ</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16253-2026</t>
        </is>
      </c>
      <c r="B517" t="inlineStr">
        <is>
          <t>avverkningsanmälan</t>
        </is>
      </c>
      <c r="C517" t="inlineStr">
        <is>
          <t>Föryngringsavverkning</t>
        </is>
      </c>
      <c r="D517" s="1" t="n">
        <v>46111</v>
      </c>
      <c r="E517" s="1" t="n">
        <v>46221</v>
      </c>
      <c r="F517" t="inlineStr">
        <is>
          <t>NORRBOTTENS LÄN</t>
        </is>
      </c>
      <c r="G517" t="inlineStr">
        <is>
          <t>PITEÅ</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56707-2024</t>
        </is>
      </c>
      <c r="B518" t="inlineStr">
        <is>
          <t>avverkningsanmälan</t>
        </is>
      </c>
      <c r="C518" t="inlineStr">
        <is>
          <t>Föryngringsavverkning</t>
        </is>
      </c>
      <c r="D518" s="1" t="n">
        <v>45627</v>
      </c>
      <c r="E518" s="1" t="n">
        <v>46221</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47446-2023</t>
        </is>
      </c>
      <c r="B519" t="inlineStr">
        <is>
          <t>avverkningsanmälan</t>
        </is>
      </c>
      <c r="C519" t="inlineStr">
        <is>
          <t>Föryngringsavverkning</t>
        </is>
      </c>
      <c r="D519" s="1" t="n">
        <v>45202</v>
      </c>
      <c r="E519" s="1" t="n">
        <v>46221</v>
      </c>
      <c r="F519" t="inlineStr">
        <is>
          <t>NORRBOTTENS LÄN</t>
        </is>
      </c>
      <c r="G519" t="inlineStr">
        <is>
          <t>PITEÅ</t>
        </is>
      </c>
      <c r="H519" t="inlineStr">
        <is>
          <t>Övriga Aktiebolag</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63224-2023</t>
        </is>
      </c>
      <c r="B520" t="inlineStr">
        <is>
          <t>avverkningsanmälan</t>
        </is>
      </c>
      <c r="C520" t="inlineStr">
        <is>
          <t>Föryngringsavverkning</t>
        </is>
      </c>
      <c r="D520" s="1" t="n">
        <v>45273</v>
      </c>
      <c r="E520" s="1" t="n">
        <v>46221</v>
      </c>
      <c r="F520" t="inlineStr">
        <is>
          <t>NORRBOTTENS LÄN</t>
        </is>
      </c>
      <c r="G520" t="inlineStr">
        <is>
          <t>PITEÅ</t>
        </is>
      </c>
      <c r="I520" t="n">
        <v>3.8</v>
      </c>
      <c r="J520" t="n">
        <v>0</v>
      </c>
      <c r="K520" t="n">
        <v>0</v>
      </c>
      <c r="L520" t="n">
        <v>0</v>
      </c>
      <c r="M520" t="n">
        <v>0</v>
      </c>
      <c r="N520" t="n">
        <v>0</v>
      </c>
      <c r="O520" t="n">
        <v>0</v>
      </c>
      <c r="P520" t="n">
        <v>0</v>
      </c>
      <c r="Q520" t="n">
        <v>0</v>
      </c>
      <c r="R520" t="n">
        <v>0</v>
      </c>
      <c r="S520" t="n">
        <v>0</v>
      </c>
      <c r="T520" t="n">
        <v>0</v>
      </c>
      <c r="U520" s="2" t="inlineStr"/>
    </row>
    <row r="521" ht="15" customHeight="1">
      <c r="A521" t="inlineStr">
        <is>
          <t>A 15469-2025</t>
        </is>
      </c>
      <c r="B521" t="inlineStr">
        <is>
          <t>avverkningsanmälan</t>
        </is>
      </c>
      <c r="C521" t="inlineStr">
        <is>
          <t>Föryngringsavverkning</t>
        </is>
      </c>
      <c r="D521" s="1" t="n">
        <v>45747</v>
      </c>
      <c r="E521" s="1" t="n">
        <v>46221</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55826-2023</t>
        </is>
      </c>
      <c r="B522" t="inlineStr">
        <is>
          <t>avverkningsanmälan</t>
        </is>
      </c>
      <c r="C522" t="inlineStr">
        <is>
          <t>Föryngringsavverkning</t>
        </is>
      </c>
      <c r="D522" s="1" t="n">
        <v>45239</v>
      </c>
      <c r="E522" s="1" t="n">
        <v>46221</v>
      </c>
      <c r="F522" t="inlineStr">
        <is>
          <t>NORRBOTTENS LÄN</t>
        </is>
      </c>
      <c r="G522" t="inlineStr">
        <is>
          <t>PITEÅ</t>
        </is>
      </c>
      <c r="I522" t="n">
        <v>9.300000000000001</v>
      </c>
      <c r="J522" t="n">
        <v>0</v>
      </c>
      <c r="K522" t="n">
        <v>0</v>
      </c>
      <c r="L522" t="n">
        <v>0</v>
      </c>
      <c r="M522" t="n">
        <v>0</v>
      </c>
      <c r="N522" t="n">
        <v>0</v>
      </c>
      <c r="O522" t="n">
        <v>0</v>
      </c>
      <c r="P522" t="n">
        <v>0</v>
      </c>
      <c r="Q522" t="n">
        <v>0</v>
      </c>
      <c r="R522" t="n">
        <v>0</v>
      </c>
      <c r="S522" t="n">
        <v>0</v>
      </c>
      <c r="T522" t="n">
        <v>0</v>
      </c>
      <c r="U522" s="2" t="inlineStr"/>
    </row>
    <row r="523" ht="15" customHeight="1">
      <c r="A523" t="inlineStr">
        <is>
          <t>A 17797-2026</t>
        </is>
      </c>
      <c r="B523" t="inlineStr">
        <is>
          <t>avverkningsanmälan</t>
        </is>
      </c>
      <c r="C523" t="inlineStr">
        <is>
          <t>Föryngringsavverkning</t>
        </is>
      </c>
      <c r="D523" s="1" t="n">
        <v>46122</v>
      </c>
      <c r="E523" s="1" t="n">
        <v>46221</v>
      </c>
      <c r="F523" t="inlineStr">
        <is>
          <t>NORRBOTTENS LÄN</t>
        </is>
      </c>
      <c r="G523" t="inlineStr">
        <is>
          <t>PITEÅ</t>
        </is>
      </c>
      <c r="I523" t="n">
        <v>5.2</v>
      </c>
      <c r="J523" t="n">
        <v>0</v>
      </c>
      <c r="K523" t="n">
        <v>0</v>
      </c>
      <c r="L523" t="n">
        <v>0</v>
      </c>
      <c r="M523" t="n">
        <v>0</v>
      </c>
      <c r="N523" t="n">
        <v>0</v>
      </c>
      <c r="O523" t="n">
        <v>0</v>
      </c>
      <c r="P523" t="n">
        <v>0</v>
      </c>
      <c r="Q523" t="n">
        <v>0</v>
      </c>
      <c r="R523" t="n">
        <v>0</v>
      </c>
      <c r="S523" t="n">
        <v>0</v>
      </c>
      <c r="T523" t="n">
        <v>0</v>
      </c>
      <c r="U523" s="2" t="inlineStr"/>
    </row>
    <row r="524" ht="15" customHeight="1">
      <c r="A524" t="inlineStr">
        <is>
          <t>A 18298-2026</t>
        </is>
      </c>
      <c r="B524" t="inlineStr">
        <is>
          <t>avverkningsanmälan</t>
        </is>
      </c>
      <c r="C524" t="inlineStr">
        <is>
          <t>Föryngringsavverkning</t>
        </is>
      </c>
      <c r="D524" s="1" t="n">
        <v>46126</v>
      </c>
      <c r="E524" s="1" t="n">
        <v>46221</v>
      </c>
      <c r="F524" t="inlineStr">
        <is>
          <t>NORRBOTTENS LÄN</t>
        </is>
      </c>
      <c r="G524" t="inlineStr">
        <is>
          <t>PITEÅ</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18307-2026</t>
        </is>
      </c>
      <c r="B525" t="inlineStr">
        <is>
          <t>avverkningsanmälan</t>
        </is>
      </c>
      <c r="C525" t="inlineStr">
        <is>
          <t>Föryngringsavverkning</t>
        </is>
      </c>
      <c r="D525" s="1" t="n">
        <v>46126</v>
      </c>
      <c r="E525" s="1" t="n">
        <v>46221</v>
      </c>
      <c r="F525" t="inlineStr">
        <is>
          <t>NORRBOTTENS LÄN</t>
        </is>
      </c>
      <c r="G525" t="inlineStr">
        <is>
          <t>PITEÅ</t>
        </is>
      </c>
      <c r="H525" t="inlineStr">
        <is>
          <t>Övriga Aktiebolag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31159-2024</t>
        </is>
      </c>
      <c r="B526" t="inlineStr">
        <is>
          <t>avverkningsanmälan</t>
        </is>
      </c>
      <c r="C526" t="inlineStr">
        <is>
          <t>Föryngringsavverkning</t>
        </is>
      </c>
      <c r="D526" s="1" t="n">
        <v>45503</v>
      </c>
      <c r="E526" s="1" t="n">
        <v>46221</v>
      </c>
      <c r="F526" t="inlineStr">
        <is>
          <t>NORRBOTTENS LÄN</t>
        </is>
      </c>
      <c r="G526" t="inlineStr">
        <is>
          <t>PITEÅ</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15607-2024</t>
        </is>
      </c>
      <c r="B527" t="inlineStr">
        <is>
          <t>avverkningsanmälan</t>
        </is>
      </c>
      <c r="C527" t="inlineStr">
        <is>
          <t>Föryngringsavverkning</t>
        </is>
      </c>
      <c r="D527" s="1" t="n">
        <v>45401</v>
      </c>
      <c r="E527" s="1" t="n">
        <v>46221</v>
      </c>
      <c r="F527" t="inlineStr">
        <is>
          <t>NORRBOTTENS LÄN</t>
        </is>
      </c>
      <c r="G527" t="inlineStr">
        <is>
          <t>PITEÅ</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34862-2024</t>
        </is>
      </c>
      <c r="B528" t="inlineStr">
        <is>
          <t>avverkningsanmälan</t>
        </is>
      </c>
      <c r="C528" t="inlineStr">
        <is>
          <t>Föryngringsavverkning</t>
        </is>
      </c>
      <c r="D528" s="1" t="n">
        <v>45527</v>
      </c>
      <c r="E528" s="1" t="n">
        <v>46221</v>
      </c>
      <c r="F528" t="inlineStr">
        <is>
          <t>NORRBOTTENS LÄN</t>
        </is>
      </c>
      <c r="G528" t="inlineStr">
        <is>
          <t>PITEÅ</t>
        </is>
      </c>
      <c r="H528" t="inlineStr">
        <is>
          <t>SCA</t>
        </is>
      </c>
      <c r="I528" t="n">
        <v>7.5</v>
      </c>
      <c r="J528" t="n">
        <v>0</v>
      </c>
      <c r="K528" t="n">
        <v>0</v>
      </c>
      <c r="L528" t="n">
        <v>0</v>
      </c>
      <c r="M528" t="n">
        <v>0</v>
      </c>
      <c r="N528" t="n">
        <v>0</v>
      </c>
      <c r="O528" t="n">
        <v>0</v>
      </c>
      <c r="P528" t="n">
        <v>0</v>
      </c>
      <c r="Q528" t="n">
        <v>0</v>
      </c>
      <c r="R528" t="n">
        <v>0</v>
      </c>
      <c r="S528" t="n">
        <v>0</v>
      </c>
      <c r="T528" t="n">
        <v>0</v>
      </c>
      <c r="U528" s="2" t="inlineStr"/>
    </row>
    <row r="529" ht="15" customHeight="1">
      <c r="A529" t="inlineStr">
        <is>
          <t>A 34922-2024</t>
        </is>
      </c>
      <c r="B529" t="inlineStr">
        <is>
          <t>avverkningsanmälan</t>
        </is>
      </c>
      <c r="C529" t="inlineStr">
        <is>
          <t>Föryngringsavverkning</t>
        </is>
      </c>
      <c r="D529" s="1" t="n">
        <v>45527</v>
      </c>
      <c r="E529" s="1" t="n">
        <v>46221</v>
      </c>
      <c r="F529" t="inlineStr">
        <is>
          <t>NORRBOTTENS LÄN</t>
        </is>
      </c>
      <c r="G529" t="inlineStr">
        <is>
          <t>PITEÅ</t>
        </is>
      </c>
      <c r="H529" t="inlineStr">
        <is>
          <t>Sveaskog</t>
        </is>
      </c>
      <c r="I529" t="n">
        <v>18.1</v>
      </c>
      <c r="J529" t="n">
        <v>0</v>
      </c>
      <c r="K529" t="n">
        <v>0</v>
      </c>
      <c r="L529" t="n">
        <v>0</v>
      </c>
      <c r="M529" t="n">
        <v>0</v>
      </c>
      <c r="N529" t="n">
        <v>0</v>
      </c>
      <c r="O529" t="n">
        <v>0</v>
      </c>
      <c r="P529" t="n">
        <v>0</v>
      </c>
      <c r="Q529" t="n">
        <v>0</v>
      </c>
      <c r="R529" t="n">
        <v>0</v>
      </c>
      <c r="S529" t="n">
        <v>0</v>
      </c>
      <c r="T529" t="n">
        <v>0</v>
      </c>
      <c r="U529" s="2" t="inlineStr"/>
    </row>
    <row r="530" ht="15" customHeight="1">
      <c r="A530" t="inlineStr">
        <is>
          <t>A 45329-2024</t>
        </is>
      </c>
      <c r="B530" t="inlineStr">
        <is>
          <t>avverkningsanmälan</t>
        </is>
      </c>
      <c r="C530" t="inlineStr">
        <is>
          <t>Föryngringsavverkning</t>
        </is>
      </c>
      <c r="D530" s="1" t="n">
        <v>45576</v>
      </c>
      <c r="E530" s="1" t="n">
        <v>46221</v>
      </c>
      <c r="F530" t="inlineStr">
        <is>
          <t>NORRBOTTENS LÄN</t>
        </is>
      </c>
      <c r="G530" t="inlineStr">
        <is>
          <t>PITEÅ</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37030-2022</t>
        </is>
      </c>
      <c r="B531" t="inlineStr">
        <is>
          <t>avverkningsanmälan</t>
        </is>
      </c>
      <c r="C531" t="inlineStr">
        <is>
          <t>Föryngringsavverkning</t>
        </is>
      </c>
      <c r="D531" s="1" t="n">
        <v>44806</v>
      </c>
      <c r="E531" s="1" t="n">
        <v>46221</v>
      </c>
      <c r="F531" t="inlineStr">
        <is>
          <t>NORRBOTTENS LÄN</t>
        </is>
      </c>
      <c r="G531" t="inlineStr">
        <is>
          <t>PITEÅ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19816-2026</t>
        </is>
      </c>
      <c r="B532" t="inlineStr">
        <is>
          <t>avverkningsanmälan</t>
        </is>
      </c>
      <c r="C532" t="inlineStr">
        <is>
          <t>Avverkning för annat ändamål</t>
        </is>
      </c>
      <c r="D532" s="1" t="n">
        <v>46135</v>
      </c>
      <c r="E532" s="1" t="n">
        <v>46221</v>
      </c>
      <c r="F532" t="inlineStr">
        <is>
          <t>NORRBOTTENS LÄN</t>
        </is>
      </c>
      <c r="G532" t="inlineStr">
        <is>
          <t>PITEÅ</t>
        </is>
      </c>
      <c r="H532" t="inlineStr">
        <is>
          <t>Sveaskog</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20121-2026</t>
        </is>
      </c>
      <c r="B533" t="inlineStr">
        <is>
          <t>avverkningsanmälan</t>
        </is>
      </c>
      <c r="C533" t="inlineStr">
        <is>
          <t>Föryngringsavverkning</t>
        </is>
      </c>
      <c r="D533" s="1" t="n">
        <v>46136</v>
      </c>
      <c r="E533" s="1" t="n">
        <v>46221</v>
      </c>
      <c r="F533" t="inlineStr">
        <is>
          <t>NORRBOTTENS LÄN</t>
        </is>
      </c>
      <c r="G533" t="inlineStr">
        <is>
          <t>PITEÅ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19847-2026</t>
        </is>
      </c>
      <c r="B534" t="inlineStr">
        <is>
          <t>avverkningsanmälan</t>
        </is>
      </c>
      <c r="C534" t="inlineStr">
        <is>
          <t>Föryngringsavverkning</t>
        </is>
      </c>
      <c r="D534" s="1" t="n">
        <v>46135</v>
      </c>
      <c r="E534" s="1" t="n">
        <v>46221</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19855-2026</t>
        </is>
      </c>
      <c r="B535" t="inlineStr">
        <is>
          <t>avverkningsanmälan</t>
        </is>
      </c>
      <c r="C535" t="inlineStr">
        <is>
          <t>Föryngringsavverkning</t>
        </is>
      </c>
      <c r="D535" s="1" t="n">
        <v>46135</v>
      </c>
      <c r="E535" s="1" t="n">
        <v>46221</v>
      </c>
      <c r="F535" t="inlineStr">
        <is>
          <t>NORRBOTTENS LÄN</t>
        </is>
      </c>
      <c r="G535" t="inlineStr">
        <is>
          <t>PITEÅ</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18057-2024</t>
        </is>
      </c>
      <c r="B536" t="inlineStr">
        <is>
          <t>avverkningsanmälan</t>
        </is>
      </c>
      <c r="C536" t="inlineStr">
        <is>
          <t>Föryngringsavverkning</t>
        </is>
      </c>
      <c r="D536" s="1" t="n">
        <v>45420</v>
      </c>
      <c r="E536" s="1" t="n">
        <v>46221</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41157-2024</t>
        </is>
      </c>
      <c r="B537" t="inlineStr">
        <is>
          <t>avverkningsanmälan</t>
        </is>
      </c>
      <c r="C537" t="inlineStr">
        <is>
          <t>Föryngringsavverkning</t>
        </is>
      </c>
      <c r="D537" s="1" t="n">
        <v>45559</v>
      </c>
      <c r="E537" s="1" t="n">
        <v>46221</v>
      </c>
      <c r="F537" t="inlineStr">
        <is>
          <t>NORRBOTTENS LÄN</t>
        </is>
      </c>
      <c r="G537" t="inlineStr">
        <is>
          <t>PITEÅ</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49520-2024</t>
        </is>
      </c>
      <c r="B538" t="inlineStr">
        <is>
          <t>avverkningsanmälan</t>
        </is>
      </c>
      <c r="C538" t="inlineStr">
        <is>
          <t>Föryngringsavverkning</t>
        </is>
      </c>
      <c r="D538" s="1" t="n">
        <v>45596</v>
      </c>
      <c r="E538" s="1" t="n">
        <v>46221</v>
      </c>
      <c r="F538" t="inlineStr">
        <is>
          <t>NORRBOTTENS LÄN</t>
        </is>
      </c>
      <c r="G538" t="inlineStr">
        <is>
          <t>PITEÅ</t>
        </is>
      </c>
      <c r="H538" t="inlineStr">
        <is>
          <t>Sveaskog</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28718-2024</t>
        </is>
      </c>
      <c r="B539" t="inlineStr">
        <is>
          <t>avverkningsanmälan</t>
        </is>
      </c>
      <c r="C539" t="inlineStr">
        <is>
          <t>Föryngringsavverkning</t>
        </is>
      </c>
      <c r="D539" s="1" t="n">
        <v>45478</v>
      </c>
      <c r="E539" s="1" t="n">
        <v>46221</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48624-2023</t>
        </is>
      </c>
      <c r="B540" t="inlineStr">
        <is>
          <t>avverkningsanmälan</t>
        </is>
      </c>
      <c r="C540" t="inlineStr">
        <is>
          <t>Föryngringsavverkning</t>
        </is>
      </c>
      <c r="D540" s="1" t="n">
        <v>45208</v>
      </c>
      <c r="E540" s="1" t="n">
        <v>46221</v>
      </c>
      <c r="F540" t="inlineStr">
        <is>
          <t>NORRBOTTENS LÄN</t>
        </is>
      </c>
      <c r="G540" t="inlineStr">
        <is>
          <t>PITEÅ</t>
        </is>
      </c>
      <c r="I540" t="n">
        <v>4.4</v>
      </c>
      <c r="J540" t="n">
        <v>0</v>
      </c>
      <c r="K540" t="n">
        <v>0</v>
      </c>
      <c r="L540" t="n">
        <v>0</v>
      </c>
      <c r="M540" t="n">
        <v>0</v>
      </c>
      <c r="N540" t="n">
        <v>0</v>
      </c>
      <c r="O540" t="n">
        <v>0</v>
      </c>
      <c r="P540" t="n">
        <v>0</v>
      </c>
      <c r="Q540" t="n">
        <v>0</v>
      </c>
      <c r="R540" t="n">
        <v>0</v>
      </c>
      <c r="S540" t="n">
        <v>0</v>
      </c>
      <c r="T540" t="n">
        <v>0</v>
      </c>
      <c r="U540" s="2" t="inlineStr"/>
    </row>
    <row r="541" ht="15" customHeight="1">
      <c r="A541" t="inlineStr">
        <is>
          <t>A 33863-2025</t>
        </is>
      </c>
      <c r="B541" t="inlineStr">
        <is>
          <t>avverkningsanmälan</t>
        </is>
      </c>
      <c r="C541" t="inlineStr">
        <is>
          <t>Föryngringsavverkning</t>
        </is>
      </c>
      <c r="D541" s="1" t="n">
        <v>45842</v>
      </c>
      <c r="E541" s="1" t="n">
        <v>46221</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41002-2025</t>
        </is>
      </c>
      <c r="B542" t="inlineStr">
        <is>
          <t>avverkningsanmälan</t>
        </is>
      </c>
      <c r="C542" t="inlineStr">
        <is>
          <t>Föryngringsavverkning</t>
        </is>
      </c>
      <c r="D542" s="1" t="n">
        <v>45898</v>
      </c>
      <c r="E542" s="1" t="n">
        <v>46221</v>
      </c>
      <c r="F542" t="inlineStr">
        <is>
          <t>NORRBOTTENS LÄN</t>
        </is>
      </c>
      <c r="G542" t="inlineStr">
        <is>
          <t>PITEÅ</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43911-2023</t>
        </is>
      </c>
      <c r="B543" t="inlineStr">
        <is>
          <t>avverkningsanmälan</t>
        </is>
      </c>
      <c r="C543" t="inlineStr">
        <is>
          <t>Föryngringsavverkning</t>
        </is>
      </c>
      <c r="D543" s="1" t="n">
        <v>45187</v>
      </c>
      <c r="E543" s="1" t="n">
        <v>46221</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60739-2024</t>
        </is>
      </c>
      <c r="B544" t="inlineStr">
        <is>
          <t>avverkningsanmälan</t>
        </is>
      </c>
      <c r="C544" t="inlineStr">
        <is>
          <t>Föryngringsavverkning</t>
        </is>
      </c>
      <c r="D544" s="1" t="n">
        <v>45644</v>
      </c>
      <c r="E544" s="1" t="n">
        <v>46221</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53751-2023</t>
        </is>
      </c>
      <c r="B545" t="inlineStr">
        <is>
          <t>avverkningsanmälan</t>
        </is>
      </c>
      <c r="C545" t="inlineStr">
        <is>
          <t>Föryngringsavverkning</t>
        </is>
      </c>
      <c r="D545" s="1" t="n">
        <v>45230</v>
      </c>
      <c r="E545" s="1" t="n">
        <v>46221</v>
      </c>
      <c r="F545" t="inlineStr">
        <is>
          <t>NORRBOTTENS LÄN</t>
        </is>
      </c>
      <c r="G545" t="inlineStr">
        <is>
          <t>PITEÅ</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59919-2024</t>
        </is>
      </c>
      <c r="B546" t="inlineStr">
        <is>
          <t>avverkningsanmälan</t>
        </is>
      </c>
      <c r="C546" t="inlineStr">
        <is>
          <t>Föryngringsavverkning</t>
        </is>
      </c>
      <c r="D546" s="1" t="n">
        <v>45641</v>
      </c>
      <c r="E546" s="1" t="n">
        <v>46221</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50438-2024</t>
        </is>
      </c>
      <c r="B547" t="inlineStr">
        <is>
          <t>avverkningsanmälan</t>
        </is>
      </c>
      <c r="C547" t="inlineStr">
        <is>
          <t>Föryngringsavverkning</t>
        </is>
      </c>
      <c r="D547" s="1" t="n">
        <v>45601</v>
      </c>
      <c r="E547" s="1" t="n">
        <v>46221</v>
      </c>
      <c r="F547" t="inlineStr">
        <is>
          <t>NORRBOTTENS LÄN</t>
        </is>
      </c>
      <c r="G547" t="inlineStr">
        <is>
          <t>PITEÅ</t>
        </is>
      </c>
      <c r="I547" t="n">
        <v>38.7</v>
      </c>
      <c r="J547" t="n">
        <v>0</v>
      </c>
      <c r="K547" t="n">
        <v>0</v>
      </c>
      <c r="L547" t="n">
        <v>0</v>
      </c>
      <c r="M547" t="n">
        <v>0</v>
      </c>
      <c r="N547" t="n">
        <v>0</v>
      </c>
      <c r="O547" t="n">
        <v>0</v>
      </c>
      <c r="P547" t="n">
        <v>0</v>
      </c>
      <c r="Q547" t="n">
        <v>0</v>
      </c>
      <c r="R547" t="n">
        <v>0</v>
      </c>
      <c r="S547" t="n">
        <v>0</v>
      </c>
      <c r="T547" t="n">
        <v>0</v>
      </c>
      <c r="U547" s="2" t="inlineStr"/>
    </row>
    <row r="548" ht="15" customHeight="1">
      <c r="A548" t="inlineStr">
        <is>
          <t>A 15803-2023</t>
        </is>
      </c>
      <c r="B548" t="inlineStr">
        <is>
          <t>avverkningsanmälan</t>
        </is>
      </c>
      <c r="C548" t="inlineStr">
        <is>
          <t>Föryngringsavverkning</t>
        </is>
      </c>
      <c r="D548" s="1" t="n">
        <v>45021</v>
      </c>
      <c r="E548" s="1" t="n">
        <v>46221</v>
      </c>
      <c r="F548" t="inlineStr">
        <is>
          <t>NORRBOTTENS LÄN</t>
        </is>
      </c>
      <c r="G548" t="inlineStr">
        <is>
          <t>PITEÅ</t>
        </is>
      </c>
      <c r="I548" t="n">
        <v>10.2</v>
      </c>
      <c r="J548" t="n">
        <v>0</v>
      </c>
      <c r="K548" t="n">
        <v>0</v>
      </c>
      <c r="L548" t="n">
        <v>0</v>
      </c>
      <c r="M548" t="n">
        <v>0</v>
      </c>
      <c r="N548" t="n">
        <v>0</v>
      </c>
      <c r="O548" t="n">
        <v>0</v>
      </c>
      <c r="P548" t="n">
        <v>0</v>
      </c>
      <c r="Q548" t="n">
        <v>0</v>
      </c>
      <c r="R548" t="n">
        <v>0</v>
      </c>
      <c r="S548" t="n">
        <v>0</v>
      </c>
      <c r="T548" t="n">
        <v>0</v>
      </c>
      <c r="U548" s="2" t="inlineStr"/>
    </row>
    <row r="549" ht="15" customHeight="1">
      <c r="A549" t="inlineStr">
        <is>
          <t>A 20649-2025</t>
        </is>
      </c>
      <c r="B549" t="inlineStr">
        <is>
          <t>avverkningsanmälan</t>
        </is>
      </c>
      <c r="C549" t="inlineStr">
        <is>
          <t>Föryngringsavverkning</t>
        </is>
      </c>
      <c r="D549" s="1" t="n">
        <v>45776</v>
      </c>
      <c r="E549" s="1" t="n">
        <v>46221</v>
      </c>
      <c r="F549" t="inlineStr">
        <is>
          <t>NORRBOTTENS LÄN</t>
        </is>
      </c>
      <c r="G549" t="inlineStr">
        <is>
          <t>PITEÅ</t>
        </is>
      </c>
      <c r="I549" t="n">
        <v>10.3</v>
      </c>
      <c r="J549" t="n">
        <v>0</v>
      </c>
      <c r="K549" t="n">
        <v>0</v>
      </c>
      <c r="L549" t="n">
        <v>0</v>
      </c>
      <c r="M549" t="n">
        <v>0</v>
      </c>
      <c r="N549" t="n">
        <v>0</v>
      </c>
      <c r="O549" t="n">
        <v>0</v>
      </c>
      <c r="P549" t="n">
        <v>0</v>
      </c>
      <c r="Q549" t="n">
        <v>0</v>
      </c>
      <c r="R549" t="n">
        <v>0</v>
      </c>
      <c r="S549" t="n">
        <v>0</v>
      </c>
      <c r="T549" t="n">
        <v>0</v>
      </c>
      <c r="U549" s="2" t="inlineStr"/>
    </row>
    <row r="550" ht="15" customHeight="1">
      <c r="A550" t="inlineStr">
        <is>
          <t>A 20448-2023</t>
        </is>
      </c>
      <c r="B550" t="inlineStr">
        <is>
          <t>avverkningsanmälan</t>
        </is>
      </c>
      <c r="C550" t="inlineStr">
        <is>
          <t>Föryngringsavverkning</t>
        </is>
      </c>
      <c r="D550" s="1" t="n">
        <v>45056</v>
      </c>
      <c r="E550" s="1" t="n">
        <v>46221</v>
      </c>
      <c r="F550" t="inlineStr">
        <is>
          <t>NORRBOTTENS LÄN</t>
        </is>
      </c>
      <c r="G550" t="inlineStr">
        <is>
          <t>PITEÅ</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20449-2023</t>
        </is>
      </c>
      <c r="B551" t="inlineStr">
        <is>
          <t>avverkningsanmälan</t>
        </is>
      </c>
      <c r="C551" t="inlineStr">
        <is>
          <t>Avverkning för annat ändamål</t>
        </is>
      </c>
      <c r="D551" s="1" t="n">
        <v>45056</v>
      </c>
      <c r="E551" s="1" t="n">
        <v>46221</v>
      </c>
      <c r="F551" t="inlineStr">
        <is>
          <t>NORRBOTTENS LÄN</t>
        </is>
      </c>
      <c r="G551" t="inlineStr">
        <is>
          <t>PITEÅ</t>
        </is>
      </c>
      <c r="I551" t="n">
        <v>8.6</v>
      </c>
      <c r="J551" t="n">
        <v>0</v>
      </c>
      <c r="K551" t="n">
        <v>0</v>
      </c>
      <c r="L551" t="n">
        <v>0</v>
      </c>
      <c r="M551" t="n">
        <v>0</v>
      </c>
      <c r="N551" t="n">
        <v>0</v>
      </c>
      <c r="O551" t="n">
        <v>0</v>
      </c>
      <c r="P551" t="n">
        <v>0</v>
      </c>
      <c r="Q551" t="n">
        <v>0</v>
      </c>
      <c r="R551" t="n">
        <v>0</v>
      </c>
      <c r="S551" t="n">
        <v>0</v>
      </c>
      <c r="T551" t="n">
        <v>0</v>
      </c>
      <c r="U551" s="2" t="inlineStr"/>
    </row>
    <row r="552" ht="15" customHeight="1">
      <c r="A552" t="inlineStr">
        <is>
          <t>A 20475-2026</t>
        </is>
      </c>
      <c r="B552" t="inlineStr">
        <is>
          <t>avverkningsanmälan</t>
        </is>
      </c>
      <c r="C552" t="inlineStr">
        <is>
          <t>Föryngringsavverkning</t>
        </is>
      </c>
      <c r="D552" s="1" t="n">
        <v>46140</v>
      </c>
      <c r="E552" s="1" t="n">
        <v>46221</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11809-2024</t>
        </is>
      </c>
      <c r="B553" t="inlineStr">
        <is>
          <t>avverkningsanmälan</t>
        </is>
      </c>
      <c r="C553" t="inlineStr">
        <is>
          <t>Föryngringsavverkning</t>
        </is>
      </c>
      <c r="D553" s="1" t="n">
        <v>45375</v>
      </c>
      <c r="E553" s="1" t="n">
        <v>46221</v>
      </c>
      <c r="F553" t="inlineStr">
        <is>
          <t>NORRBOTTENS LÄN</t>
        </is>
      </c>
      <c r="G553" t="inlineStr">
        <is>
          <t>PITEÅ</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18771-2023</t>
        </is>
      </c>
      <c r="B554" t="inlineStr">
        <is>
          <t>avverkningsanmälan</t>
        </is>
      </c>
      <c r="C554" t="inlineStr">
        <is>
          <t>Föryngringsavverkning</t>
        </is>
      </c>
      <c r="D554" s="1" t="n">
        <v>45043</v>
      </c>
      <c r="E554" s="1" t="n">
        <v>46221</v>
      </c>
      <c r="F554" t="inlineStr">
        <is>
          <t>NORRBOTTENS LÄN</t>
        </is>
      </c>
      <c r="G554" t="inlineStr">
        <is>
          <t>PITEÅ</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51642-2024</t>
        </is>
      </c>
      <c r="B555" t="inlineStr">
        <is>
          <t>avverkningsanmälan</t>
        </is>
      </c>
      <c r="C555" t="inlineStr">
        <is>
          <t>Föryngringsavverkning</t>
        </is>
      </c>
      <c r="D555" s="1" t="n">
        <v>45605</v>
      </c>
      <c r="E555" s="1" t="n">
        <v>46221</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s="2" t="inlineStr"/>
    </row>
    <row r="556" ht="15" customHeight="1">
      <c r="A556" t="inlineStr">
        <is>
          <t>A 45956-2025</t>
        </is>
      </c>
      <c r="B556" t="inlineStr">
        <is>
          <t>avverkningsanmälan</t>
        </is>
      </c>
      <c r="C556" t="inlineStr">
        <is>
          <t>Föryngringsavverkning</t>
        </is>
      </c>
      <c r="D556" s="1" t="n">
        <v>45924</v>
      </c>
      <c r="E556" s="1" t="n">
        <v>46221</v>
      </c>
      <c r="F556" t="inlineStr">
        <is>
          <t>NORRBOTTENS LÄN</t>
        </is>
      </c>
      <c r="G556" t="inlineStr">
        <is>
          <t>PITEÅ</t>
        </is>
      </c>
      <c r="H556" t="inlineStr">
        <is>
          <t>SCA</t>
        </is>
      </c>
      <c r="I556" t="n">
        <v>3</v>
      </c>
      <c r="J556" t="n">
        <v>0</v>
      </c>
      <c r="K556" t="n">
        <v>0</v>
      </c>
      <c r="L556" t="n">
        <v>0</v>
      </c>
      <c r="M556" t="n">
        <v>0</v>
      </c>
      <c r="N556" t="n">
        <v>0</v>
      </c>
      <c r="O556" t="n">
        <v>0</v>
      </c>
      <c r="P556" t="n">
        <v>0</v>
      </c>
      <c r="Q556" t="n">
        <v>0</v>
      </c>
      <c r="R556" t="n">
        <v>0</v>
      </c>
      <c r="S556" t="n">
        <v>0</v>
      </c>
      <c r="T556" t="n">
        <v>0</v>
      </c>
      <c r="U556" s="2" t="inlineStr"/>
    </row>
    <row r="557" ht="15" customHeight="1">
      <c r="A557" t="inlineStr">
        <is>
          <t>A 7459-2024</t>
        </is>
      </c>
      <c r="B557" t="inlineStr">
        <is>
          <t>avverkningsanmälan</t>
        </is>
      </c>
      <c r="C557" t="inlineStr">
        <is>
          <t>Föryngringsavverkning</t>
        </is>
      </c>
      <c r="D557" s="1" t="n">
        <v>45345</v>
      </c>
      <c r="E557" s="1" t="n">
        <v>46221</v>
      </c>
      <c r="F557" t="inlineStr">
        <is>
          <t>NORRBOTTENS LÄN</t>
        </is>
      </c>
      <c r="G557" t="inlineStr">
        <is>
          <t>PITEÅ</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48695-2025</t>
        </is>
      </c>
      <c r="B558" t="inlineStr">
        <is>
          <t>avverkningsanmälan</t>
        </is>
      </c>
      <c r="C558" t="inlineStr">
        <is>
          <t>Föryngringsavverkning</t>
        </is>
      </c>
      <c r="D558" s="1" t="n">
        <v>45936</v>
      </c>
      <c r="E558" s="1" t="n">
        <v>46221</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4096-2024</t>
        </is>
      </c>
      <c r="B559" t="inlineStr">
        <is>
          <t>avverkningsanmälan</t>
        </is>
      </c>
      <c r="C559" t="inlineStr">
        <is>
          <t>Föryngringsavverkning</t>
        </is>
      </c>
      <c r="D559" s="1" t="n">
        <v>45323</v>
      </c>
      <c r="E559" s="1" t="n">
        <v>46221</v>
      </c>
      <c r="F559" t="inlineStr">
        <is>
          <t>NORRBOTTENS LÄN</t>
        </is>
      </c>
      <c r="G559" t="inlineStr">
        <is>
          <t>PITEÅ</t>
        </is>
      </c>
      <c r="I559" t="n">
        <v>5</v>
      </c>
      <c r="J559" t="n">
        <v>0</v>
      </c>
      <c r="K559" t="n">
        <v>0</v>
      </c>
      <c r="L559" t="n">
        <v>0</v>
      </c>
      <c r="M559" t="n">
        <v>0</v>
      </c>
      <c r="N559" t="n">
        <v>0</v>
      </c>
      <c r="O559" t="n">
        <v>0</v>
      </c>
      <c r="P559" t="n">
        <v>0</v>
      </c>
      <c r="Q559" t="n">
        <v>0</v>
      </c>
      <c r="R559" t="n">
        <v>0</v>
      </c>
      <c r="S559" t="n">
        <v>0</v>
      </c>
      <c r="T559" t="n">
        <v>0</v>
      </c>
      <c r="U559" s="2" t="inlineStr"/>
    </row>
    <row r="560" ht="15" customHeight="1">
      <c r="A560" t="inlineStr">
        <is>
          <t>A 3870-2025</t>
        </is>
      </c>
      <c r="B560" t="inlineStr">
        <is>
          <t>avverkningsanmälan</t>
        </is>
      </c>
      <c r="C560" t="inlineStr">
        <is>
          <t>Föryngringsavverkning</t>
        </is>
      </c>
      <c r="D560" s="1" t="n">
        <v>45684</v>
      </c>
      <c r="E560" s="1" t="n">
        <v>46221</v>
      </c>
      <c r="F560" t="inlineStr">
        <is>
          <t>NORRBOTTENS LÄN</t>
        </is>
      </c>
      <c r="G560" t="inlineStr">
        <is>
          <t>PITEÅ</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58305-2025</t>
        </is>
      </c>
      <c r="B561" t="inlineStr">
        <is>
          <t>avverkningsanmälan</t>
        </is>
      </c>
      <c r="C561" t="inlineStr">
        <is>
          <t>Föryngringsavverkning</t>
        </is>
      </c>
      <c r="D561" s="1" t="n">
        <v>45985</v>
      </c>
      <c r="E561" s="1" t="n">
        <v>46221</v>
      </c>
      <c r="F561" t="inlineStr">
        <is>
          <t>NORRBOTTENS LÄN</t>
        </is>
      </c>
      <c r="G561" t="inlineStr">
        <is>
          <t>PITEÅ</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30809-2025</t>
        </is>
      </c>
      <c r="B562" t="inlineStr">
        <is>
          <t>avverkningsanmälan</t>
        </is>
      </c>
      <c r="C562" t="inlineStr">
        <is>
          <t>Föryngringsavverkning</t>
        </is>
      </c>
      <c r="D562" s="1" t="n">
        <v>45831</v>
      </c>
      <c r="E562" s="1" t="n">
        <v>46221</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53177-2025</t>
        </is>
      </c>
      <c r="B563" t="inlineStr">
        <is>
          <t>avverkningsanmälan</t>
        </is>
      </c>
      <c r="C563" t="inlineStr">
        <is>
          <t>Föryngringsavverkning</t>
        </is>
      </c>
      <c r="D563" s="1" t="n">
        <v>45958</v>
      </c>
      <c r="E563" s="1" t="n">
        <v>46221</v>
      </c>
      <c r="F563" t="inlineStr">
        <is>
          <t>NORRBOTTENS LÄN</t>
        </is>
      </c>
      <c r="G563" t="inlineStr">
        <is>
          <t>PITEÅ</t>
        </is>
      </c>
      <c r="I563" t="n">
        <v>16.7</v>
      </c>
      <c r="J563" t="n">
        <v>0</v>
      </c>
      <c r="K563" t="n">
        <v>0</v>
      </c>
      <c r="L563" t="n">
        <v>0</v>
      </c>
      <c r="M563" t="n">
        <v>0</v>
      </c>
      <c r="N563" t="n">
        <v>0</v>
      </c>
      <c r="O563" t="n">
        <v>0</v>
      </c>
      <c r="P563" t="n">
        <v>0</v>
      </c>
      <c r="Q563" t="n">
        <v>0</v>
      </c>
      <c r="R563" t="n">
        <v>0</v>
      </c>
      <c r="S563" t="n">
        <v>0</v>
      </c>
      <c r="T563" t="n">
        <v>0</v>
      </c>
      <c r="U563" s="2" t="inlineStr"/>
    </row>
    <row r="564" ht="15" customHeight="1">
      <c r="A564" t="inlineStr">
        <is>
          <t>A 55774-2025</t>
        </is>
      </c>
      <c r="B564" t="inlineStr">
        <is>
          <t>avverkningsanmälan</t>
        </is>
      </c>
      <c r="C564" t="inlineStr">
        <is>
          <t>Föryngringsavverkning</t>
        </is>
      </c>
      <c r="D564" s="1" t="n">
        <v>45972</v>
      </c>
      <c r="E564" s="1" t="n">
        <v>46221</v>
      </c>
      <c r="F564" t="inlineStr">
        <is>
          <t>NORRBOTTENS LÄN</t>
        </is>
      </c>
      <c r="G564" t="inlineStr">
        <is>
          <t>PITEÅ</t>
        </is>
      </c>
      <c r="I564" t="n">
        <v>13.2</v>
      </c>
      <c r="J564" t="n">
        <v>0</v>
      </c>
      <c r="K564" t="n">
        <v>0</v>
      </c>
      <c r="L564" t="n">
        <v>0</v>
      </c>
      <c r="M564" t="n">
        <v>0</v>
      </c>
      <c r="N564" t="n">
        <v>0</v>
      </c>
      <c r="O564" t="n">
        <v>0</v>
      </c>
      <c r="P564" t="n">
        <v>0</v>
      </c>
      <c r="Q564" t="n">
        <v>0</v>
      </c>
      <c r="R564" t="n">
        <v>0</v>
      </c>
      <c r="S564" t="n">
        <v>0</v>
      </c>
      <c r="T564" t="n">
        <v>0</v>
      </c>
      <c r="U564" s="2" t="inlineStr"/>
    </row>
    <row r="565" ht="15" customHeight="1">
      <c r="A565" t="inlineStr">
        <is>
          <t>A 479-2025</t>
        </is>
      </c>
      <c r="B565" t="inlineStr">
        <is>
          <t>avverkningsanmälan</t>
        </is>
      </c>
      <c r="C565" t="inlineStr">
        <is>
          <t>Föryngringsavverkning</t>
        </is>
      </c>
      <c r="D565" s="1" t="n">
        <v>45664</v>
      </c>
      <c r="E565" s="1" t="n">
        <v>46221</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15199-2022</t>
        </is>
      </c>
      <c r="B566" t="inlineStr">
        <is>
          <t>avverkningsanmälan</t>
        </is>
      </c>
      <c r="C566" t="inlineStr">
        <is>
          <t>Föryngringsavverkning</t>
        </is>
      </c>
      <c r="D566" s="1" t="n">
        <v>44658</v>
      </c>
      <c r="E566" s="1" t="n">
        <v>46221</v>
      </c>
      <c r="F566" t="inlineStr">
        <is>
          <t>NORRBOTTENS LÄN</t>
        </is>
      </c>
      <c r="G566" t="inlineStr">
        <is>
          <t>PITEÅ</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35917-2025</t>
        </is>
      </c>
      <c r="B567" t="inlineStr">
        <is>
          <t>avverkningsanmälan</t>
        </is>
      </c>
      <c r="C567" t="inlineStr">
        <is>
          <t>Föryngringsavverkning</t>
        </is>
      </c>
      <c r="D567" s="1" t="n">
        <v>45862</v>
      </c>
      <c r="E567" s="1" t="n">
        <v>46221</v>
      </c>
      <c r="F567" t="inlineStr">
        <is>
          <t>NORRBOTTENS LÄN</t>
        </is>
      </c>
      <c r="G567" t="inlineStr">
        <is>
          <t>PITEÅ</t>
        </is>
      </c>
      <c r="I567" t="n">
        <v>3.3</v>
      </c>
      <c r="J567" t="n">
        <v>0</v>
      </c>
      <c r="K567" t="n">
        <v>0</v>
      </c>
      <c r="L567" t="n">
        <v>0</v>
      </c>
      <c r="M567" t="n">
        <v>0</v>
      </c>
      <c r="N567" t="n">
        <v>0</v>
      </c>
      <c r="O567" t="n">
        <v>0</v>
      </c>
      <c r="P567" t="n">
        <v>0</v>
      </c>
      <c r="Q567" t="n">
        <v>0</v>
      </c>
      <c r="R567" t="n">
        <v>0</v>
      </c>
      <c r="S567" t="n">
        <v>0</v>
      </c>
      <c r="T567" t="n">
        <v>0</v>
      </c>
      <c r="U567" s="2" t="inlineStr"/>
    </row>
    <row r="568" ht="15" customHeight="1">
      <c r="A568" t="inlineStr">
        <is>
          <t>A 27689-2023</t>
        </is>
      </c>
      <c r="B568" t="inlineStr">
        <is>
          <t>avverkningsanmälan</t>
        </is>
      </c>
      <c r="C568" t="inlineStr">
        <is>
          <t>Föryngringsavverkning</t>
        </is>
      </c>
      <c r="D568" s="1" t="n">
        <v>45097</v>
      </c>
      <c r="E568" s="1" t="n">
        <v>46221</v>
      </c>
      <c r="F568" t="inlineStr">
        <is>
          <t>NORRBOTTENS LÄN</t>
        </is>
      </c>
      <c r="G568" t="inlineStr">
        <is>
          <t>PITEÅ</t>
        </is>
      </c>
      <c r="H568" t="inlineStr">
        <is>
          <t>SCA</t>
        </is>
      </c>
      <c r="I568" t="n">
        <v>5.5</v>
      </c>
      <c r="J568" t="n">
        <v>0</v>
      </c>
      <c r="K568" t="n">
        <v>0</v>
      </c>
      <c r="L568" t="n">
        <v>0</v>
      </c>
      <c r="M568" t="n">
        <v>0</v>
      </c>
      <c r="N568" t="n">
        <v>0</v>
      </c>
      <c r="O568" t="n">
        <v>0</v>
      </c>
      <c r="P568" t="n">
        <v>0</v>
      </c>
      <c r="Q568" t="n">
        <v>0</v>
      </c>
      <c r="R568" t="n">
        <v>0</v>
      </c>
      <c r="S568" t="n">
        <v>0</v>
      </c>
      <c r="T568" t="n">
        <v>0</v>
      </c>
      <c r="U568" s="2" t="inlineStr"/>
    </row>
    <row r="569" ht="15" customHeight="1">
      <c r="A569" t="inlineStr">
        <is>
          <t>A 50745-2025</t>
        </is>
      </c>
      <c r="B569" t="inlineStr">
        <is>
          <t>avverkningsanmälan</t>
        </is>
      </c>
      <c r="C569" t="inlineStr">
        <is>
          <t>Föryngringsavverkning</t>
        </is>
      </c>
      <c r="D569" s="1" t="n">
        <v>45946</v>
      </c>
      <c r="E569" s="1" t="n">
        <v>46221</v>
      </c>
      <c r="F569" t="inlineStr">
        <is>
          <t>NORRBOTTENS LÄN</t>
        </is>
      </c>
      <c r="G569" t="inlineStr">
        <is>
          <t>PITEÅ</t>
        </is>
      </c>
      <c r="I569" t="n">
        <v>3.1</v>
      </c>
      <c r="J569" t="n">
        <v>0</v>
      </c>
      <c r="K569" t="n">
        <v>0</v>
      </c>
      <c r="L569" t="n">
        <v>0</v>
      </c>
      <c r="M569" t="n">
        <v>0</v>
      </c>
      <c r="N569" t="n">
        <v>0</v>
      </c>
      <c r="O569" t="n">
        <v>0</v>
      </c>
      <c r="P569" t="n">
        <v>0</v>
      </c>
      <c r="Q569" t="n">
        <v>0</v>
      </c>
      <c r="R569" t="n">
        <v>0</v>
      </c>
      <c r="S569" t="n">
        <v>0</v>
      </c>
      <c r="T569" t="n">
        <v>0</v>
      </c>
      <c r="U569" s="2" t="inlineStr"/>
    </row>
    <row r="570" ht="15" customHeight="1">
      <c r="A570" t="inlineStr">
        <is>
          <t>A 48556-2025</t>
        </is>
      </c>
      <c r="B570" t="inlineStr">
        <is>
          <t>avverkningsanmälan</t>
        </is>
      </c>
      <c r="C570" t="inlineStr">
        <is>
          <t>Föryngringsavverkning</t>
        </is>
      </c>
      <c r="D570" s="1" t="n">
        <v>45936</v>
      </c>
      <c r="E570" s="1" t="n">
        <v>46221</v>
      </c>
      <c r="F570" t="inlineStr">
        <is>
          <t>NORRBOTTENS LÄN</t>
        </is>
      </c>
      <c r="G570" t="inlineStr">
        <is>
          <t>PITEÅ</t>
        </is>
      </c>
      <c r="I570" t="n">
        <v>8.1</v>
      </c>
      <c r="J570" t="n">
        <v>0</v>
      </c>
      <c r="K570" t="n">
        <v>0</v>
      </c>
      <c r="L570" t="n">
        <v>0</v>
      </c>
      <c r="M570" t="n">
        <v>0</v>
      </c>
      <c r="N570" t="n">
        <v>0</v>
      </c>
      <c r="O570" t="n">
        <v>0</v>
      </c>
      <c r="P570" t="n">
        <v>0</v>
      </c>
      <c r="Q570" t="n">
        <v>0</v>
      </c>
      <c r="R570" t="n">
        <v>0</v>
      </c>
      <c r="S570" t="n">
        <v>0</v>
      </c>
      <c r="T570" t="n">
        <v>0</v>
      </c>
      <c r="U570" s="2" t="inlineStr"/>
    </row>
    <row r="571" ht="15" customHeight="1">
      <c r="A571" t="inlineStr">
        <is>
          <t>A 18267-2022</t>
        </is>
      </c>
      <c r="B571" t="inlineStr">
        <is>
          <t>avverkningsanmälan</t>
        </is>
      </c>
      <c r="C571" t="inlineStr">
        <is>
          <t>Föryngringsavverkning</t>
        </is>
      </c>
      <c r="D571" s="1" t="n">
        <v>44685</v>
      </c>
      <c r="E571" s="1" t="n">
        <v>46221</v>
      </c>
      <c r="F571" t="inlineStr">
        <is>
          <t>NORRBOTTENS LÄN</t>
        </is>
      </c>
      <c r="G571" t="inlineStr">
        <is>
          <t>PITEÅ</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17944-2025</t>
        </is>
      </c>
      <c r="B572" t="inlineStr">
        <is>
          <t>avverkningsanmälan</t>
        </is>
      </c>
      <c r="C572" t="inlineStr">
        <is>
          <t>Föryngringsavverkning</t>
        </is>
      </c>
      <c r="D572" s="1" t="n">
        <v>45760</v>
      </c>
      <c r="E572" s="1" t="n">
        <v>46221</v>
      </c>
      <c r="F572" t="inlineStr">
        <is>
          <t>NORRBOTTENS LÄN</t>
        </is>
      </c>
      <c r="G572" t="inlineStr">
        <is>
          <t>PITEÅ</t>
        </is>
      </c>
      <c r="I572" t="n">
        <v>3.6</v>
      </c>
      <c r="J572" t="n">
        <v>0</v>
      </c>
      <c r="K572" t="n">
        <v>0</v>
      </c>
      <c r="L572" t="n">
        <v>0</v>
      </c>
      <c r="M572" t="n">
        <v>0</v>
      </c>
      <c r="N572" t="n">
        <v>0</v>
      </c>
      <c r="O572" t="n">
        <v>0</v>
      </c>
      <c r="P572" t="n">
        <v>0</v>
      </c>
      <c r="Q572" t="n">
        <v>0</v>
      </c>
      <c r="R572" t="n">
        <v>0</v>
      </c>
      <c r="S572" t="n">
        <v>0</v>
      </c>
      <c r="T572" t="n">
        <v>0</v>
      </c>
      <c r="U572" s="2" t="inlineStr"/>
    </row>
    <row r="573" ht="15" customHeight="1">
      <c r="A573" t="inlineStr">
        <is>
          <t>A 34880-2025</t>
        </is>
      </c>
      <c r="B573" t="inlineStr">
        <is>
          <t>avverkningsanmälan</t>
        </is>
      </c>
      <c r="C573" t="inlineStr">
        <is>
          <t>Föryngringsavverkning</t>
        </is>
      </c>
      <c r="D573" s="1" t="n">
        <v>45849</v>
      </c>
      <c r="E573" s="1" t="n">
        <v>46221</v>
      </c>
      <c r="F573" t="inlineStr">
        <is>
          <t>NORRBOTTENS LÄN</t>
        </is>
      </c>
      <c r="G573" t="inlineStr">
        <is>
          <t>PITEÅ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25989-2023</t>
        </is>
      </c>
      <c r="B574" t="inlineStr">
        <is>
          <t>avverkningsanmälan</t>
        </is>
      </c>
      <c r="C574" t="inlineStr">
        <is>
          <t>Föryngringsavverkning</t>
        </is>
      </c>
      <c r="D574" s="1" t="n">
        <v>45090</v>
      </c>
      <c r="E574" s="1" t="n">
        <v>46221</v>
      </c>
      <c r="F574" t="inlineStr">
        <is>
          <t>NORRBOTTENS LÄN</t>
        </is>
      </c>
      <c r="G574" t="inlineStr">
        <is>
          <t>PITEÅ</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4675-2025</t>
        </is>
      </c>
      <c r="B575" t="inlineStr">
        <is>
          <t>avverkningsanmälan</t>
        </is>
      </c>
      <c r="C575" t="inlineStr">
        <is>
          <t>Föryngringsavverkning</t>
        </is>
      </c>
      <c r="D575" s="1" t="n">
        <v>45687</v>
      </c>
      <c r="E575" s="1" t="n">
        <v>46221</v>
      </c>
      <c r="F575" t="inlineStr">
        <is>
          <t>NORRBOTTENS LÄN</t>
        </is>
      </c>
      <c r="G575" t="inlineStr">
        <is>
          <t>PITEÅ</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1568-2026</t>
        </is>
      </c>
      <c r="B576" t="inlineStr">
        <is>
          <t>avverkningsanmälan</t>
        </is>
      </c>
      <c r="C576" t="inlineStr">
        <is>
          <t>Föryngringsavverkning</t>
        </is>
      </c>
      <c r="D576" s="1" t="n">
        <v>46034</v>
      </c>
      <c r="E576" s="1" t="n">
        <v>46221</v>
      </c>
      <c r="F576" t="inlineStr">
        <is>
          <t>NORRBOTTENS LÄN</t>
        </is>
      </c>
      <c r="G576" t="inlineStr">
        <is>
          <t>PITEÅ</t>
        </is>
      </c>
      <c r="I576" t="n">
        <v>26.4</v>
      </c>
      <c r="J576" t="n">
        <v>0</v>
      </c>
      <c r="K576" t="n">
        <v>0</v>
      </c>
      <c r="L576" t="n">
        <v>0</v>
      </c>
      <c r="M576" t="n">
        <v>0</v>
      </c>
      <c r="N576" t="n">
        <v>0</v>
      </c>
      <c r="O576" t="n">
        <v>0</v>
      </c>
      <c r="P576" t="n">
        <v>0</v>
      </c>
      <c r="Q576" t="n">
        <v>0</v>
      </c>
      <c r="R576" t="n">
        <v>0</v>
      </c>
      <c r="S576" t="n">
        <v>0</v>
      </c>
      <c r="T576" t="n">
        <v>0</v>
      </c>
      <c r="U576" s="2" t="inlineStr"/>
    </row>
    <row r="577" ht="15" customHeight="1">
      <c r="A577" t="inlineStr">
        <is>
          <t>A 50329-2024</t>
        </is>
      </c>
      <c r="B577" t="inlineStr">
        <is>
          <t>avverkningsanmälan</t>
        </is>
      </c>
      <c r="C577" t="inlineStr">
        <is>
          <t>Föryngringsavverkning</t>
        </is>
      </c>
      <c r="D577" s="1" t="n">
        <v>45600</v>
      </c>
      <c r="E577" s="1" t="n">
        <v>46221</v>
      </c>
      <c r="F577" t="inlineStr">
        <is>
          <t>NORRBOTTENS LÄN</t>
        </is>
      </c>
      <c r="G577" t="inlineStr">
        <is>
          <t>PITEÅ</t>
        </is>
      </c>
      <c r="H577" t="inlineStr">
        <is>
          <t>Sveaskog</t>
        </is>
      </c>
      <c r="I577" t="n">
        <v>9</v>
      </c>
      <c r="J577" t="n">
        <v>0</v>
      </c>
      <c r="K577" t="n">
        <v>0</v>
      </c>
      <c r="L577" t="n">
        <v>0</v>
      </c>
      <c r="M577" t="n">
        <v>0</v>
      </c>
      <c r="N577" t="n">
        <v>0</v>
      </c>
      <c r="O577" t="n">
        <v>0</v>
      </c>
      <c r="P577" t="n">
        <v>0</v>
      </c>
      <c r="Q577" t="n">
        <v>0</v>
      </c>
      <c r="R577" t="n">
        <v>0</v>
      </c>
      <c r="S577" t="n">
        <v>0</v>
      </c>
      <c r="T577" t="n">
        <v>0</v>
      </c>
      <c r="U577" s="2" t="inlineStr"/>
    </row>
    <row r="578" ht="15" customHeight="1">
      <c r="A578" t="inlineStr">
        <is>
          <t>A 44076-2023</t>
        </is>
      </c>
      <c r="B578" t="inlineStr">
        <is>
          <t>avverkningsanmälan</t>
        </is>
      </c>
      <c r="C578" t="inlineStr">
        <is>
          <t>Föryngringsavverkning</t>
        </is>
      </c>
      <c r="D578" s="1" t="n">
        <v>45188</v>
      </c>
      <c r="E578" s="1" t="n">
        <v>46221</v>
      </c>
      <c r="F578" t="inlineStr">
        <is>
          <t>NORRBOTTENS LÄN</t>
        </is>
      </c>
      <c r="G578" t="inlineStr">
        <is>
          <t>PITEÅ</t>
        </is>
      </c>
      <c r="H578" t="inlineStr">
        <is>
          <t>Sveaskog</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55812-2023</t>
        </is>
      </c>
      <c r="B579" t="inlineStr">
        <is>
          <t>avverkningsanmälan</t>
        </is>
      </c>
      <c r="C579" t="inlineStr">
        <is>
          <t>Föryngringsavverkning</t>
        </is>
      </c>
      <c r="D579" s="1" t="n">
        <v>45239</v>
      </c>
      <c r="E579" s="1" t="n">
        <v>46221</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46213-2025</t>
        </is>
      </c>
      <c r="B580" t="inlineStr">
        <is>
          <t>avverkningsanmälan</t>
        </is>
      </c>
      <c r="C580" t="inlineStr">
        <is>
          <t>Föryngringsavverkning</t>
        </is>
      </c>
      <c r="D580" s="1" t="n">
        <v>45924</v>
      </c>
      <c r="E580" s="1" t="n">
        <v>46221</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9152-2025</t>
        </is>
      </c>
      <c r="B581" t="inlineStr">
        <is>
          <t>avverkningsanmälan</t>
        </is>
      </c>
      <c r="C581" t="inlineStr">
        <is>
          <t>Föryngringsavverkning</t>
        </is>
      </c>
      <c r="D581" s="1" t="n">
        <v>45714</v>
      </c>
      <c r="E581" s="1" t="n">
        <v>46221</v>
      </c>
      <c r="F581" t="inlineStr">
        <is>
          <t>NORRBOTTENS LÄN</t>
        </is>
      </c>
      <c r="G581" t="inlineStr">
        <is>
          <t>PITEÅ</t>
        </is>
      </c>
      <c r="I581" t="n">
        <v>14.9</v>
      </c>
      <c r="J581" t="n">
        <v>0</v>
      </c>
      <c r="K581" t="n">
        <v>0</v>
      </c>
      <c r="L581" t="n">
        <v>0</v>
      </c>
      <c r="M581" t="n">
        <v>0</v>
      </c>
      <c r="N581" t="n">
        <v>0</v>
      </c>
      <c r="O581" t="n">
        <v>0</v>
      </c>
      <c r="P581" t="n">
        <v>0</v>
      </c>
      <c r="Q581" t="n">
        <v>0</v>
      </c>
      <c r="R581" t="n">
        <v>0</v>
      </c>
      <c r="S581" t="n">
        <v>0</v>
      </c>
      <c r="T581" t="n">
        <v>0</v>
      </c>
      <c r="U581" s="2" t="inlineStr"/>
    </row>
    <row r="582" ht="15" customHeight="1">
      <c r="A582" t="inlineStr">
        <is>
          <t>A 7769-2025</t>
        </is>
      </c>
      <c r="B582" t="inlineStr">
        <is>
          <t>avverkningsanmälan</t>
        </is>
      </c>
      <c r="C582" t="inlineStr">
        <is>
          <t>Föryngringsavverkning</t>
        </is>
      </c>
      <c r="D582" s="1" t="n">
        <v>45706</v>
      </c>
      <c r="E582" s="1" t="n">
        <v>46221</v>
      </c>
      <c r="F582" t="inlineStr">
        <is>
          <t>NORRBOTTENS LÄN</t>
        </is>
      </c>
      <c r="G582" t="inlineStr">
        <is>
          <t>PITEÅ</t>
        </is>
      </c>
      <c r="H582" t="inlineStr">
        <is>
          <t>Övriga Aktiebolag</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55631-2023</t>
        </is>
      </c>
      <c r="B583" t="inlineStr">
        <is>
          <t>avverkningsanmälan</t>
        </is>
      </c>
      <c r="C583" t="inlineStr">
        <is>
          <t>Föryngringsavverkning</t>
        </is>
      </c>
      <c r="D583" s="1" t="n">
        <v>45238</v>
      </c>
      <c r="E583" s="1" t="n">
        <v>46221</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30459-2025</t>
        </is>
      </c>
      <c r="B584" t="inlineStr">
        <is>
          <t>avverkningsanmälan</t>
        </is>
      </c>
      <c r="C584" t="inlineStr">
        <is>
          <t>Föryngringsavverkning</t>
        </is>
      </c>
      <c r="D584" s="1" t="n">
        <v>45827</v>
      </c>
      <c r="E584" s="1" t="n">
        <v>46221</v>
      </c>
      <c r="F584" t="inlineStr">
        <is>
          <t>NORRBOTTENS LÄN</t>
        </is>
      </c>
      <c r="G584" t="inlineStr">
        <is>
          <t>PITEÅ</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31453-2025</t>
        </is>
      </c>
      <c r="B585" t="inlineStr">
        <is>
          <t>avverkningsanmälan</t>
        </is>
      </c>
      <c r="C585" t="inlineStr">
        <is>
          <t>Föryngringsavverkning</t>
        </is>
      </c>
      <c r="D585" s="1" t="n">
        <v>45833</v>
      </c>
      <c r="E585" s="1" t="n">
        <v>46221</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40088-2025</t>
        </is>
      </c>
      <c r="B586" t="inlineStr">
        <is>
          <t>avverkningsanmälan</t>
        </is>
      </c>
      <c r="C586" t="inlineStr">
        <is>
          <t>Föryngringsavverkning</t>
        </is>
      </c>
      <c r="D586" s="1" t="n">
        <v>45894</v>
      </c>
      <c r="E586" s="1" t="n">
        <v>46221</v>
      </c>
      <c r="F586" t="inlineStr">
        <is>
          <t>NORRBOTTENS LÄN</t>
        </is>
      </c>
      <c r="G586" t="inlineStr">
        <is>
          <t>PITEÅ</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34617-2023</t>
        </is>
      </c>
      <c r="B587" t="inlineStr">
        <is>
          <t>avverkningsanmälan</t>
        </is>
      </c>
      <c r="C587" t="inlineStr">
        <is>
          <t>Föryngringsavverkning</t>
        </is>
      </c>
      <c r="D587" s="1" t="n">
        <v>45138</v>
      </c>
      <c r="E587" s="1" t="n">
        <v>46221</v>
      </c>
      <c r="F587" t="inlineStr">
        <is>
          <t>NORRBOTTENS LÄN</t>
        </is>
      </c>
      <c r="G587" t="inlineStr">
        <is>
          <t>PITEÅ</t>
        </is>
      </c>
      <c r="I587" t="n">
        <v>10.1</v>
      </c>
      <c r="J587" t="n">
        <v>0</v>
      </c>
      <c r="K587" t="n">
        <v>0</v>
      </c>
      <c r="L587" t="n">
        <v>0</v>
      </c>
      <c r="M587" t="n">
        <v>0</v>
      </c>
      <c r="N587" t="n">
        <v>0</v>
      </c>
      <c r="O587" t="n">
        <v>0</v>
      </c>
      <c r="P587" t="n">
        <v>0</v>
      </c>
      <c r="Q587" t="n">
        <v>0</v>
      </c>
      <c r="R587" t="n">
        <v>0</v>
      </c>
      <c r="S587" t="n">
        <v>0</v>
      </c>
      <c r="T587" t="n">
        <v>0</v>
      </c>
      <c r="U587" s="2" t="inlineStr"/>
    </row>
    <row r="588" ht="15" customHeight="1">
      <c r="A588" t="inlineStr">
        <is>
          <t>A 24304-2025</t>
        </is>
      </c>
      <c r="B588" t="inlineStr">
        <is>
          <t>avverkningsanmälan</t>
        </is>
      </c>
      <c r="C588" t="inlineStr">
        <is>
          <t>Föryngringsavverkning</t>
        </is>
      </c>
      <c r="D588" s="1" t="n">
        <v>45797</v>
      </c>
      <c r="E588" s="1" t="n">
        <v>46221</v>
      </c>
      <c r="F588" t="inlineStr">
        <is>
          <t>NORRBOTTENS LÄN</t>
        </is>
      </c>
      <c r="G588" t="inlineStr">
        <is>
          <t>PITEÅ</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42685-2025</t>
        </is>
      </c>
      <c r="B589" t="inlineStr">
        <is>
          <t>avverkningsanmälan</t>
        </is>
      </c>
      <c r="C589" t="inlineStr">
        <is>
          <t>Föryngringsavverkning</t>
        </is>
      </c>
      <c r="D589" s="1" t="n">
        <v>45908</v>
      </c>
      <c r="E589" s="1" t="n">
        <v>46221</v>
      </c>
      <c r="F589" t="inlineStr">
        <is>
          <t>NORRBOTTENS LÄN</t>
        </is>
      </c>
      <c r="G589" t="inlineStr">
        <is>
          <t>PITEÅ</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14871-2022</t>
        </is>
      </c>
      <c r="B590" t="inlineStr">
        <is>
          <t>avverkningsanmälan</t>
        </is>
      </c>
      <c r="C590" t="inlineStr">
        <is>
          <t>Föryngringsavverkning</t>
        </is>
      </c>
      <c r="D590" s="1" t="n">
        <v>44656</v>
      </c>
      <c r="E590" s="1" t="n">
        <v>46221</v>
      </c>
      <c r="F590" t="inlineStr">
        <is>
          <t>NORRBOTTENS LÄN</t>
        </is>
      </c>
      <c r="G590" t="inlineStr">
        <is>
          <t>PITEÅ</t>
        </is>
      </c>
      <c r="I590" t="n">
        <v>1.9</v>
      </c>
      <c r="J590" t="n">
        <v>0</v>
      </c>
      <c r="K590" t="n">
        <v>0</v>
      </c>
      <c r="L590" t="n">
        <v>0</v>
      </c>
      <c r="M590" t="n">
        <v>0</v>
      </c>
      <c r="N590" t="n">
        <v>0</v>
      </c>
      <c r="O590" t="n">
        <v>0</v>
      </c>
      <c r="P590" t="n">
        <v>0</v>
      </c>
      <c r="Q590" t="n">
        <v>0</v>
      </c>
      <c r="R590" t="n">
        <v>0</v>
      </c>
      <c r="S590" t="n">
        <v>0</v>
      </c>
      <c r="T590" t="n">
        <v>0</v>
      </c>
      <c r="U590" s="2" t="inlineStr"/>
    </row>
    <row r="591" ht="15" customHeight="1">
      <c r="A591" t="inlineStr">
        <is>
          <t>A 34797-2025</t>
        </is>
      </c>
      <c r="B591" t="inlineStr">
        <is>
          <t>avverkningsanmälan</t>
        </is>
      </c>
      <c r="C591" t="inlineStr">
        <is>
          <t>Föryngringsavverkning</t>
        </is>
      </c>
      <c r="D591" s="1" t="n">
        <v>45848</v>
      </c>
      <c r="E591" s="1" t="n">
        <v>46221</v>
      </c>
      <c r="F591" t="inlineStr">
        <is>
          <t>NORRBOTTENS LÄN</t>
        </is>
      </c>
      <c r="G591" t="inlineStr">
        <is>
          <t>PITEÅ</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597-2025</t>
        </is>
      </c>
      <c r="B592" t="inlineStr">
        <is>
          <t>avverkningsanmälan</t>
        </is>
      </c>
      <c r="C592" t="inlineStr">
        <is>
          <t>Föryngringsavverkning</t>
        </is>
      </c>
      <c r="D592" s="1" t="n">
        <v>45664</v>
      </c>
      <c r="E592" s="1" t="n">
        <v>46221</v>
      </c>
      <c r="F592" t="inlineStr">
        <is>
          <t>NORRBOTTENS LÄN</t>
        </is>
      </c>
      <c r="G592" t="inlineStr">
        <is>
          <t>PITEÅ</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11018-2024</t>
        </is>
      </c>
      <c r="B593" t="inlineStr">
        <is>
          <t>avverkningsanmälan</t>
        </is>
      </c>
      <c r="C593" t="inlineStr">
        <is>
          <t>Föryngringsavverkning</t>
        </is>
      </c>
      <c r="D593" s="1" t="n">
        <v>45370</v>
      </c>
      <c r="E593" s="1" t="n">
        <v>46221</v>
      </c>
      <c r="F593" t="inlineStr">
        <is>
          <t>NORRBOTTENS LÄN</t>
        </is>
      </c>
      <c r="G593" t="inlineStr">
        <is>
          <t>PITEÅ</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41474-2025</t>
        </is>
      </c>
      <c r="B594" t="inlineStr">
        <is>
          <t>avverkningsanmälan</t>
        </is>
      </c>
      <c r="C594" t="inlineStr">
        <is>
          <t>Föryngringsavverkning</t>
        </is>
      </c>
      <c r="D594" s="1" t="n">
        <v>45901</v>
      </c>
      <c r="E594" s="1" t="n">
        <v>46221</v>
      </c>
      <c r="F594" t="inlineStr">
        <is>
          <t>NORRBOTTENS LÄN</t>
        </is>
      </c>
      <c r="G594" t="inlineStr">
        <is>
          <t>PITEÅ</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28678-2025</t>
        </is>
      </c>
      <c r="B595" t="inlineStr">
        <is>
          <t>avverkningsanmälan</t>
        </is>
      </c>
      <c r="C595" t="inlineStr">
        <is>
          <t>Föryngringsavverkning</t>
        </is>
      </c>
      <c r="D595" s="1" t="n">
        <v>45819</v>
      </c>
      <c r="E595" s="1" t="n">
        <v>46221</v>
      </c>
      <c r="F595" t="inlineStr">
        <is>
          <t>NORRBOTTENS LÄN</t>
        </is>
      </c>
      <c r="G595" t="inlineStr">
        <is>
          <t>PITEÅ</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59969-2024</t>
        </is>
      </c>
      <c r="B596" t="inlineStr">
        <is>
          <t>avverkningsanmälan</t>
        </is>
      </c>
      <c r="C596" t="inlineStr">
        <is>
          <t>Föryngringsavverkning</t>
        </is>
      </c>
      <c r="D596" s="1" t="n">
        <v>45642</v>
      </c>
      <c r="E596" s="1" t="n">
        <v>46221</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28715-2024</t>
        </is>
      </c>
      <c r="B597" t="inlineStr">
        <is>
          <t>avverkningsanmälan</t>
        </is>
      </c>
      <c r="C597" t="inlineStr">
        <is>
          <t>Föryngringsavverkning</t>
        </is>
      </c>
      <c r="D597" s="1" t="n">
        <v>45478</v>
      </c>
      <c r="E597" s="1" t="n">
        <v>46221</v>
      </c>
      <c r="F597" t="inlineStr">
        <is>
          <t>NORRBOTTENS LÄN</t>
        </is>
      </c>
      <c r="G597" t="inlineStr">
        <is>
          <t>PITEÅ</t>
        </is>
      </c>
      <c r="I597" t="n">
        <v>4.9</v>
      </c>
      <c r="J597" t="n">
        <v>0</v>
      </c>
      <c r="K597" t="n">
        <v>0</v>
      </c>
      <c r="L597" t="n">
        <v>0</v>
      </c>
      <c r="M597" t="n">
        <v>0</v>
      </c>
      <c r="N597" t="n">
        <v>0</v>
      </c>
      <c r="O597" t="n">
        <v>0</v>
      </c>
      <c r="P597" t="n">
        <v>0</v>
      </c>
      <c r="Q597" t="n">
        <v>0</v>
      </c>
      <c r="R597" t="n">
        <v>0</v>
      </c>
      <c r="S597" t="n">
        <v>0</v>
      </c>
      <c r="T597" t="n">
        <v>0</v>
      </c>
      <c r="U597" s="2" t="inlineStr"/>
    </row>
    <row r="598" ht="15" customHeight="1">
      <c r="A598" t="inlineStr">
        <is>
          <t>A 54334-2025</t>
        </is>
      </c>
      <c r="B598" t="inlineStr">
        <is>
          <t>avverkningsanmälan</t>
        </is>
      </c>
      <c r="C598" t="inlineStr">
        <is>
          <t>Föryngringsavverkning</t>
        </is>
      </c>
      <c r="D598" s="1" t="n">
        <v>45965</v>
      </c>
      <c r="E598" s="1" t="n">
        <v>46221</v>
      </c>
      <c r="F598" t="inlineStr">
        <is>
          <t>NORRBOTTENS LÄN</t>
        </is>
      </c>
      <c r="G598" t="inlineStr">
        <is>
          <t>PITEÅ</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27896-2023</t>
        </is>
      </c>
      <c r="B599" t="inlineStr">
        <is>
          <t>avverkningsanmälan</t>
        </is>
      </c>
      <c r="C599" t="inlineStr">
        <is>
          <t>Föryngringsavverkning</t>
        </is>
      </c>
      <c r="D599" s="1" t="n">
        <v>45098</v>
      </c>
      <c r="E599" s="1" t="n">
        <v>46221</v>
      </c>
      <c r="F599" t="inlineStr">
        <is>
          <t>NORRBOTTENS LÄN</t>
        </is>
      </c>
      <c r="G599" t="inlineStr">
        <is>
          <t>PITEÅ</t>
        </is>
      </c>
      <c r="H599" t="inlineStr">
        <is>
          <t>Övriga Aktiebolag</t>
        </is>
      </c>
      <c r="I599" t="n">
        <v>3.6</v>
      </c>
      <c r="J599" t="n">
        <v>0</v>
      </c>
      <c r="K599" t="n">
        <v>0</v>
      </c>
      <c r="L599" t="n">
        <v>0</v>
      </c>
      <c r="M599" t="n">
        <v>0</v>
      </c>
      <c r="N599" t="n">
        <v>0</v>
      </c>
      <c r="O599" t="n">
        <v>0</v>
      </c>
      <c r="P599" t="n">
        <v>0</v>
      </c>
      <c r="Q599" t="n">
        <v>0</v>
      </c>
      <c r="R599" t="n">
        <v>0</v>
      </c>
      <c r="S599" t="n">
        <v>0</v>
      </c>
      <c r="T599" t="n">
        <v>0</v>
      </c>
      <c r="U599" s="2" t="inlineStr"/>
    </row>
    <row r="600" ht="15" customHeight="1">
      <c r="A600" t="inlineStr">
        <is>
          <t>A 42225-2025</t>
        </is>
      </c>
      <c r="B600" t="inlineStr">
        <is>
          <t>avverkningsanmälan</t>
        </is>
      </c>
      <c r="C600" t="inlineStr">
        <is>
          <t>Föryngringsavverkning</t>
        </is>
      </c>
      <c r="D600" s="1" t="n">
        <v>45904</v>
      </c>
      <c r="E600" s="1" t="n">
        <v>46221</v>
      </c>
      <c r="F600" t="inlineStr">
        <is>
          <t>NORRBOTTENS LÄN</t>
        </is>
      </c>
      <c r="G600" t="inlineStr">
        <is>
          <t>PITEÅ</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3887-2025</t>
        </is>
      </c>
      <c r="B601" t="inlineStr">
        <is>
          <t>avverkningsanmälan</t>
        </is>
      </c>
      <c r="C601" t="inlineStr">
        <is>
          <t>Föryngringsavverkning</t>
        </is>
      </c>
      <c r="D601" s="1" t="n">
        <v>45684</v>
      </c>
      <c r="E601" s="1" t="n">
        <v>46221</v>
      </c>
      <c r="F601" t="inlineStr">
        <is>
          <t>NORRBOTTENS LÄN</t>
        </is>
      </c>
      <c r="G601" t="inlineStr">
        <is>
          <t>PITEÅ</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39510-2025</t>
        </is>
      </c>
      <c r="B602" t="inlineStr">
        <is>
          <t>avverkningsanmälan</t>
        </is>
      </c>
      <c r="C602" t="inlineStr">
        <is>
          <t>Föryngringsavverkning</t>
        </is>
      </c>
      <c r="D602" s="1" t="n">
        <v>45890</v>
      </c>
      <c r="E602" s="1" t="n">
        <v>46221</v>
      </c>
      <c r="F602" t="inlineStr">
        <is>
          <t>NORRBOTTENS LÄN</t>
        </is>
      </c>
      <c r="G602" t="inlineStr">
        <is>
          <t>PITEÅ</t>
        </is>
      </c>
      <c r="I602" t="n">
        <v>19.7</v>
      </c>
      <c r="J602" t="n">
        <v>0</v>
      </c>
      <c r="K602" t="n">
        <v>0</v>
      </c>
      <c r="L602" t="n">
        <v>0</v>
      </c>
      <c r="M602" t="n">
        <v>0</v>
      </c>
      <c r="N602" t="n">
        <v>0</v>
      </c>
      <c r="O602" t="n">
        <v>0</v>
      </c>
      <c r="P602" t="n">
        <v>0</v>
      </c>
      <c r="Q602" t="n">
        <v>0</v>
      </c>
      <c r="R602" t="n">
        <v>0</v>
      </c>
      <c r="S602" t="n">
        <v>0</v>
      </c>
      <c r="T602" t="n">
        <v>0</v>
      </c>
      <c r="U602" s="2" t="inlineStr"/>
    </row>
    <row r="603" ht="15" customHeight="1">
      <c r="A603" t="inlineStr">
        <is>
          <t>A 48802-2025</t>
        </is>
      </c>
      <c r="B603" t="inlineStr">
        <is>
          <t>avverkningsanmälan</t>
        </is>
      </c>
      <c r="C603" t="inlineStr">
        <is>
          <t>Föryngringsavverkning</t>
        </is>
      </c>
      <c r="D603" s="1" t="n">
        <v>45937</v>
      </c>
      <c r="E603" s="1" t="n">
        <v>46221</v>
      </c>
      <c r="F603" t="inlineStr">
        <is>
          <t>NORRBOTTENS LÄN</t>
        </is>
      </c>
      <c r="G603" t="inlineStr">
        <is>
          <t>PITEÅ</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20452-2026</t>
        </is>
      </c>
      <c r="B604" t="inlineStr">
        <is>
          <t>avverkningsanmälan</t>
        </is>
      </c>
      <c r="C604" t="inlineStr">
        <is>
          <t>Avverkning för annat ändamål</t>
        </is>
      </c>
      <c r="D604" s="1" t="n">
        <v>46140</v>
      </c>
      <c r="E604" s="1" t="n">
        <v>46221</v>
      </c>
      <c r="F604" t="inlineStr">
        <is>
          <t>NORRBOTTENS LÄN</t>
        </is>
      </c>
      <c r="G604" t="inlineStr">
        <is>
          <t>PITEÅ</t>
        </is>
      </c>
      <c r="H604" t="inlineStr">
        <is>
          <t>Sveaskog</t>
        </is>
      </c>
      <c r="I604" t="n">
        <v>5.1</v>
      </c>
      <c r="J604" t="n">
        <v>0</v>
      </c>
      <c r="K604" t="n">
        <v>0</v>
      </c>
      <c r="L604" t="n">
        <v>0</v>
      </c>
      <c r="M604" t="n">
        <v>0</v>
      </c>
      <c r="N604" t="n">
        <v>0</v>
      </c>
      <c r="O604" t="n">
        <v>0</v>
      </c>
      <c r="P604" t="n">
        <v>0</v>
      </c>
      <c r="Q604" t="n">
        <v>0</v>
      </c>
      <c r="R604" t="n">
        <v>0</v>
      </c>
      <c r="S604" t="n">
        <v>0</v>
      </c>
      <c r="T604" t="n">
        <v>0</v>
      </c>
      <c r="U604" s="2" t="inlineStr"/>
    </row>
    <row r="605" ht="15" customHeight="1">
      <c r="A605" t="inlineStr">
        <is>
          <t>A 49984-2025</t>
        </is>
      </c>
      <c r="B605" t="inlineStr">
        <is>
          <t>avverkningsanmälan</t>
        </is>
      </c>
      <c r="C605" t="inlineStr">
        <is>
          <t>Föryngringsavverkning</t>
        </is>
      </c>
      <c r="D605" s="1" t="n">
        <v>45942</v>
      </c>
      <c r="E605" s="1" t="n">
        <v>46221</v>
      </c>
      <c r="F605" t="inlineStr">
        <is>
          <t>NORRBOTTENS LÄN</t>
        </is>
      </c>
      <c r="G605" t="inlineStr">
        <is>
          <t>PITEÅ</t>
        </is>
      </c>
      <c r="H605" t="inlineStr">
        <is>
          <t>SCA</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43422-2025</t>
        </is>
      </c>
      <c r="B606" t="inlineStr">
        <is>
          <t>avverkningsanmälan</t>
        </is>
      </c>
      <c r="C606" t="inlineStr">
        <is>
          <t>Föryngringsavverkning</t>
        </is>
      </c>
      <c r="D606" s="1" t="n">
        <v>45911</v>
      </c>
      <c r="E606" s="1" t="n">
        <v>46221</v>
      </c>
      <c r="F606" t="inlineStr">
        <is>
          <t>NORRBOTTENS LÄN</t>
        </is>
      </c>
      <c r="G606" t="inlineStr">
        <is>
          <t>PITEÅ</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20931-2026</t>
        </is>
      </c>
      <c r="B607" t="inlineStr">
        <is>
          <t>avverkningsanmälan</t>
        </is>
      </c>
      <c r="C607" t="inlineStr">
        <is>
          <t>Föryngringsavverkning</t>
        </is>
      </c>
      <c r="D607" s="1" t="n">
        <v>46142</v>
      </c>
      <c r="E607" s="1" t="n">
        <v>46221</v>
      </c>
      <c r="F607" t="inlineStr">
        <is>
          <t>NORRBOTTENS LÄN</t>
        </is>
      </c>
      <c r="G607" t="inlineStr">
        <is>
          <t>PITEÅ</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56505-2023</t>
        </is>
      </c>
      <c r="B608" t="inlineStr">
        <is>
          <t>avverkningsanmälan</t>
        </is>
      </c>
      <c r="C608" t="inlineStr">
        <is>
          <t>Föryngringsavverkning</t>
        </is>
      </c>
      <c r="D608" s="1" t="n">
        <v>45243</v>
      </c>
      <c r="E608" s="1" t="n">
        <v>46221</v>
      </c>
      <c r="F608" t="inlineStr">
        <is>
          <t>NORRBOTTENS LÄN</t>
        </is>
      </c>
      <c r="G608" t="inlineStr">
        <is>
          <t>PITEÅ</t>
        </is>
      </c>
      <c r="H608" t="inlineStr">
        <is>
          <t>Sveaskog</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56532-2023</t>
        </is>
      </c>
      <c r="B609" t="inlineStr">
        <is>
          <t>avverkningsanmälan</t>
        </is>
      </c>
      <c r="C609" t="inlineStr">
        <is>
          <t>Föryngringsavverkning</t>
        </is>
      </c>
      <c r="D609" s="1" t="n">
        <v>45243</v>
      </c>
      <c r="E609" s="1" t="n">
        <v>46221</v>
      </c>
      <c r="F609" t="inlineStr">
        <is>
          <t>NORRBOTTENS LÄN</t>
        </is>
      </c>
      <c r="G609" t="inlineStr">
        <is>
          <t>PITEÅ</t>
        </is>
      </c>
      <c r="H609" t="inlineStr">
        <is>
          <t>Sveaskog</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48430-2025</t>
        </is>
      </c>
      <c r="B610" t="inlineStr">
        <is>
          <t>avverkningsanmälan</t>
        </is>
      </c>
      <c r="C610" t="inlineStr">
        <is>
          <t>Föryngringsavverkning</t>
        </is>
      </c>
      <c r="D610" s="1" t="n">
        <v>45934</v>
      </c>
      <c r="E610" s="1" t="n">
        <v>46221</v>
      </c>
      <c r="F610" t="inlineStr">
        <is>
          <t>NORRBOTTENS LÄN</t>
        </is>
      </c>
      <c r="G610" t="inlineStr">
        <is>
          <t>PITEÅ</t>
        </is>
      </c>
      <c r="I610" t="n">
        <v>6.7</v>
      </c>
      <c r="J610" t="n">
        <v>0</v>
      </c>
      <c r="K610" t="n">
        <v>0</v>
      </c>
      <c r="L610" t="n">
        <v>0</v>
      </c>
      <c r="M610" t="n">
        <v>0</v>
      </c>
      <c r="N610" t="n">
        <v>0</v>
      </c>
      <c r="O610" t="n">
        <v>0</v>
      </c>
      <c r="P610" t="n">
        <v>0</v>
      </c>
      <c r="Q610" t="n">
        <v>0</v>
      </c>
      <c r="R610" t="n">
        <v>0</v>
      </c>
      <c r="S610" t="n">
        <v>0</v>
      </c>
      <c r="T610" t="n">
        <v>0</v>
      </c>
      <c r="U610" s="2" t="inlineStr"/>
    </row>
    <row r="611" ht="15" customHeight="1">
      <c r="A611" t="inlineStr">
        <is>
          <t>A 42112-2023</t>
        </is>
      </c>
      <c r="B611" t="inlineStr">
        <is>
          <t>avverkningsanmälan</t>
        </is>
      </c>
      <c r="C611" t="inlineStr">
        <is>
          <t>Föryngringsavverkning</t>
        </is>
      </c>
      <c r="D611" s="1" t="n">
        <v>45177</v>
      </c>
      <c r="E611" s="1" t="n">
        <v>46221</v>
      </c>
      <c r="F611" t="inlineStr">
        <is>
          <t>NORRBOTTENS LÄN</t>
        </is>
      </c>
      <c r="G611" t="inlineStr">
        <is>
          <t>PITEÅ</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18059-2022</t>
        </is>
      </c>
      <c r="B612" t="inlineStr">
        <is>
          <t>avverkningsanmälan</t>
        </is>
      </c>
      <c r="C612" t="inlineStr">
        <is>
          <t>Föryngringsavverkning</t>
        </is>
      </c>
      <c r="D612" s="1" t="n">
        <v>44683</v>
      </c>
      <c r="E612" s="1" t="n">
        <v>46221</v>
      </c>
      <c r="F612" t="inlineStr">
        <is>
          <t>NORRBOTTENS LÄN</t>
        </is>
      </c>
      <c r="G612" t="inlineStr">
        <is>
          <t>PITEÅ</t>
        </is>
      </c>
      <c r="I612" t="n">
        <v>5.6</v>
      </c>
      <c r="J612" t="n">
        <v>0</v>
      </c>
      <c r="K612" t="n">
        <v>0</v>
      </c>
      <c r="L612" t="n">
        <v>0</v>
      </c>
      <c r="M612" t="n">
        <v>0</v>
      </c>
      <c r="N612" t="n">
        <v>0</v>
      </c>
      <c r="O612" t="n">
        <v>0</v>
      </c>
      <c r="P612" t="n">
        <v>0</v>
      </c>
      <c r="Q612" t="n">
        <v>0</v>
      </c>
      <c r="R612" t="n">
        <v>0</v>
      </c>
      <c r="S612" t="n">
        <v>0</v>
      </c>
      <c r="T612" t="n">
        <v>0</v>
      </c>
      <c r="U612" s="2" t="inlineStr"/>
    </row>
    <row r="613" ht="15" customHeight="1">
      <c r="A613" t="inlineStr">
        <is>
          <t>A 2125-2026</t>
        </is>
      </c>
      <c r="B613" t="inlineStr">
        <is>
          <t>avverkningsanmälan</t>
        </is>
      </c>
      <c r="C613" t="inlineStr">
        <is>
          <t>Föryngringsavverkning</t>
        </is>
      </c>
      <c r="D613" s="1" t="n">
        <v>46036</v>
      </c>
      <c r="E613" s="1" t="n">
        <v>46221</v>
      </c>
      <c r="F613" t="inlineStr">
        <is>
          <t>NORRBOTTENS LÄN</t>
        </is>
      </c>
      <c r="G613" t="inlineStr">
        <is>
          <t>PITEÅ</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26531-2026</t>
        </is>
      </c>
      <c r="B614" t="inlineStr">
        <is>
          <t>avverkningsanmälan</t>
        </is>
      </c>
      <c r="C614" t="inlineStr">
        <is>
          <t>Föryngringsavverkning</t>
        </is>
      </c>
      <c r="D614" s="1" t="n">
        <v>46183</v>
      </c>
      <c r="E614" s="1" t="n">
        <v>46221</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s="2" t="inlineStr"/>
    </row>
    <row r="615" ht="15" customHeight="1">
      <c r="A615" t="inlineStr">
        <is>
          <t>A 26389-2026</t>
        </is>
      </c>
      <c r="B615" t="inlineStr">
        <is>
          <t>avverkningsanmälan</t>
        </is>
      </c>
      <c r="C615" t="inlineStr">
        <is>
          <t>Föryngringsavverkning</t>
        </is>
      </c>
      <c r="D615" s="1" t="n">
        <v>46183</v>
      </c>
      <c r="E615" s="1" t="n">
        <v>46221</v>
      </c>
      <c r="F615" t="inlineStr">
        <is>
          <t>NORRBOTTENS LÄN</t>
        </is>
      </c>
      <c r="G615" t="inlineStr">
        <is>
          <t>PITEÅ</t>
        </is>
      </c>
      <c r="H615" t="inlineStr">
        <is>
          <t>Sveaskog</t>
        </is>
      </c>
      <c r="I615" t="n">
        <v>28.6</v>
      </c>
      <c r="J615" t="n">
        <v>0</v>
      </c>
      <c r="K615" t="n">
        <v>0</v>
      </c>
      <c r="L615" t="n">
        <v>0</v>
      </c>
      <c r="M615" t="n">
        <v>0</v>
      </c>
      <c r="N615" t="n">
        <v>0</v>
      </c>
      <c r="O615" t="n">
        <v>0</v>
      </c>
      <c r="P615" t="n">
        <v>0</v>
      </c>
      <c r="Q615" t="n">
        <v>0</v>
      </c>
      <c r="R615" t="n">
        <v>0</v>
      </c>
      <c r="S615" t="n">
        <v>0</v>
      </c>
      <c r="T615" t="n">
        <v>0</v>
      </c>
      <c r="U615" s="2" t="inlineStr"/>
    </row>
    <row r="616" ht="15" customHeight="1">
      <c r="A616" t="inlineStr">
        <is>
          <t>A 26479-2026</t>
        </is>
      </c>
      <c r="B616" t="inlineStr">
        <is>
          <t>avverkningsanmälan</t>
        </is>
      </c>
      <c r="C616" t="inlineStr">
        <is>
          <t>Föryngringsavverkning</t>
        </is>
      </c>
      <c r="D616" s="1" t="n">
        <v>46183</v>
      </c>
      <c r="E616" s="1" t="n">
        <v>46221</v>
      </c>
      <c r="F616" t="inlineStr">
        <is>
          <t>NORRBOTTENS LÄN</t>
        </is>
      </c>
      <c r="G616" t="inlineStr">
        <is>
          <t>PITEÅ</t>
        </is>
      </c>
      <c r="H616" t="inlineStr">
        <is>
          <t>Sveaskog</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51569-2023</t>
        </is>
      </c>
      <c r="B617" t="inlineStr">
        <is>
          <t>avverkningsanmälan</t>
        </is>
      </c>
      <c r="C617" t="inlineStr">
        <is>
          <t>Föryngringsavverkning</t>
        </is>
      </c>
      <c r="D617" s="1" t="n">
        <v>45215</v>
      </c>
      <c r="E617" s="1" t="n">
        <v>46221</v>
      </c>
      <c r="F617" t="inlineStr">
        <is>
          <t>NORRBOTTENS LÄN</t>
        </is>
      </c>
      <c r="G617" t="inlineStr">
        <is>
          <t>PITEÅ</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34337-2022</t>
        </is>
      </c>
      <c r="B618" t="inlineStr">
        <is>
          <t>avverkningsanmälan</t>
        </is>
      </c>
      <c r="C618" t="inlineStr">
        <is>
          <t>Föryngringsavverkning</t>
        </is>
      </c>
      <c r="D618" s="1" t="n">
        <v>44792</v>
      </c>
      <c r="E618" s="1" t="n">
        <v>46221</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33435-2023</t>
        </is>
      </c>
      <c r="B619" t="inlineStr">
        <is>
          <t>avverkningsanmälan</t>
        </is>
      </c>
      <c r="C619" t="inlineStr">
        <is>
          <t>Föryngringsavverkning</t>
        </is>
      </c>
      <c r="D619" s="1" t="n">
        <v>45129</v>
      </c>
      <c r="E619" s="1" t="n">
        <v>46221</v>
      </c>
      <c r="F619" t="inlineStr">
        <is>
          <t>NORRBOTTENS LÄN</t>
        </is>
      </c>
      <c r="G619" t="inlineStr">
        <is>
          <t>PITEÅ</t>
        </is>
      </c>
      <c r="I619" t="n">
        <v>3.6</v>
      </c>
      <c r="J619" t="n">
        <v>0</v>
      </c>
      <c r="K619" t="n">
        <v>0</v>
      </c>
      <c r="L619" t="n">
        <v>0</v>
      </c>
      <c r="M619" t="n">
        <v>0</v>
      </c>
      <c r="N619" t="n">
        <v>0</v>
      </c>
      <c r="O619" t="n">
        <v>0</v>
      </c>
      <c r="P619" t="n">
        <v>0</v>
      </c>
      <c r="Q619" t="n">
        <v>0</v>
      </c>
      <c r="R619" t="n">
        <v>0</v>
      </c>
      <c r="S619" t="n">
        <v>0</v>
      </c>
      <c r="T619" t="n">
        <v>0</v>
      </c>
      <c r="U619" s="2" t="inlineStr"/>
    </row>
    <row r="620" ht="15" customHeight="1">
      <c r="A620" t="inlineStr">
        <is>
          <t>A 17318-2024</t>
        </is>
      </c>
      <c r="B620" t="inlineStr">
        <is>
          <t>avverkningsanmälan</t>
        </is>
      </c>
      <c r="C620" t="inlineStr">
        <is>
          <t>Avverkning för annat ändamål</t>
        </is>
      </c>
      <c r="D620" s="1" t="n">
        <v>45414</v>
      </c>
      <c r="E620" s="1" t="n">
        <v>46221</v>
      </c>
      <c r="F620" t="inlineStr">
        <is>
          <t>NORRBOTTENS LÄN</t>
        </is>
      </c>
      <c r="G620" t="inlineStr">
        <is>
          <t>PITEÅ</t>
        </is>
      </c>
      <c r="I620" t="n">
        <v>4.2</v>
      </c>
      <c r="J620" t="n">
        <v>0</v>
      </c>
      <c r="K620" t="n">
        <v>0</v>
      </c>
      <c r="L620" t="n">
        <v>0</v>
      </c>
      <c r="M620" t="n">
        <v>0</v>
      </c>
      <c r="N620" t="n">
        <v>0</v>
      </c>
      <c r="O620" t="n">
        <v>0</v>
      </c>
      <c r="P620" t="n">
        <v>0</v>
      </c>
      <c r="Q620" t="n">
        <v>0</v>
      </c>
      <c r="R620" t="n">
        <v>0</v>
      </c>
      <c r="S620" t="n">
        <v>0</v>
      </c>
      <c r="T620" t="n">
        <v>0</v>
      </c>
      <c r="U620" s="2" t="inlineStr"/>
    </row>
    <row r="621" ht="15" customHeight="1">
      <c r="A621" t="inlineStr">
        <is>
          <t>A 26572-2026</t>
        </is>
      </c>
      <c r="B621" t="inlineStr">
        <is>
          <t>avverkningsanmälan</t>
        </is>
      </c>
      <c r="C621" t="inlineStr">
        <is>
          <t>Föryngringsavverkning</t>
        </is>
      </c>
      <c r="D621" s="1" t="n">
        <v>46183</v>
      </c>
      <c r="E621" s="1" t="n">
        <v>46221</v>
      </c>
      <c r="F621" t="inlineStr">
        <is>
          <t>NORRBOTTENS LÄN</t>
        </is>
      </c>
      <c r="G621" t="inlineStr">
        <is>
          <t>PITEÅ</t>
        </is>
      </c>
      <c r="H621" t="inlineStr">
        <is>
          <t>Sveaskog</t>
        </is>
      </c>
      <c r="I621" t="n">
        <v>9.4</v>
      </c>
      <c r="J621" t="n">
        <v>0</v>
      </c>
      <c r="K621" t="n">
        <v>0</v>
      </c>
      <c r="L621" t="n">
        <v>0</v>
      </c>
      <c r="M621" t="n">
        <v>0</v>
      </c>
      <c r="N621" t="n">
        <v>0</v>
      </c>
      <c r="O621" t="n">
        <v>0</v>
      </c>
      <c r="P621" t="n">
        <v>0</v>
      </c>
      <c r="Q621" t="n">
        <v>0</v>
      </c>
      <c r="R621" t="n">
        <v>0</v>
      </c>
      <c r="S621" t="n">
        <v>0</v>
      </c>
      <c r="T621" t="n">
        <v>0</v>
      </c>
      <c r="U621" s="2" t="inlineStr"/>
    </row>
    <row r="622" ht="15" customHeight="1">
      <c r="A622" t="inlineStr">
        <is>
          <t>A 51578-2023</t>
        </is>
      </c>
      <c r="B622" t="inlineStr">
        <is>
          <t>avverkningsanmälan</t>
        </is>
      </c>
      <c r="C622" t="inlineStr">
        <is>
          <t>Föryngringsavverkning</t>
        </is>
      </c>
      <c r="D622" s="1" t="n">
        <v>45215</v>
      </c>
      <c r="E622" s="1" t="n">
        <v>46221</v>
      </c>
      <c r="F622" t="inlineStr">
        <is>
          <t>NORRBOTTENS LÄN</t>
        </is>
      </c>
      <c r="G622" t="inlineStr">
        <is>
          <t>PITEÅ</t>
        </is>
      </c>
      <c r="I622" t="n">
        <v>6.4</v>
      </c>
      <c r="J622" t="n">
        <v>0</v>
      </c>
      <c r="K622" t="n">
        <v>0</v>
      </c>
      <c r="L622" t="n">
        <v>0</v>
      </c>
      <c r="M622" t="n">
        <v>0</v>
      </c>
      <c r="N622" t="n">
        <v>0</v>
      </c>
      <c r="O622" t="n">
        <v>0</v>
      </c>
      <c r="P622" t="n">
        <v>0</v>
      </c>
      <c r="Q622" t="n">
        <v>0</v>
      </c>
      <c r="R622" t="n">
        <v>0</v>
      </c>
      <c r="S622" t="n">
        <v>0</v>
      </c>
      <c r="T622" t="n">
        <v>0</v>
      </c>
      <c r="U622" s="2" t="inlineStr"/>
    </row>
    <row r="623" ht="15" customHeight="1">
      <c r="A623" t="inlineStr">
        <is>
          <t>A 57052-2023</t>
        </is>
      </c>
      <c r="B623" t="inlineStr">
        <is>
          <t>avverkningsanmälan</t>
        </is>
      </c>
      <c r="C623" t="inlineStr">
        <is>
          <t>Föryngringsavverkning</t>
        </is>
      </c>
      <c r="D623" s="1" t="n">
        <v>45244</v>
      </c>
      <c r="E623" s="1" t="n">
        <v>46221</v>
      </c>
      <c r="F623" t="inlineStr">
        <is>
          <t>NORRBOTTENS LÄN</t>
        </is>
      </c>
      <c r="G623" t="inlineStr">
        <is>
          <t>PITEÅ</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57195-2023</t>
        </is>
      </c>
      <c r="B624" t="inlineStr">
        <is>
          <t>avverkningsanmälan</t>
        </is>
      </c>
      <c r="C624" t="inlineStr">
        <is>
          <t>Föryngringsavverkning</t>
        </is>
      </c>
      <c r="D624" s="1" t="n">
        <v>45245</v>
      </c>
      <c r="E624" s="1" t="n">
        <v>46221</v>
      </c>
      <c r="F624" t="inlineStr">
        <is>
          <t>NORRBOTTENS LÄN</t>
        </is>
      </c>
      <c r="G624" t="inlineStr">
        <is>
          <t>PITEÅ</t>
        </is>
      </c>
      <c r="I624" t="n">
        <v>9</v>
      </c>
      <c r="J624" t="n">
        <v>0</v>
      </c>
      <c r="K624" t="n">
        <v>0</v>
      </c>
      <c r="L624" t="n">
        <v>0</v>
      </c>
      <c r="M624" t="n">
        <v>0</v>
      </c>
      <c r="N624" t="n">
        <v>0</v>
      </c>
      <c r="O624" t="n">
        <v>0</v>
      </c>
      <c r="P624" t="n">
        <v>0</v>
      </c>
      <c r="Q624" t="n">
        <v>0</v>
      </c>
      <c r="R624" t="n">
        <v>0</v>
      </c>
      <c r="S624" t="n">
        <v>0</v>
      </c>
      <c r="T624" t="n">
        <v>0</v>
      </c>
      <c r="U624" s="2" t="inlineStr"/>
    </row>
    <row r="625" ht="15" customHeight="1">
      <c r="A625" t="inlineStr">
        <is>
          <t>A 39556-2023</t>
        </is>
      </c>
      <c r="B625" t="inlineStr">
        <is>
          <t>avverkningsanmälan</t>
        </is>
      </c>
      <c r="C625" t="inlineStr">
        <is>
          <t>Föryngringsavverkning</t>
        </is>
      </c>
      <c r="D625" s="1" t="n">
        <v>45167</v>
      </c>
      <c r="E625" s="1" t="n">
        <v>46221</v>
      </c>
      <c r="F625" t="inlineStr">
        <is>
          <t>NORRBOTTENS LÄN</t>
        </is>
      </c>
      <c r="G625" t="inlineStr">
        <is>
          <t>PITEÅ</t>
        </is>
      </c>
      <c r="H625" t="inlineStr">
        <is>
          <t>Sveaskog</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3504-2024</t>
        </is>
      </c>
      <c r="B626" t="inlineStr">
        <is>
          <t>avverkningsanmälan</t>
        </is>
      </c>
      <c r="C626" t="inlineStr">
        <is>
          <t>Avverkning för annat ändamål</t>
        </is>
      </c>
      <c r="D626" s="1" t="n">
        <v>45320</v>
      </c>
      <c r="E626" s="1" t="n">
        <v>46221</v>
      </c>
      <c r="F626" t="inlineStr">
        <is>
          <t>NORRBOTTENS LÄN</t>
        </is>
      </c>
      <c r="G626" t="inlineStr">
        <is>
          <t>PITEÅ</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27337-2026</t>
        </is>
      </c>
      <c r="B627" t="inlineStr">
        <is>
          <t>avverkningsanmälan</t>
        </is>
      </c>
      <c r="C627" t="inlineStr">
        <is>
          <t>Föryngringsavverkning</t>
        </is>
      </c>
      <c r="D627" s="1" t="n">
        <v>46188</v>
      </c>
      <c r="E627" s="1" t="n">
        <v>46221</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51273-2023</t>
        </is>
      </c>
      <c r="B628" t="inlineStr">
        <is>
          <t>avverkningsanmälan</t>
        </is>
      </c>
      <c r="C628" t="inlineStr">
        <is>
          <t>Föryngringsavverkning</t>
        </is>
      </c>
      <c r="D628" s="1" t="n">
        <v>45219</v>
      </c>
      <c r="E628" s="1" t="n">
        <v>46221</v>
      </c>
      <c r="F628" t="inlineStr">
        <is>
          <t>NORRBOTTENS LÄN</t>
        </is>
      </c>
      <c r="G628" t="inlineStr">
        <is>
          <t>PITEÅ</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27581-2026</t>
        </is>
      </c>
      <c r="B629" t="inlineStr">
        <is>
          <t>avverkningsanmälan</t>
        </is>
      </c>
      <c r="C629" t="inlineStr">
        <is>
          <t>Föryngringsavverkning</t>
        </is>
      </c>
      <c r="D629" s="1" t="n">
        <v>46190</v>
      </c>
      <c r="E629" s="1" t="n">
        <v>46221</v>
      </c>
      <c r="F629" t="inlineStr">
        <is>
          <t>NORRBOTTENS LÄN</t>
        </is>
      </c>
      <c r="G629" t="inlineStr">
        <is>
          <t>PITEÅ</t>
        </is>
      </c>
      <c r="H629" t="inlineStr">
        <is>
          <t>Sveaskog</t>
        </is>
      </c>
      <c r="I629" t="n">
        <v>13.7</v>
      </c>
      <c r="J629" t="n">
        <v>0</v>
      </c>
      <c r="K629" t="n">
        <v>0</v>
      </c>
      <c r="L629" t="n">
        <v>0</v>
      </c>
      <c r="M629" t="n">
        <v>0</v>
      </c>
      <c r="N629" t="n">
        <v>0</v>
      </c>
      <c r="O629" t="n">
        <v>0</v>
      </c>
      <c r="P629" t="n">
        <v>0</v>
      </c>
      <c r="Q629" t="n">
        <v>0</v>
      </c>
      <c r="R629" t="n">
        <v>0</v>
      </c>
      <c r="S629" t="n">
        <v>0</v>
      </c>
      <c r="T629" t="n">
        <v>0</v>
      </c>
      <c r="U629" s="2" t="inlineStr"/>
    </row>
    <row r="630" ht="15" customHeight="1">
      <c r="A630" t="inlineStr">
        <is>
          <t>A 58537-2023</t>
        </is>
      </c>
      <c r="B630" t="inlineStr">
        <is>
          <t>avverkningsanmälan</t>
        </is>
      </c>
      <c r="C630" t="inlineStr">
        <is>
          <t>Föryngringsavverkning</t>
        </is>
      </c>
      <c r="D630" s="1" t="n">
        <v>45251</v>
      </c>
      <c r="E630" s="1" t="n">
        <v>46221</v>
      </c>
      <c r="F630" t="inlineStr">
        <is>
          <t>NORRBOTTENS LÄN</t>
        </is>
      </c>
      <c r="G630" t="inlineStr">
        <is>
          <t>PITEÅ</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27553-2026</t>
        </is>
      </c>
      <c r="B631" t="inlineStr">
        <is>
          <t>avverkningsanmälan</t>
        </is>
      </c>
      <c r="C631" t="inlineStr">
        <is>
          <t>Föryngringsavverkning</t>
        </is>
      </c>
      <c r="D631" s="1" t="n">
        <v>46190</v>
      </c>
      <c r="E631" s="1" t="n">
        <v>46221</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65015-2023</t>
        </is>
      </c>
      <c r="B632" t="inlineStr">
        <is>
          <t>avverkningsanmälan</t>
        </is>
      </c>
      <c r="C632" t="inlineStr">
        <is>
          <t>Föryngringsavverkning</t>
        </is>
      </c>
      <c r="D632" s="1" t="n">
        <v>45287</v>
      </c>
      <c r="E632" s="1" t="n">
        <v>46221</v>
      </c>
      <c r="F632" t="inlineStr">
        <is>
          <t>NORRBOTTENS LÄN</t>
        </is>
      </c>
      <c r="G632" t="inlineStr">
        <is>
          <t>PITEÅ</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21772-2026</t>
        </is>
      </c>
      <c r="B633" t="inlineStr">
        <is>
          <t>avverkningsanmälan</t>
        </is>
      </c>
      <c r="C633" t="inlineStr">
        <is>
          <t>Föryngringsavverkning</t>
        </is>
      </c>
      <c r="D633" s="1" t="n">
        <v>46150</v>
      </c>
      <c r="E633" s="1" t="n">
        <v>46221</v>
      </c>
      <c r="F633" t="inlineStr">
        <is>
          <t>NORRBOTTENS LÄN</t>
        </is>
      </c>
      <c r="G633" t="inlineStr">
        <is>
          <t>PITEÅ</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21770-2026</t>
        </is>
      </c>
      <c r="B634" t="inlineStr">
        <is>
          <t>avverkningsanmälan</t>
        </is>
      </c>
      <c r="C634" t="inlineStr">
        <is>
          <t>Föryngringsavverkning</t>
        </is>
      </c>
      <c r="D634" s="1" t="n">
        <v>46150</v>
      </c>
      <c r="E634" s="1" t="n">
        <v>46221</v>
      </c>
      <c r="F634" t="inlineStr">
        <is>
          <t>NORRBOTTENS LÄN</t>
        </is>
      </c>
      <c r="G634" t="inlineStr">
        <is>
          <t>PITEÅ</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21771-2026</t>
        </is>
      </c>
      <c r="B635" t="inlineStr">
        <is>
          <t>avverkningsanmälan</t>
        </is>
      </c>
      <c r="C635" t="inlineStr">
        <is>
          <t>Föryngringsavverkning</t>
        </is>
      </c>
      <c r="D635" s="1" t="n">
        <v>46150</v>
      </c>
      <c r="E635" s="1" t="n">
        <v>46221</v>
      </c>
      <c r="F635" t="inlineStr">
        <is>
          <t>NORRBOTTENS LÄN</t>
        </is>
      </c>
      <c r="G635" t="inlineStr">
        <is>
          <t>PITEÅ</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27752-2026</t>
        </is>
      </c>
      <c r="B636" t="inlineStr">
        <is>
          <t>avverkningsanmälan</t>
        </is>
      </c>
      <c r="C636" t="inlineStr">
        <is>
          <t>Föryngringsavverkning</t>
        </is>
      </c>
      <c r="D636" s="1" t="n">
        <v>46191</v>
      </c>
      <c r="E636" s="1" t="n">
        <v>46221</v>
      </c>
      <c r="F636" t="inlineStr">
        <is>
          <t>NORRBOTTENS LÄN</t>
        </is>
      </c>
      <c r="G636" t="inlineStr">
        <is>
          <t>PITEÅ</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27913-2026</t>
        </is>
      </c>
      <c r="B637" t="inlineStr">
        <is>
          <t>avverkningsanmälan</t>
        </is>
      </c>
      <c r="C637" t="inlineStr">
        <is>
          <t>Föryngringsavverkning</t>
        </is>
      </c>
      <c r="D637" s="1" t="n">
        <v>46191</v>
      </c>
      <c r="E637" s="1" t="n">
        <v>46221</v>
      </c>
      <c r="F637" t="inlineStr">
        <is>
          <t>NORRBOTTENS LÄN</t>
        </is>
      </c>
      <c r="G637" t="inlineStr">
        <is>
          <t>PITEÅ</t>
        </is>
      </c>
      <c r="H637" t="inlineStr">
        <is>
          <t>SCA</t>
        </is>
      </c>
      <c r="I637" t="n">
        <v>3.5</v>
      </c>
      <c r="J637" t="n">
        <v>0</v>
      </c>
      <c r="K637" t="n">
        <v>0</v>
      </c>
      <c r="L637" t="n">
        <v>0</v>
      </c>
      <c r="M637" t="n">
        <v>0</v>
      </c>
      <c r="N637" t="n">
        <v>0</v>
      </c>
      <c r="O637" t="n">
        <v>0</v>
      </c>
      <c r="P637" t="n">
        <v>0</v>
      </c>
      <c r="Q637" t="n">
        <v>0</v>
      </c>
      <c r="R637" t="n">
        <v>0</v>
      </c>
      <c r="S637" t="n">
        <v>0</v>
      </c>
      <c r="T637" t="n">
        <v>0</v>
      </c>
      <c r="U637" s="2" t="inlineStr"/>
    </row>
    <row r="638" ht="15" customHeight="1">
      <c r="A638" t="inlineStr">
        <is>
          <t>A 61636-2023</t>
        </is>
      </c>
      <c r="B638" t="inlineStr">
        <is>
          <t>avverkningsanmälan</t>
        </is>
      </c>
      <c r="C638" t="inlineStr">
        <is>
          <t>Föryngringsavverkning</t>
        </is>
      </c>
      <c r="D638" s="1" t="n">
        <v>45265</v>
      </c>
      <c r="E638" s="1" t="n">
        <v>46221</v>
      </c>
      <c r="F638" t="inlineStr">
        <is>
          <t>NORRBOTTENS LÄN</t>
        </is>
      </c>
      <c r="G638" t="inlineStr">
        <is>
          <t>PITEÅ</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21850-2026</t>
        </is>
      </c>
      <c r="B639" t="inlineStr">
        <is>
          <t>avverkningsanmälan</t>
        </is>
      </c>
      <c r="C639" t="inlineStr">
        <is>
          <t>Föryngringsavverkning</t>
        </is>
      </c>
      <c r="D639" s="1" t="n">
        <v>46150</v>
      </c>
      <c r="E639" s="1" t="n">
        <v>46221</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27806-2026</t>
        </is>
      </c>
      <c r="B640" t="inlineStr">
        <is>
          <t>avverkningsanmälan</t>
        </is>
      </c>
      <c r="C640" t="inlineStr">
        <is>
          <t>Föryngringsavverkning</t>
        </is>
      </c>
      <c r="D640" s="1" t="n">
        <v>46191</v>
      </c>
      <c r="E640" s="1" t="n">
        <v>46221</v>
      </c>
      <c r="F640" t="inlineStr">
        <is>
          <t>NORRBOTTENS LÄN</t>
        </is>
      </c>
      <c r="G640" t="inlineStr">
        <is>
          <t>PITEÅ</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33196-2022</t>
        </is>
      </c>
      <c r="B641" t="inlineStr">
        <is>
          <t>avverkningsanmälan</t>
        </is>
      </c>
      <c r="C641" t="inlineStr">
        <is>
          <t>Föryngringsavverkning</t>
        </is>
      </c>
      <c r="D641" s="1" t="n">
        <v>44785</v>
      </c>
      <c r="E641" s="1" t="n">
        <v>46221</v>
      </c>
      <c r="F641" t="inlineStr">
        <is>
          <t>NORRBOTTENS LÄN</t>
        </is>
      </c>
      <c r="G641" t="inlineStr">
        <is>
          <t>PITEÅ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29678-2024</t>
        </is>
      </c>
      <c r="B642" t="inlineStr">
        <is>
          <t>avverkningsanmälan</t>
        </is>
      </c>
      <c r="C642" t="inlineStr">
        <is>
          <t>Föryngringsavverkning</t>
        </is>
      </c>
      <c r="D642" s="1" t="n">
        <v>45484</v>
      </c>
      <c r="E642" s="1" t="n">
        <v>46221</v>
      </c>
      <c r="F642" t="inlineStr">
        <is>
          <t>NORRBOTTENS LÄN</t>
        </is>
      </c>
      <c r="G642" t="inlineStr">
        <is>
          <t>PITEÅ</t>
        </is>
      </c>
      <c r="H642" t="inlineStr">
        <is>
          <t>SCA</t>
        </is>
      </c>
      <c r="I642" t="n">
        <v>7.1</v>
      </c>
      <c r="J642" t="n">
        <v>0</v>
      </c>
      <c r="K642" t="n">
        <v>0</v>
      </c>
      <c r="L642" t="n">
        <v>0</v>
      </c>
      <c r="M642" t="n">
        <v>0</v>
      </c>
      <c r="N642" t="n">
        <v>0</v>
      </c>
      <c r="O642" t="n">
        <v>0</v>
      </c>
      <c r="P642" t="n">
        <v>0</v>
      </c>
      <c r="Q642" t="n">
        <v>0</v>
      </c>
      <c r="R642" t="n">
        <v>0</v>
      </c>
      <c r="S642" t="n">
        <v>0</v>
      </c>
      <c r="T642" t="n">
        <v>0</v>
      </c>
      <c r="U642" s="2" t="inlineStr"/>
    </row>
    <row r="643" ht="15" customHeight="1">
      <c r="A643" t="inlineStr">
        <is>
          <t>A 11949-2025</t>
        </is>
      </c>
      <c r="B643" t="inlineStr">
        <is>
          <t>avverkningsanmälan</t>
        </is>
      </c>
      <c r="C643" t="inlineStr">
        <is>
          <t>Föryngringsavverkning</t>
        </is>
      </c>
      <c r="D643" s="1" t="n">
        <v>45728</v>
      </c>
      <c r="E643" s="1" t="n">
        <v>46221</v>
      </c>
      <c r="F643" t="inlineStr">
        <is>
          <t>NORRBOTTENS LÄN</t>
        </is>
      </c>
      <c r="G643" t="inlineStr">
        <is>
          <t>PITEÅ</t>
        </is>
      </c>
      <c r="H643" t="inlineStr">
        <is>
          <t>Kommuner</t>
        </is>
      </c>
      <c r="I643" t="n">
        <v>5.7</v>
      </c>
      <c r="J643" t="n">
        <v>0</v>
      </c>
      <c r="K643" t="n">
        <v>0</v>
      </c>
      <c r="L643" t="n">
        <v>0</v>
      </c>
      <c r="M643" t="n">
        <v>0</v>
      </c>
      <c r="N643" t="n">
        <v>0</v>
      </c>
      <c r="O643" t="n">
        <v>0</v>
      </c>
      <c r="P643" t="n">
        <v>0</v>
      </c>
      <c r="Q643" t="n">
        <v>0</v>
      </c>
      <c r="R643" t="n">
        <v>0</v>
      </c>
      <c r="S643" t="n">
        <v>0</v>
      </c>
      <c r="T643" t="n">
        <v>0</v>
      </c>
      <c r="U643" s="2" t="inlineStr"/>
    </row>
    <row r="644" ht="15" customHeight="1">
      <c r="A644" t="inlineStr">
        <is>
          <t>A 4242-2024</t>
        </is>
      </c>
      <c r="B644" t="inlineStr">
        <is>
          <t>avverkningsanmälan</t>
        </is>
      </c>
      <c r="C644" t="inlineStr">
        <is>
          <t>Föryngringsavverkning</t>
        </is>
      </c>
      <c r="D644" s="1" t="n">
        <v>45324</v>
      </c>
      <c r="E644" s="1" t="n">
        <v>46221</v>
      </c>
      <c r="F644" t="inlineStr">
        <is>
          <t>NORRBOTTENS LÄN</t>
        </is>
      </c>
      <c r="G644" t="inlineStr">
        <is>
          <t>PITEÅ</t>
        </is>
      </c>
      <c r="H644" t="inlineStr">
        <is>
          <t>Sveaskog</t>
        </is>
      </c>
      <c r="I644" t="n">
        <v>3.9</v>
      </c>
      <c r="J644" t="n">
        <v>0</v>
      </c>
      <c r="K644" t="n">
        <v>0</v>
      </c>
      <c r="L644" t="n">
        <v>0</v>
      </c>
      <c r="M644" t="n">
        <v>0</v>
      </c>
      <c r="N644" t="n">
        <v>0</v>
      </c>
      <c r="O644" t="n">
        <v>0</v>
      </c>
      <c r="P644" t="n">
        <v>0</v>
      </c>
      <c r="Q644" t="n">
        <v>0</v>
      </c>
      <c r="R644" t="n">
        <v>0</v>
      </c>
      <c r="S644" t="n">
        <v>0</v>
      </c>
      <c r="T644" t="n">
        <v>0</v>
      </c>
      <c r="U644" s="2" t="inlineStr"/>
    </row>
    <row r="645" ht="15" customHeight="1">
      <c r="A645" t="inlineStr">
        <is>
          <t>A 18397-2022</t>
        </is>
      </c>
      <c r="B645" t="inlineStr">
        <is>
          <t>avverkningsanmälan</t>
        </is>
      </c>
      <c r="C645" t="inlineStr">
        <is>
          <t>Föryngringsavverkning</t>
        </is>
      </c>
      <c r="D645" s="1" t="n">
        <v>44685</v>
      </c>
      <c r="E645" s="1" t="n">
        <v>46221</v>
      </c>
      <c r="F645" t="inlineStr">
        <is>
          <t>NORRBOTTENS LÄN</t>
        </is>
      </c>
      <c r="G645" t="inlineStr">
        <is>
          <t>PITEÅ</t>
        </is>
      </c>
      <c r="I645" t="n">
        <v>2.5</v>
      </c>
      <c r="J645" t="n">
        <v>0</v>
      </c>
      <c r="K645" t="n">
        <v>0</v>
      </c>
      <c r="L645" t="n">
        <v>0</v>
      </c>
      <c r="M645" t="n">
        <v>0</v>
      </c>
      <c r="N645" t="n">
        <v>0</v>
      </c>
      <c r="O645" t="n">
        <v>0</v>
      </c>
      <c r="P645" t="n">
        <v>0</v>
      </c>
      <c r="Q645" t="n">
        <v>0</v>
      </c>
      <c r="R645" t="n">
        <v>0</v>
      </c>
      <c r="S645" t="n">
        <v>0</v>
      </c>
      <c r="T645" t="n">
        <v>0</v>
      </c>
      <c r="U645" s="2" t="inlineStr"/>
    </row>
    <row r="646" ht="15" customHeight="1">
      <c r="A646" t="inlineStr">
        <is>
          <t>A 22238-2026</t>
        </is>
      </c>
      <c r="B646" t="inlineStr">
        <is>
          <t>avverkningsanmälan</t>
        </is>
      </c>
      <c r="C646" t="inlineStr">
        <is>
          <t>Föryngringsavverkning</t>
        </is>
      </c>
      <c r="D646" s="1" t="n">
        <v>46154</v>
      </c>
      <c r="E646" s="1" t="n">
        <v>46221</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43885-2023</t>
        </is>
      </c>
      <c r="B647" t="inlineStr">
        <is>
          <t>avverkningsanmälan</t>
        </is>
      </c>
      <c r="C647" t="inlineStr">
        <is>
          <t>Föryngringsavverkning</t>
        </is>
      </c>
      <c r="D647" s="1" t="n">
        <v>45187</v>
      </c>
      <c r="E647" s="1" t="n">
        <v>46221</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22186-2026</t>
        </is>
      </c>
      <c r="B648" t="inlineStr">
        <is>
          <t>avverkningsanmälan</t>
        </is>
      </c>
      <c r="C648" t="inlineStr">
        <is>
          <t>Föryngringsavverkning</t>
        </is>
      </c>
      <c r="D648" s="1" t="n">
        <v>46153</v>
      </c>
      <c r="E648" s="1" t="n">
        <v>46221</v>
      </c>
      <c r="F648" t="inlineStr">
        <is>
          <t>NORRBOTTENS LÄN</t>
        </is>
      </c>
      <c r="G648" t="inlineStr">
        <is>
          <t>PITEÅ</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63197-2023</t>
        </is>
      </c>
      <c r="B649" t="inlineStr">
        <is>
          <t>avverkningsanmälan</t>
        </is>
      </c>
      <c r="C649" t="inlineStr">
        <is>
          <t>Föryngringsavverkning</t>
        </is>
      </c>
      <c r="D649" s="1" t="n">
        <v>45273</v>
      </c>
      <c r="E649" s="1" t="n">
        <v>46221</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29552-2024</t>
        </is>
      </c>
      <c r="B650" t="inlineStr">
        <is>
          <t>avverkningsanmälan</t>
        </is>
      </c>
      <c r="C650" t="inlineStr">
        <is>
          <t>Föryngringsavverkning</t>
        </is>
      </c>
      <c r="D650" s="1" t="n">
        <v>45484</v>
      </c>
      <c r="E650" s="1" t="n">
        <v>46221</v>
      </c>
      <c r="F650" t="inlineStr">
        <is>
          <t>NORRBOTTENS LÄN</t>
        </is>
      </c>
      <c r="G650" t="inlineStr">
        <is>
          <t>PITEÅ</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22189-2026</t>
        </is>
      </c>
      <c r="B651" t="inlineStr">
        <is>
          <t>avverkningsanmälan</t>
        </is>
      </c>
      <c r="C651" t="inlineStr">
        <is>
          <t>Föryngringsavverkning</t>
        </is>
      </c>
      <c r="D651" s="1" t="n">
        <v>46153</v>
      </c>
      <c r="E651" s="1" t="n">
        <v>46221</v>
      </c>
      <c r="F651" t="inlineStr">
        <is>
          <t>NORRBOTTENS LÄN</t>
        </is>
      </c>
      <c r="G651" t="inlineStr">
        <is>
          <t>PITEÅ</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14341-2024</t>
        </is>
      </c>
      <c r="B652" t="inlineStr">
        <is>
          <t>avverkningsanmälan</t>
        </is>
      </c>
      <c r="C652" t="inlineStr">
        <is>
          <t>Föryngringsavverkning</t>
        </is>
      </c>
      <c r="D652" s="1" t="n">
        <v>45393</v>
      </c>
      <c r="E652" s="1" t="n">
        <v>46221</v>
      </c>
      <c r="F652" t="inlineStr">
        <is>
          <t>NORRBOTTENS LÄN</t>
        </is>
      </c>
      <c r="G652" t="inlineStr">
        <is>
          <t>PITEÅ</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52411-2022</t>
        </is>
      </c>
      <c r="B653" t="inlineStr">
        <is>
          <t>avverkningsanmälan</t>
        </is>
      </c>
      <c r="C653" t="inlineStr">
        <is>
          <t>Föryngringsavverkning</t>
        </is>
      </c>
      <c r="D653" s="1" t="n">
        <v>44874</v>
      </c>
      <c r="E653" s="1" t="n">
        <v>46221</v>
      </c>
      <c r="F653" t="inlineStr">
        <is>
          <t>NORRBOTTENS LÄN</t>
        </is>
      </c>
      <c r="G653" t="inlineStr">
        <is>
          <t>PITEÅ</t>
        </is>
      </c>
      <c r="H653" t="inlineStr">
        <is>
          <t>Sveaskog</t>
        </is>
      </c>
      <c r="I653" t="n">
        <v>4.2</v>
      </c>
      <c r="J653" t="n">
        <v>0</v>
      </c>
      <c r="K653" t="n">
        <v>0</v>
      </c>
      <c r="L653" t="n">
        <v>0</v>
      </c>
      <c r="M653" t="n">
        <v>0</v>
      </c>
      <c r="N653" t="n">
        <v>0</v>
      </c>
      <c r="O653" t="n">
        <v>0</v>
      </c>
      <c r="P653" t="n">
        <v>0</v>
      </c>
      <c r="Q653" t="n">
        <v>0</v>
      </c>
      <c r="R653" t="n">
        <v>0</v>
      </c>
      <c r="S653" t="n">
        <v>0</v>
      </c>
      <c r="T653" t="n">
        <v>0</v>
      </c>
      <c r="U653" s="2" t="inlineStr"/>
    </row>
    <row r="654" ht="15" customHeight="1">
      <c r="A654" t="inlineStr">
        <is>
          <t>A 10713-2023</t>
        </is>
      </c>
      <c r="B654" t="inlineStr">
        <is>
          <t>avverkningsanmälan</t>
        </is>
      </c>
      <c r="C654" t="inlineStr">
        <is>
          <t>Föryngringsavverkning</t>
        </is>
      </c>
      <c r="D654" s="1" t="n">
        <v>44984</v>
      </c>
      <c r="E654" s="1" t="n">
        <v>46221</v>
      </c>
      <c r="F654" t="inlineStr">
        <is>
          <t>NORRBOTTENS LÄN</t>
        </is>
      </c>
      <c r="G654" t="inlineStr">
        <is>
          <t>PITEÅ</t>
        </is>
      </c>
      <c r="I654" t="n">
        <v>2.4</v>
      </c>
      <c r="J654" t="n">
        <v>0</v>
      </c>
      <c r="K654" t="n">
        <v>0</v>
      </c>
      <c r="L654" t="n">
        <v>0</v>
      </c>
      <c r="M654" t="n">
        <v>0</v>
      </c>
      <c r="N654" t="n">
        <v>0</v>
      </c>
      <c r="O654" t="n">
        <v>0</v>
      </c>
      <c r="P654" t="n">
        <v>0</v>
      </c>
      <c r="Q654" t="n">
        <v>0</v>
      </c>
      <c r="R654" t="n">
        <v>0</v>
      </c>
      <c r="S654" t="n">
        <v>0</v>
      </c>
      <c r="T654" t="n">
        <v>0</v>
      </c>
      <c r="U654" s="2" t="inlineStr"/>
    </row>
    <row r="655" ht="15" customHeight="1">
      <c r="A655" t="inlineStr">
        <is>
          <t>A 45713-2024</t>
        </is>
      </c>
      <c r="B655" t="inlineStr">
        <is>
          <t>avverkningsanmälan</t>
        </is>
      </c>
      <c r="C655" t="inlineStr">
        <is>
          <t>Föryngringsavverkning</t>
        </is>
      </c>
      <c r="D655" s="1" t="n">
        <v>45579</v>
      </c>
      <c r="E655" s="1" t="n">
        <v>46221</v>
      </c>
      <c r="F655" t="inlineStr">
        <is>
          <t>NORRBOTTENS LÄN</t>
        </is>
      </c>
      <c r="G655" t="inlineStr">
        <is>
          <t>PITEÅ</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45715-2024</t>
        </is>
      </c>
      <c r="B656" t="inlineStr">
        <is>
          <t>avverkningsanmälan</t>
        </is>
      </c>
      <c r="C656" t="inlineStr">
        <is>
          <t>Föryngringsavverkning</t>
        </is>
      </c>
      <c r="D656" s="1" t="n">
        <v>45579</v>
      </c>
      <c r="E656" s="1" t="n">
        <v>46221</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50559-2024</t>
        </is>
      </c>
      <c r="B657" t="inlineStr">
        <is>
          <t>avverkningsanmälan</t>
        </is>
      </c>
      <c r="C657" t="inlineStr">
        <is>
          <t>Föryngringsavverkning</t>
        </is>
      </c>
      <c r="D657" s="1" t="n">
        <v>45601</v>
      </c>
      <c r="E657" s="1" t="n">
        <v>46221</v>
      </c>
      <c r="F657" t="inlineStr">
        <is>
          <t>NORRBOTTENS LÄN</t>
        </is>
      </c>
      <c r="G657" t="inlineStr">
        <is>
          <t>PITEÅ</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8267-2023</t>
        </is>
      </c>
      <c r="B658" t="inlineStr">
        <is>
          <t>avverkningsanmälan</t>
        </is>
      </c>
      <c r="C658" t="inlineStr">
        <is>
          <t>Föryngringsavverkning</t>
        </is>
      </c>
      <c r="D658" s="1" t="n">
        <v>44971</v>
      </c>
      <c r="E658" s="1" t="n">
        <v>46221</v>
      </c>
      <c r="F658" t="inlineStr">
        <is>
          <t>NORRBOTTENS LÄN</t>
        </is>
      </c>
      <c r="G658" t="inlineStr">
        <is>
          <t>PITEÅ</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22251-2026</t>
        </is>
      </c>
      <c r="B659" t="inlineStr">
        <is>
          <t>avverkningsanmälan</t>
        </is>
      </c>
      <c r="C659" t="inlineStr">
        <is>
          <t>Föryngringsavverkning</t>
        </is>
      </c>
      <c r="D659" s="1" t="n">
        <v>46154</v>
      </c>
      <c r="E659" s="1" t="n">
        <v>46221</v>
      </c>
      <c r="F659" t="inlineStr">
        <is>
          <t>NORRBOTTENS LÄN</t>
        </is>
      </c>
      <c r="G659" t="inlineStr">
        <is>
          <t>PITEÅ</t>
        </is>
      </c>
      <c r="I659" t="n">
        <v>3</v>
      </c>
      <c r="J659" t="n">
        <v>0</v>
      </c>
      <c r="K659" t="n">
        <v>0</v>
      </c>
      <c r="L659" t="n">
        <v>0</v>
      </c>
      <c r="M659" t="n">
        <v>0</v>
      </c>
      <c r="N659" t="n">
        <v>0</v>
      </c>
      <c r="O659" t="n">
        <v>0</v>
      </c>
      <c r="P659" t="n">
        <v>0</v>
      </c>
      <c r="Q659" t="n">
        <v>0</v>
      </c>
      <c r="R659" t="n">
        <v>0</v>
      </c>
      <c r="S659" t="n">
        <v>0</v>
      </c>
      <c r="T659" t="n">
        <v>0</v>
      </c>
      <c r="U659" s="2" t="inlineStr"/>
    </row>
    <row r="660" ht="15" customHeight="1">
      <c r="A660" t="inlineStr">
        <is>
          <t>A 39606-2024</t>
        </is>
      </c>
      <c r="B660" t="inlineStr">
        <is>
          <t>avverkningsanmälan</t>
        </is>
      </c>
      <c r="C660" t="inlineStr">
        <is>
          <t>Avverkning för annat ändamål</t>
        </is>
      </c>
      <c r="D660" s="1" t="n">
        <v>45552</v>
      </c>
      <c r="E660" s="1" t="n">
        <v>46221</v>
      </c>
      <c r="F660" t="inlineStr">
        <is>
          <t>NORRBOTTENS LÄN</t>
        </is>
      </c>
      <c r="G660" t="inlineStr">
        <is>
          <t>PITEÅ</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61469-2024</t>
        </is>
      </c>
      <c r="B661" t="inlineStr">
        <is>
          <t>avverkningsanmälan</t>
        </is>
      </c>
      <c r="C661" t="inlineStr">
        <is>
          <t>Föryngringsavverkning</t>
        </is>
      </c>
      <c r="D661" s="1" t="n">
        <v>45646</v>
      </c>
      <c r="E661" s="1" t="n">
        <v>46221</v>
      </c>
      <c r="F661" t="inlineStr">
        <is>
          <t>NORRBOTTENS LÄN</t>
        </is>
      </c>
      <c r="G661" t="inlineStr">
        <is>
          <t>PITEÅ</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3071-2025</t>
        </is>
      </c>
      <c r="B662" t="inlineStr">
        <is>
          <t>avverkningsanmälan</t>
        </is>
      </c>
      <c r="C662" t="inlineStr">
        <is>
          <t>Föryngringsavverkning</t>
        </is>
      </c>
      <c r="D662" s="1" t="n">
        <v>45678</v>
      </c>
      <c r="E662" s="1" t="n">
        <v>46221</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s="2" t="inlineStr"/>
    </row>
    <row r="663" ht="15" customHeight="1">
      <c r="A663" t="inlineStr">
        <is>
          <t>A 61462-2024</t>
        </is>
      </c>
      <c r="B663" t="inlineStr">
        <is>
          <t>avverkningsanmälan</t>
        </is>
      </c>
      <c r="C663" t="inlineStr">
        <is>
          <t>Föryngringsavverkning</t>
        </is>
      </c>
      <c r="D663" s="1" t="n">
        <v>45646</v>
      </c>
      <c r="E663" s="1" t="n">
        <v>46221</v>
      </c>
      <c r="F663" t="inlineStr">
        <is>
          <t>NORRBOTTENS LÄN</t>
        </is>
      </c>
      <c r="G663" t="inlineStr">
        <is>
          <t>PITEÅ</t>
        </is>
      </c>
      <c r="I663" t="n">
        <v>5.2</v>
      </c>
      <c r="J663" t="n">
        <v>0</v>
      </c>
      <c r="K663" t="n">
        <v>0</v>
      </c>
      <c r="L663" t="n">
        <v>0</v>
      </c>
      <c r="M663" t="n">
        <v>0</v>
      </c>
      <c r="N663" t="n">
        <v>0</v>
      </c>
      <c r="O663" t="n">
        <v>0</v>
      </c>
      <c r="P663" t="n">
        <v>0</v>
      </c>
      <c r="Q663" t="n">
        <v>0</v>
      </c>
      <c r="R663" t="n">
        <v>0</v>
      </c>
      <c r="S663" t="n">
        <v>0</v>
      </c>
      <c r="T663" t="n">
        <v>0</v>
      </c>
      <c r="U663" s="2" t="inlineStr"/>
    </row>
    <row r="664" ht="15" customHeight="1">
      <c r="A664" t="inlineStr">
        <is>
          <t>A 28095-2026</t>
        </is>
      </c>
      <c r="B664" t="inlineStr">
        <is>
          <t>avverkningsanmälan</t>
        </is>
      </c>
      <c r="C664" t="inlineStr">
        <is>
          <t>Föryngringsavverkning</t>
        </is>
      </c>
      <c r="D664" s="1" t="n">
        <v>46195</v>
      </c>
      <c r="E664" s="1" t="n">
        <v>46221</v>
      </c>
      <c r="F664" t="inlineStr">
        <is>
          <t>NORRBOTTENS LÄN</t>
        </is>
      </c>
      <c r="G664" t="inlineStr">
        <is>
          <t>PITEÅ</t>
        </is>
      </c>
      <c r="I664" t="n">
        <v>14.7</v>
      </c>
      <c r="J664" t="n">
        <v>0</v>
      </c>
      <c r="K664" t="n">
        <v>0</v>
      </c>
      <c r="L664" t="n">
        <v>0</v>
      </c>
      <c r="M664" t="n">
        <v>0</v>
      </c>
      <c r="N664" t="n">
        <v>0</v>
      </c>
      <c r="O664" t="n">
        <v>0</v>
      </c>
      <c r="P664" t="n">
        <v>0</v>
      </c>
      <c r="Q664" t="n">
        <v>0</v>
      </c>
      <c r="R664" t="n">
        <v>0</v>
      </c>
      <c r="S664" t="n">
        <v>0</v>
      </c>
      <c r="T664" t="n">
        <v>0</v>
      </c>
      <c r="U664" s="2" t="inlineStr"/>
    </row>
    <row r="665" ht="15" customHeight="1">
      <c r="A665" t="inlineStr">
        <is>
          <t>A 41173-2024</t>
        </is>
      </c>
      <c r="B665" t="inlineStr">
        <is>
          <t>avverkningsanmälan</t>
        </is>
      </c>
      <c r="C665" t="inlineStr">
        <is>
          <t>Föryngringsavverkning</t>
        </is>
      </c>
      <c r="D665" s="1" t="n">
        <v>45559</v>
      </c>
      <c r="E665" s="1" t="n">
        <v>46221</v>
      </c>
      <c r="F665" t="inlineStr">
        <is>
          <t>NORRBOTTENS LÄN</t>
        </is>
      </c>
      <c r="G665" t="inlineStr">
        <is>
          <t>PITEÅ</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67904-2021</t>
        </is>
      </c>
      <c r="B666" t="inlineStr">
        <is>
          <t>avverkningsanmälan</t>
        </is>
      </c>
      <c r="C666" t="inlineStr">
        <is>
          <t>Föryngringsavverkning</t>
        </is>
      </c>
      <c r="D666" s="1" t="n">
        <v>44525</v>
      </c>
      <c r="E666" s="1" t="n">
        <v>46221</v>
      </c>
      <c r="F666" t="inlineStr">
        <is>
          <t>NORRBOTTENS LÄN</t>
        </is>
      </c>
      <c r="G666" t="inlineStr">
        <is>
          <t>PITEÅ</t>
        </is>
      </c>
      <c r="I666" t="n">
        <v>12.7</v>
      </c>
      <c r="J666" t="n">
        <v>0</v>
      </c>
      <c r="K666" t="n">
        <v>0</v>
      </c>
      <c r="L666" t="n">
        <v>0</v>
      </c>
      <c r="M666" t="n">
        <v>0</v>
      </c>
      <c r="N666" t="n">
        <v>0</v>
      </c>
      <c r="O666" t="n">
        <v>0</v>
      </c>
      <c r="P666" t="n">
        <v>0</v>
      </c>
      <c r="Q666" t="n">
        <v>0</v>
      </c>
      <c r="R666" t="n">
        <v>0</v>
      </c>
      <c r="S666" t="n">
        <v>0</v>
      </c>
      <c r="T666" t="n">
        <v>0</v>
      </c>
      <c r="U666" s="2" t="inlineStr"/>
    </row>
    <row r="667" ht="15" customHeight="1">
      <c r="A667" t="inlineStr">
        <is>
          <t>A 38406-2024</t>
        </is>
      </c>
      <c r="B667" t="inlineStr">
        <is>
          <t>avverkningsanmälan</t>
        </is>
      </c>
      <c r="C667" t="inlineStr">
        <is>
          <t>Föryngringsavverkning</t>
        </is>
      </c>
      <c r="D667" s="1" t="n">
        <v>45546</v>
      </c>
      <c r="E667" s="1" t="n">
        <v>46221</v>
      </c>
      <c r="F667" t="inlineStr">
        <is>
          <t>NORRBOTTENS LÄN</t>
        </is>
      </c>
      <c r="G667" t="inlineStr">
        <is>
          <t>PITEÅ</t>
        </is>
      </c>
      <c r="H667" t="inlineStr">
        <is>
          <t>SCA</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43674-2025</t>
        </is>
      </c>
      <c r="B668" t="inlineStr">
        <is>
          <t>avverkningsanmälan</t>
        </is>
      </c>
      <c r="C668" t="inlineStr">
        <is>
          <t>Föryngringsavverkning</t>
        </is>
      </c>
      <c r="D668" s="1" t="n">
        <v>45912</v>
      </c>
      <c r="E668" s="1" t="n">
        <v>46221</v>
      </c>
      <c r="F668" t="inlineStr">
        <is>
          <t>NORRBOTTENS LÄN</t>
        </is>
      </c>
      <c r="G668" t="inlineStr">
        <is>
          <t>PITEÅ</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17851-2024</t>
        </is>
      </c>
      <c r="B669" t="inlineStr">
        <is>
          <t>avverkningsanmälan</t>
        </is>
      </c>
      <c r="C669" t="inlineStr">
        <is>
          <t>Föryngringsavverkning</t>
        </is>
      </c>
      <c r="D669" s="1" t="n">
        <v>45419</v>
      </c>
      <c r="E669" s="1" t="n">
        <v>46221</v>
      </c>
      <c r="F669" t="inlineStr">
        <is>
          <t>NORRBOTTENS LÄN</t>
        </is>
      </c>
      <c r="G669" t="inlineStr">
        <is>
          <t>PITEÅ</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9193-2022</t>
        </is>
      </c>
      <c r="B670" t="inlineStr">
        <is>
          <t>avverkningsanmälan</t>
        </is>
      </c>
      <c r="C670" t="inlineStr">
        <is>
          <t>Föryngringsavverkning</t>
        </is>
      </c>
      <c r="D670" s="1" t="n">
        <v>44615</v>
      </c>
      <c r="E670" s="1" t="n">
        <v>46221</v>
      </c>
      <c r="F670" t="inlineStr">
        <is>
          <t>NORRBOTTENS LÄN</t>
        </is>
      </c>
      <c r="G670" t="inlineStr">
        <is>
          <t>PITEÅ</t>
        </is>
      </c>
      <c r="I670" t="n">
        <v>4.7</v>
      </c>
      <c r="J670" t="n">
        <v>0</v>
      </c>
      <c r="K670" t="n">
        <v>0</v>
      </c>
      <c r="L670" t="n">
        <v>0</v>
      </c>
      <c r="M670" t="n">
        <v>0</v>
      </c>
      <c r="N670" t="n">
        <v>0</v>
      </c>
      <c r="O670" t="n">
        <v>0</v>
      </c>
      <c r="P670" t="n">
        <v>0</v>
      </c>
      <c r="Q670" t="n">
        <v>0</v>
      </c>
      <c r="R670" t="n">
        <v>0</v>
      </c>
      <c r="S670" t="n">
        <v>0</v>
      </c>
      <c r="T670" t="n">
        <v>0</v>
      </c>
      <c r="U670" s="2" t="inlineStr"/>
    </row>
    <row r="671" ht="15" customHeight="1">
      <c r="A671" t="inlineStr">
        <is>
          <t>A 60082-2024</t>
        </is>
      </c>
      <c r="B671" t="inlineStr">
        <is>
          <t>avverkningsanmälan</t>
        </is>
      </c>
      <c r="C671" t="inlineStr">
        <is>
          <t>Föryngringsavverkning</t>
        </is>
      </c>
      <c r="D671" s="1" t="n">
        <v>45642</v>
      </c>
      <c r="E671" s="1" t="n">
        <v>46221</v>
      </c>
      <c r="F671" t="inlineStr">
        <is>
          <t>NORRBOTTENS LÄN</t>
        </is>
      </c>
      <c r="G671" t="inlineStr">
        <is>
          <t>PITEÅ</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43298-2021</t>
        </is>
      </c>
      <c r="B672" t="inlineStr">
        <is>
          <t>avverkningsanmälan</t>
        </is>
      </c>
      <c r="C672" t="inlineStr">
        <is>
          <t>Avverkning för annat ändamål</t>
        </is>
      </c>
      <c r="D672" s="1" t="n">
        <v>44432</v>
      </c>
      <c r="E672" s="1" t="n">
        <v>46221</v>
      </c>
      <c r="F672" t="inlineStr">
        <is>
          <t>NORRBOTTENS LÄN</t>
        </is>
      </c>
      <c r="G672" t="inlineStr">
        <is>
          <t>PITEÅ</t>
        </is>
      </c>
      <c r="I672" t="n">
        <v>1.8</v>
      </c>
      <c r="J672" t="n">
        <v>0</v>
      </c>
      <c r="K672" t="n">
        <v>0</v>
      </c>
      <c r="L672" t="n">
        <v>0</v>
      </c>
      <c r="M672" t="n">
        <v>0</v>
      </c>
      <c r="N672" t="n">
        <v>0</v>
      </c>
      <c r="O672" t="n">
        <v>0</v>
      </c>
      <c r="P672" t="n">
        <v>0</v>
      </c>
      <c r="Q672" t="n">
        <v>0</v>
      </c>
      <c r="R672" t="n">
        <v>0</v>
      </c>
      <c r="S672" t="n">
        <v>0</v>
      </c>
      <c r="T672" t="n">
        <v>0</v>
      </c>
      <c r="U672" s="2" t="inlineStr"/>
    </row>
    <row r="673" ht="15" customHeight="1">
      <c r="A673" t="inlineStr">
        <is>
          <t>A 23079-2026</t>
        </is>
      </c>
      <c r="B673" t="inlineStr">
        <is>
          <t>avverkningsanmälan</t>
        </is>
      </c>
      <c r="C673" t="inlineStr">
        <is>
          <t>Föryngringsavverkning</t>
        </is>
      </c>
      <c r="D673" s="1" t="n">
        <v>46161</v>
      </c>
      <c r="E673" s="1" t="n">
        <v>46221</v>
      </c>
      <c r="F673" t="inlineStr">
        <is>
          <t>NORRBOTTENS LÄN</t>
        </is>
      </c>
      <c r="G673" t="inlineStr">
        <is>
          <t>PITEÅ</t>
        </is>
      </c>
      <c r="I673" t="n">
        <v>3</v>
      </c>
      <c r="J673" t="n">
        <v>0</v>
      </c>
      <c r="K673" t="n">
        <v>0</v>
      </c>
      <c r="L673" t="n">
        <v>0</v>
      </c>
      <c r="M673" t="n">
        <v>0</v>
      </c>
      <c r="N673" t="n">
        <v>0</v>
      </c>
      <c r="O673" t="n">
        <v>0</v>
      </c>
      <c r="P673" t="n">
        <v>0</v>
      </c>
      <c r="Q673" t="n">
        <v>0</v>
      </c>
      <c r="R673" t="n">
        <v>0</v>
      </c>
      <c r="S673" t="n">
        <v>0</v>
      </c>
      <c r="T673" t="n">
        <v>0</v>
      </c>
      <c r="U673" s="2" t="inlineStr"/>
    </row>
    <row r="674" ht="15" customHeight="1">
      <c r="A674" t="inlineStr">
        <is>
          <t>A 51350-2024</t>
        </is>
      </c>
      <c r="B674" t="inlineStr">
        <is>
          <t>avverkningsanmälan</t>
        </is>
      </c>
      <c r="C674" t="inlineStr">
        <is>
          <t>Föryngringsavverkning</t>
        </is>
      </c>
      <c r="D674" s="1" t="n">
        <v>45604</v>
      </c>
      <c r="E674" s="1" t="n">
        <v>46221</v>
      </c>
      <c r="F674" t="inlineStr">
        <is>
          <t>NORRBOTTENS LÄN</t>
        </is>
      </c>
      <c r="G674" t="inlineStr">
        <is>
          <t>PITEÅ</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3220-2024</t>
        </is>
      </c>
      <c r="B675" t="inlineStr">
        <is>
          <t>avverkningsanmälan</t>
        </is>
      </c>
      <c r="C675" t="inlineStr">
        <is>
          <t>Föryngringsavverkning</t>
        </is>
      </c>
      <c r="D675" s="1" t="n">
        <v>45316</v>
      </c>
      <c r="E675" s="1" t="n">
        <v>46221</v>
      </c>
      <c r="F675" t="inlineStr">
        <is>
          <t>NORRBOTTENS LÄN</t>
        </is>
      </c>
      <c r="G675" t="inlineStr">
        <is>
          <t>PITEÅ</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23036-2026</t>
        </is>
      </c>
      <c r="B676" t="inlineStr">
        <is>
          <t>avverkningsanmälan</t>
        </is>
      </c>
      <c r="C676" t="inlineStr">
        <is>
          <t>Föryngringsavverkning</t>
        </is>
      </c>
      <c r="D676" s="1" t="n">
        <v>46161</v>
      </c>
      <c r="E676" s="1" t="n">
        <v>46221</v>
      </c>
      <c r="F676" t="inlineStr">
        <is>
          <t>NORRBOTTENS LÄN</t>
        </is>
      </c>
      <c r="G676" t="inlineStr">
        <is>
          <t>PITEÅ</t>
        </is>
      </c>
      <c r="I676" t="n">
        <v>4.2</v>
      </c>
      <c r="J676" t="n">
        <v>0</v>
      </c>
      <c r="K676" t="n">
        <v>0</v>
      </c>
      <c r="L676" t="n">
        <v>0</v>
      </c>
      <c r="M676" t="n">
        <v>0</v>
      </c>
      <c r="N676" t="n">
        <v>0</v>
      </c>
      <c r="O676" t="n">
        <v>0</v>
      </c>
      <c r="P676" t="n">
        <v>0</v>
      </c>
      <c r="Q676" t="n">
        <v>0</v>
      </c>
      <c r="R676" t="n">
        <v>0</v>
      </c>
      <c r="S676" t="n">
        <v>0</v>
      </c>
      <c r="T676" t="n">
        <v>0</v>
      </c>
      <c r="U676" s="2" t="inlineStr"/>
    </row>
    <row r="677" ht="15" customHeight="1">
      <c r="A677" t="inlineStr">
        <is>
          <t>A 41760-2023</t>
        </is>
      </c>
      <c r="B677" t="inlineStr">
        <is>
          <t>avverkningsanmälan</t>
        </is>
      </c>
      <c r="C677" t="inlineStr">
        <is>
          <t>Föryngringsavverkning</t>
        </is>
      </c>
      <c r="D677" s="1" t="n">
        <v>45176</v>
      </c>
      <c r="E677" s="1" t="n">
        <v>46221</v>
      </c>
      <c r="F677" t="inlineStr">
        <is>
          <t>NORRBOTTENS LÄN</t>
        </is>
      </c>
      <c r="G677" t="inlineStr">
        <is>
          <t>PITEÅ</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18530-2024</t>
        </is>
      </c>
      <c r="B678" t="inlineStr">
        <is>
          <t>avverkningsanmälan</t>
        </is>
      </c>
      <c r="C678" t="inlineStr">
        <is>
          <t>Föryngringsavverkning</t>
        </is>
      </c>
      <c r="D678" s="1" t="n">
        <v>45425</v>
      </c>
      <c r="E678" s="1" t="n">
        <v>46221</v>
      </c>
      <c r="F678" t="inlineStr">
        <is>
          <t>NORRBOTTENS LÄN</t>
        </is>
      </c>
      <c r="G678" t="inlineStr">
        <is>
          <t>PITEÅ</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50977-2024</t>
        </is>
      </c>
      <c r="B679" t="inlineStr">
        <is>
          <t>avverkningsanmälan</t>
        </is>
      </c>
      <c r="C679" t="inlineStr">
        <is>
          <t>Föryngringsavverkning</t>
        </is>
      </c>
      <c r="D679" s="1" t="n">
        <v>45603</v>
      </c>
      <c r="E679" s="1" t="n">
        <v>46221</v>
      </c>
      <c r="F679" t="inlineStr">
        <is>
          <t>NORRBOTTENS LÄN</t>
        </is>
      </c>
      <c r="G679" t="inlineStr">
        <is>
          <t>PITEÅ</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49462-2024</t>
        </is>
      </c>
      <c r="B680" t="inlineStr">
        <is>
          <t>avverkningsanmälan</t>
        </is>
      </c>
      <c r="C680" t="inlineStr">
        <is>
          <t>Föryngringsavverkning</t>
        </is>
      </c>
      <c r="D680" s="1" t="n">
        <v>45596</v>
      </c>
      <c r="E680" s="1" t="n">
        <v>46221</v>
      </c>
      <c r="F680" t="inlineStr">
        <is>
          <t>NORRBOTTENS LÄN</t>
        </is>
      </c>
      <c r="G680" t="inlineStr">
        <is>
          <t>PITEÅ</t>
        </is>
      </c>
      <c r="H680" t="inlineStr">
        <is>
          <t>Sveaskog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29418-2026</t>
        </is>
      </c>
      <c r="B681" t="inlineStr">
        <is>
          <t>avverkningsanmälan</t>
        </is>
      </c>
      <c r="C681" t="inlineStr">
        <is>
          <t>Föryngringsavverkning</t>
        </is>
      </c>
      <c r="D681" s="1" t="n">
        <v>46203</v>
      </c>
      <c r="E681" s="1" t="n">
        <v>46221</v>
      </c>
      <c r="F681" t="inlineStr">
        <is>
          <t>NORRBOTTENS LÄN</t>
        </is>
      </c>
      <c r="G681" t="inlineStr">
        <is>
          <t>PITEÅ</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48594-2024</t>
        </is>
      </c>
      <c r="B682" t="inlineStr">
        <is>
          <t>avverkningsanmälan</t>
        </is>
      </c>
      <c r="C682" t="inlineStr">
        <is>
          <t>Föryngringsavverkning</t>
        </is>
      </c>
      <c r="D682" s="1" t="n">
        <v>45593</v>
      </c>
      <c r="E682" s="1" t="n">
        <v>46221</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29420-2026</t>
        </is>
      </c>
      <c r="B683" t="inlineStr">
        <is>
          <t>avverkningsanmälan</t>
        </is>
      </c>
      <c r="C683" t="inlineStr">
        <is>
          <t>Föryngringsavverkning</t>
        </is>
      </c>
      <c r="D683" s="1" t="n">
        <v>46203</v>
      </c>
      <c r="E683" s="1" t="n">
        <v>46221</v>
      </c>
      <c r="F683" t="inlineStr">
        <is>
          <t>NORRBOTTENS LÄN</t>
        </is>
      </c>
      <c r="G683" t="inlineStr">
        <is>
          <t>PITEÅ</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58993-2025</t>
        </is>
      </c>
      <c r="B684" t="inlineStr">
        <is>
          <t>avverkningsanmälan</t>
        </is>
      </c>
      <c r="C684" t="inlineStr">
        <is>
          <t>Föryngringsavverkning</t>
        </is>
      </c>
      <c r="D684" s="1" t="n">
        <v>45987</v>
      </c>
      <c r="E684" s="1" t="n">
        <v>46221</v>
      </c>
      <c r="F684" t="inlineStr">
        <is>
          <t>NORRBOTTENS LÄN</t>
        </is>
      </c>
      <c r="G684" t="inlineStr">
        <is>
          <t>PITEÅ</t>
        </is>
      </c>
      <c r="I684" t="n">
        <v>7.9</v>
      </c>
      <c r="J684" t="n">
        <v>0</v>
      </c>
      <c r="K684" t="n">
        <v>0</v>
      </c>
      <c r="L684" t="n">
        <v>0</v>
      </c>
      <c r="M684" t="n">
        <v>0</v>
      </c>
      <c r="N684" t="n">
        <v>0</v>
      </c>
      <c r="O684" t="n">
        <v>0</v>
      </c>
      <c r="P684" t="n">
        <v>0</v>
      </c>
      <c r="Q684" t="n">
        <v>0</v>
      </c>
      <c r="R684" t="n">
        <v>0</v>
      </c>
      <c r="S684" t="n">
        <v>0</v>
      </c>
      <c r="T684" t="n">
        <v>0</v>
      </c>
      <c r="U684" s="2" t="inlineStr"/>
    </row>
    <row r="685" ht="15" customHeight="1">
      <c r="A685" t="inlineStr">
        <is>
          <t>A 29495-2026</t>
        </is>
      </c>
      <c r="B685" t="inlineStr">
        <is>
          <t>avverkningsanmälan</t>
        </is>
      </c>
      <c r="C685" t="inlineStr">
        <is>
          <t>Föryngringsavverkning</t>
        </is>
      </c>
      <c r="D685" s="1" t="n">
        <v>46203</v>
      </c>
      <c r="E685" s="1" t="n">
        <v>46221</v>
      </c>
      <c r="F685" t="inlineStr">
        <is>
          <t>NORRBOTTENS LÄN</t>
        </is>
      </c>
      <c r="G685" t="inlineStr">
        <is>
          <t>PITEÅ</t>
        </is>
      </c>
      <c r="H685" t="inlineStr">
        <is>
          <t>Sveaskog</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23369-2026</t>
        </is>
      </c>
      <c r="B686" t="inlineStr">
        <is>
          <t>avverkningsanmälan</t>
        </is>
      </c>
      <c r="C686" t="inlineStr">
        <is>
          <t>Föryngringsavverkning</t>
        </is>
      </c>
      <c r="D686" s="1" t="n">
        <v>46162</v>
      </c>
      <c r="E686" s="1" t="n">
        <v>46221</v>
      </c>
      <c r="F686" t="inlineStr">
        <is>
          <t>NORRBOTTENS LÄN</t>
        </is>
      </c>
      <c r="G686" t="inlineStr">
        <is>
          <t>PITEÅ</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23030-2026</t>
        </is>
      </c>
      <c r="B687" t="inlineStr">
        <is>
          <t>avverkningsanmälan</t>
        </is>
      </c>
      <c r="C687" t="inlineStr">
        <is>
          <t>Föryngringsavverkning</t>
        </is>
      </c>
      <c r="D687" s="1" t="n">
        <v>46161</v>
      </c>
      <c r="E687" s="1" t="n">
        <v>46221</v>
      </c>
      <c r="F687" t="inlineStr">
        <is>
          <t>NORRBOTTENS LÄN</t>
        </is>
      </c>
      <c r="G687" t="inlineStr">
        <is>
          <t>PITEÅ</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61711-2022</t>
        </is>
      </c>
      <c r="B688" t="inlineStr">
        <is>
          <t>avverkningsanmälan</t>
        </is>
      </c>
      <c r="C688" t="inlineStr">
        <is>
          <t>Avverkning för att bevara och utveckla /försöksver</t>
        </is>
      </c>
      <c r="D688" s="1" t="n">
        <v>44917</v>
      </c>
      <c r="E688" s="1" t="n">
        <v>46221</v>
      </c>
      <c r="F688" t="inlineStr">
        <is>
          <t>NORRBOTTENS LÄN</t>
        </is>
      </c>
      <c r="G688" t="inlineStr">
        <is>
          <t>PITEÅ</t>
        </is>
      </c>
      <c r="H688" t="inlineStr">
        <is>
          <t>Sveaskog</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29481-2023</t>
        </is>
      </c>
      <c r="B689" t="inlineStr">
        <is>
          <t>avverkningsanmälan</t>
        </is>
      </c>
      <c r="C689" t="inlineStr">
        <is>
          <t>Föryngringsavverkning</t>
        </is>
      </c>
      <c r="D689" s="1" t="n">
        <v>45106</v>
      </c>
      <c r="E689" s="1" t="n">
        <v>46221</v>
      </c>
      <c r="F689" t="inlineStr">
        <is>
          <t>NORRBOTTENS LÄN</t>
        </is>
      </c>
      <c r="G689" t="inlineStr">
        <is>
          <t>PITEÅ</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23371-2026</t>
        </is>
      </c>
      <c r="B690" t="inlineStr">
        <is>
          <t>avverkningsanmälan</t>
        </is>
      </c>
      <c r="C690" t="inlineStr">
        <is>
          <t>Föryngringsavverkning</t>
        </is>
      </c>
      <c r="D690" s="1" t="n">
        <v>46162</v>
      </c>
      <c r="E690" s="1" t="n">
        <v>46221</v>
      </c>
      <c r="F690" t="inlineStr">
        <is>
          <t>NORRBOTTENS LÄN</t>
        </is>
      </c>
      <c r="G690" t="inlineStr">
        <is>
          <t>PITEÅ</t>
        </is>
      </c>
      <c r="I690" t="n">
        <v>5.8</v>
      </c>
      <c r="J690" t="n">
        <v>0</v>
      </c>
      <c r="K690" t="n">
        <v>0</v>
      </c>
      <c r="L690" t="n">
        <v>0</v>
      </c>
      <c r="M690" t="n">
        <v>0</v>
      </c>
      <c r="N690" t="n">
        <v>0</v>
      </c>
      <c r="O690" t="n">
        <v>0</v>
      </c>
      <c r="P690" t="n">
        <v>0</v>
      </c>
      <c r="Q690" t="n">
        <v>0</v>
      </c>
      <c r="R690" t="n">
        <v>0</v>
      </c>
      <c r="S690" t="n">
        <v>0</v>
      </c>
      <c r="T690" t="n">
        <v>0</v>
      </c>
      <c r="U690" s="2" t="inlineStr"/>
    </row>
    <row r="691" ht="15" customHeight="1">
      <c r="A691" t="inlineStr">
        <is>
          <t>A 57200-2023</t>
        </is>
      </c>
      <c r="B691" t="inlineStr">
        <is>
          <t>avverkningsanmälan</t>
        </is>
      </c>
      <c r="C691" t="inlineStr">
        <is>
          <t>Föryngringsavverkning</t>
        </is>
      </c>
      <c r="D691" s="1" t="n">
        <v>45245</v>
      </c>
      <c r="E691" s="1" t="n">
        <v>46221</v>
      </c>
      <c r="F691" t="inlineStr">
        <is>
          <t>NORRBOTTENS LÄN</t>
        </is>
      </c>
      <c r="G691" t="inlineStr">
        <is>
          <t>PITEÅ</t>
        </is>
      </c>
      <c r="I691" t="n">
        <v>11.4</v>
      </c>
      <c r="J691" t="n">
        <v>0</v>
      </c>
      <c r="K691" t="n">
        <v>0</v>
      </c>
      <c r="L691" t="n">
        <v>0</v>
      </c>
      <c r="M691" t="n">
        <v>0</v>
      </c>
      <c r="N691" t="n">
        <v>0</v>
      </c>
      <c r="O691" t="n">
        <v>0</v>
      </c>
      <c r="P691" t="n">
        <v>0</v>
      </c>
      <c r="Q691" t="n">
        <v>0</v>
      </c>
      <c r="R691" t="n">
        <v>0</v>
      </c>
      <c r="S691" t="n">
        <v>0</v>
      </c>
      <c r="T691" t="n">
        <v>0</v>
      </c>
      <c r="U691" s="2" t="inlineStr"/>
    </row>
    <row r="692" ht="15" customHeight="1">
      <c r="A692" t="inlineStr">
        <is>
          <t>A 2625-2023</t>
        </is>
      </c>
      <c r="B692" t="inlineStr">
        <is>
          <t>avverkningsanmälan</t>
        </is>
      </c>
      <c r="C692" t="inlineStr">
        <is>
          <t>Föryngringsavverkning</t>
        </is>
      </c>
      <c r="D692" s="1" t="n">
        <v>44942</v>
      </c>
      <c r="E692" s="1" t="n">
        <v>46221</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29498-2026</t>
        </is>
      </c>
      <c r="B693" t="inlineStr">
        <is>
          <t>avverkningsanmälan</t>
        </is>
      </c>
      <c r="C693" t="inlineStr">
        <is>
          <t>Föryngringsavverkning</t>
        </is>
      </c>
      <c r="D693" s="1" t="n">
        <v>46203</v>
      </c>
      <c r="E693" s="1" t="n">
        <v>46221</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s="2" t="inlineStr"/>
    </row>
    <row r="694" ht="15" customHeight="1">
      <c r="A694" t="inlineStr">
        <is>
          <t>A 21851-2022</t>
        </is>
      </c>
      <c r="B694" t="inlineStr">
        <is>
          <t>avverkningsanmälan</t>
        </is>
      </c>
      <c r="C694" t="inlineStr">
        <is>
          <t>Föryngringsavverkning</t>
        </is>
      </c>
      <c r="D694" s="1" t="n">
        <v>44708</v>
      </c>
      <c r="E694" s="1" t="n">
        <v>46221</v>
      </c>
      <c r="F694" t="inlineStr">
        <is>
          <t>NORRBOTTENS LÄN</t>
        </is>
      </c>
      <c r="G694" t="inlineStr">
        <is>
          <t>PITEÅ</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23700-2026</t>
        </is>
      </c>
      <c r="B695" t="inlineStr">
        <is>
          <t>avverkningsanmälan</t>
        </is>
      </c>
      <c r="C695" t="inlineStr">
        <is>
          <t>Föryngringsavverkning</t>
        </is>
      </c>
      <c r="D695" s="1" t="n">
        <v>46164</v>
      </c>
      <c r="E695" s="1" t="n">
        <v>46221</v>
      </c>
      <c r="F695" t="inlineStr">
        <is>
          <t>NORRBOTTENS LÄN</t>
        </is>
      </c>
      <c r="G695" t="inlineStr">
        <is>
          <t>PITEÅ</t>
        </is>
      </c>
      <c r="I695" t="n">
        <v>16.4</v>
      </c>
      <c r="J695" t="n">
        <v>0</v>
      </c>
      <c r="K695" t="n">
        <v>0</v>
      </c>
      <c r="L695" t="n">
        <v>0</v>
      </c>
      <c r="M695" t="n">
        <v>0</v>
      </c>
      <c r="N695" t="n">
        <v>0</v>
      </c>
      <c r="O695" t="n">
        <v>0</v>
      </c>
      <c r="P695" t="n">
        <v>0</v>
      </c>
      <c r="Q695" t="n">
        <v>0</v>
      </c>
      <c r="R695" t="n">
        <v>0</v>
      </c>
      <c r="S695" t="n">
        <v>0</v>
      </c>
      <c r="T695" t="n">
        <v>0</v>
      </c>
      <c r="U695" s="2" t="inlineStr"/>
    </row>
    <row r="696" ht="15" customHeight="1">
      <c r="A696" t="inlineStr">
        <is>
          <t>A 29947-2026</t>
        </is>
      </c>
      <c r="B696" t="inlineStr">
        <is>
          <t>avverkningsanmälan</t>
        </is>
      </c>
      <c r="C696" t="inlineStr">
        <is>
          <t>Föryngringsavverkning</t>
        </is>
      </c>
      <c r="D696" s="1" t="n">
        <v>46205</v>
      </c>
      <c r="E696" s="1" t="n">
        <v>46221</v>
      </c>
      <c r="F696" t="inlineStr">
        <is>
          <t>NORRBOTTENS LÄN</t>
        </is>
      </c>
      <c r="G696" t="inlineStr">
        <is>
          <t>PITEÅ</t>
        </is>
      </c>
      <c r="H696" t="inlineStr">
        <is>
          <t>SCA</t>
        </is>
      </c>
      <c r="I696" t="n">
        <v>9.1</v>
      </c>
      <c r="J696" t="n">
        <v>0</v>
      </c>
      <c r="K696" t="n">
        <v>0</v>
      </c>
      <c r="L696" t="n">
        <v>0</v>
      </c>
      <c r="M696" t="n">
        <v>0</v>
      </c>
      <c r="N696" t="n">
        <v>0</v>
      </c>
      <c r="O696" t="n">
        <v>0</v>
      </c>
      <c r="P696" t="n">
        <v>0</v>
      </c>
      <c r="Q696" t="n">
        <v>0</v>
      </c>
      <c r="R696" t="n">
        <v>0</v>
      </c>
      <c r="S696" t="n">
        <v>0</v>
      </c>
      <c r="T696" t="n">
        <v>0</v>
      </c>
      <c r="U696" s="2" t="inlineStr"/>
    </row>
    <row r="697" ht="15" customHeight="1">
      <c r="A697" t="inlineStr">
        <is>
          <t>A 71287-2021</t>
        </is>
      </c>
      <c r="B697" t="inlineStr">
        <is>
          <t>avverkningsanmälan</t>
        </is>
      </c>
      <c r="C697" t="inlineStr">
        <is>
          <t>Föryngringsavverkning</t>
        </is>
      </c>
      <c r="D697" s="1" t="n">
        <v>44538</v>
      </c>
      <c r="E697" s="1" t="n">
        <v>46221</v>
      </c>
      <c r="F697" t="inlineStr">
        <is>
          <t>NORRBOTTENS LÄN</t>
        </is>
      </c>
      <c r="G697" t="inlineStr">
        <is>
          <t>PITEÅ</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49361-2023</t>
        </is>
      </c>
      <c r="B698" t="inlineStr">
        <is>
          <t>avverkningsanmälan</t>
        </is>
      </c>
      <c r="C698" t="inlineStr">
        <is>
          <t>Föryngringsavverkning</t>
        </is>
      </c>
      <c r="D698" s="1" t="n">
        <v>45211</v>
      </c>
      <c r="E698" s="1" t="n">
        <v>46221</v>
      </c>
      <c r="F698" t="inlineStr">
        <is>
          <t>NORRBOTTENS LÄN</t>
        </is>
      </c>
      <c r="G698" t="inlineStr">
        <is>
          <t>PITEÅ</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30295-2026</t>
        </is>
      </c>
      <c r="B699" t="inlineStr">
        <is>
          <t>avverkningsanmälan</t>
        </is>
      </c>
      <c r="C699" t="inlineStr">
        <is>
          <t>Föryngringsavverkning</t>
        </is>
      </c>
      <c r="D699" s="1" t="n">
        <v>46206</v>
      </c>
      <c r="E699" s="1" t="n">
        <v>46221</v>
      </c>
      <c r="F699" t="inlineStr">
        <is>
          <t>NORRBOTTENS LÄN</t>
        </is>
      </c>
      <c r="G699" t="inlineStr">
        <is>
          <t>PITEÅ</t>
        </is>
      </c>
      <c r="I699" t="n">
        <v>6.8</v>
      </c>
      <c r="J699" t="n">
        <v>0</v>
      </c>
      <c r="K699" t="n">
        <v>0</v>
      </c>
      <c r="L699" t="n">
        <v>0</v>
      </c>
      <c r="M699" t="n">
        <v>0</v>
      </c>
      <c r="N699" t="n">
        <v>0</v>
      </c>
      <c r="O699" t="n">
        <v>0</v>
      </c>
      <c r="P699" t="n">
        <v>0</v>
      </c>
      <c r="Q699" t="n">
        <v>0</v>
      </c>
      <c r="R699" t="n">
        <v>0</v>
      </c>
      <c r="S699" t="n">
        <v>0</v>
      </c>
      <c r="T699" t="n">
        <v>0</v>
      </c>
      <c r="U699" s="2" t="inlineStr"/>
    </row>
    <row r="700" ht="15" customHeight="1">
      <c r="A700" t="inlineStr">
        <is>
          <t>A 52655-2025</t>
        </is>
      </c>
      <c r="B700" t="inlineStr">
        <is>
          <t>avverkningsanmälan</t>
        </is>
      </c>
      <c r="C700" t="inlineStr">
        <is>
          <t>Föryngringsavverkning</t>
        </is>
      </c>
      <c r="D700" s="1" t="n">
        <v>45955</v>
      </c>
      <c r="E700" s="1" t="n">
        <v>46221</v>
      </c>
      <c r="F700" t="inlineStr">
        <is>
          <t>NORRBOTTENS LÄN</t>
        </is>
      </c>
      <c r="G700" t="inlineStr">
        <is>
          <t>PITEÅ</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27676-2023</t>
        </is>
      </c>
      <c r="B701" t="inlineStr">
        <is>
          <t>avverkningsanmälan</t>
        </is>
      </c>
      <c r="C701" t="inlineStr">
        <is>
          <t>Föryngringsavverkning</t>
        </is>
      </c>
      <c r="D701" s="1" t="n">
        <v>45097</v>
      </c>
      <c r="E701" s="1" t="n">
        <v>46221</v>
      </c>
      <c r="F701" t="inlineStr">
        <is>
          <t>NORRBOTTENS LÄN</t>
        </is>
      </c>
      <c r="G701" t="inlineStr">
        <is>
          <t>PITEÅ</t>
        </is>
      </c>
      <c r="I701" t="n">
        <v>6.8</v>
      </c>
      <c r="J701" t="n">
        <v>0</v>
      </c>
      <c r="K701" t="n">
        <v>0</v>
      </c>
      <c r="L701" t="n">
        <v>0</v>
      </c>
      <c r="M701" t="n">
        <v>0</v>
      </c>
      <c r="N701" t="n">
        <v>0</v>
      </c>
      <c r="O701" t="n">
        <v>0</v>
      </c>
      <c r="P701" t="n">
        <v>0</v>
      </c>
      <c r="Q701" t="n">
        <v>0</v>
      </c>
      <c r="R701" t="n">
        <v>0</v>
      </c>
      <c r="S701" t="n">
        <v>0</v>
      </c>
      <c r="T701" t="n">
        <v>0</v>
      </c>
      <c r="U701" s="2" t="inlineStr"/>
    </row>
    <row r="702" ht="15" customHeight="1">
      <c r="A702" t="inlineStr">
        <is>
          <t>A 37842-2025</t>
        </is>
      </c>
      <c r="B702" t="inlineStr">
        <is>
          <t>avverkningsanmälan</t>
        </is>
      </c>
      <c r="C702" t="inlineStr">
        <is>
          <t>Föryngringsavverkning</t>
        </is>
      </c>
      <c r="D702" s="1" t="n">
        <v>45881</v>
      </c>
      <c r="E702" s="1" t="n">
        <v>46221</v>
      </c>
      <c r="F702" t="inlineStr">
        <is>
          <t>NORRBOTTENS LÄN</t>
        </is>
      </c>
      <c r="G702" t="inlineStr">
        <is>
          <t>PITEÅ</t>
        </is>
      </c>
      <c r="I702" t="n">
        <v>13.7</v>
      </c>
      <c r="J702" t="n">
        <v>0</v>
      </c>
      <c r="K702" t="n">
        <v>0</v>
      </c>
      <c r="L702" t="n">
        <v>0</v>
      </c>
      <c r="M702" t="n">
        <v>0</v>
      </c>
      <c r="N702" t="n">
        <v>0</v>
      </c>
      <c r="O702" t="n">
        <v>0</v>
      </c>
      <c r="P702" t="n">
        <v>0</v>
      </c>
      <c r="Q702" t="n">
        <v>0</v>
      </c>
      <c r="R702" t="n">
        <v>0</v>
      </c>
      <c r="S702" t="n">
        <v>0</v>
      </c>
      <c r="T702" t="n">
        <v>0</v>
      </c>
      <c r="U702" s="2" t="inlineStr"/>
    </row>
    <row r="703" ht="15" customHeight="1">
      <c r="A703" t="inlineStr">
        <is>
          <t>A 29981-2026</t>
        </is>
      </c>
      <c r="B703" t="inlineStr">
        <is>
          <t>avverkningsanmälan</t>
        </is>
      </c>
      <c r="C703" t="inlineStr">
        <is>
          <t>Föryngringsavverkning</t>
        </is>
      </c>
      <c r="D703" s="1" t="n">
        <v>46205</v>
      </c>
      <c r="E703" s="1" t="n">
        <v>46221</v>
      </c>
      <c r="F703" t="inlineStr">
        <is>
          <t>NORRBOTTENS LÄN</t>
        </is>
      </c>
      <c r="G703" t="inlineStr">
        <is>
          <t>PITEÅ</t>
        </is>
      </c>
      <c r="H703" t="inlineStr">
        <is>
          <t>SCA</t>
        </is>
      </c>
      <c r="I703" t="n">
        <v>2.7</v>
      </c>
      <c r="J703" t="n">
        <v>0</v>
      </c>
      <c r="K703" t="n">
        <v>0</v>
      </c>
      <c r="L703" t="n">
        <v>0</v>
      </c>
      <c r="M703" t="n">
        <v>0</v>
      </c>
      <c r="N703" t="n">
        <v>0</v>
      </c>
      <c r="O703" t="n">
        <v>0</v>
      </c>
      <c r="P703" t="n">
        <v>0</v>
      </c>
      <c r="Q703" t="n">
        <v>0</v>
      </c>
      <c r="R703" t="n">
        <v>0</v>
      </c>
      <c r="S703" t="n">
        <v>0</v>
      </c>
      <c r="T703" t="n">
        <v>0</v>
      </c>
      <c r="U703" s="2" t="inlineStr"/>
    </row>
    <row r="704" ht="15" customHeight="1">
      <c r="A704" t="inlineStr">
        <is>
          <t>A 23743-2026</t>
        </is>
      </c>
      <c r="B704" t="inlineStr">
        <is>
          <t>avverkningsanmälan</t>
        </is>
      </c>
      <c r="C704" t="inlineStr">
        <is>
          <t>Föryngringsavverkning</t>
        </is>
      </c>
      <c r="D704" s="1" t="n">
        <v>46164</v>
      </c>
      <c r="E704" s="1" t="n">
        <v>46221</v>
      </c>
      <c r="F704" t="inlineStr">
        <is>
          <t>NORRBOTTENS LÄN</t>
        </is>
      </c>
      <c r="G704" t="inlineStr">
        <is>
          <t>PITEÅ</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47564-2021</t>
        </is>
      </c>
      <c r="B705" t="inlineStr">
        <is>
          <t>avverkningsanmälan</t>
        </is>
      </c>
      <c r="C705" t="inlineStr">
        <is>
          <t>Föryngringsavverkning</t>
        </is>
      </c>
      <c r="D705" s="1" t="n">
        <v>44447</v>
      </c>
      <c r="E705" s="1" t="n">
        <v>46221</v>
      </c>
      <c r="F705" t="inlineStr">
        <is>
          <t>NORRBOTTENS LÄN</t>
        </is>
      </c>
      <c r="G705" t="inlineStr">
        <is>
          <t>PITEÅ</t>
        </is>
      </c>
      <c r="H705" t="inlineStr">
        <is>
          <t>SCA</t>
        </is>
      </c>
      <c r="I705" t="n">
        <v>6.4</v>
      </c>
      <c r="J705" t="n">
        <v>0</v>
      </c>
      <c r="K705" t="n">
        <v>0</v>
      </c>
      <c r="L705" t="n">
        <v>0</v>
      </c>
      <c r="M705" t="n">
        <v>0</v>
      </c>
      <c r="N705" t="n">
        <v>0</v>
      </c>
      <c r="O705" t="n">
        <v>0</v>
      </c>
      <c r="P705" t="n">
        <v>0</v>
      </c>
      <c r="Q705" t="n">
        <v>0</v>
      </c>
      <c r="R705" t="n">
        <v>0</v>
      </c>
      <c r="S705" t="n">
        <v>0</v>
      </c>
      <c r="T705" t="n">
        <v>0</v>
      </c>
      <c r="U705" s="2" t="inlineStr"/>
    </row>
    <row r="706" ht="15" customHeight="1">
      <c r="A706" t="inlineStr">
        <is>
          <t>A 30578-2026</t>
        </is>
      </c>
      <c r="B706" t="inlineStr">
        <is>
          <t>avverkningsanmälan</t>
        </is>
      </c>
      <c r="C706" t="inlineStr">
        <is>
          <t>Föryngringsavverkning</t>
        </is>
      </c>
      <c r="D706" s="1" t="n">
        <v>46210</v>
      </c>
      <c r="E706" s="1" t="n">
        <v>46221</v>
      </c>
      <c r="F706" t="inlineStr">
        <is>
          <t>NORRBOTTENS LÄN</t>
        </is>
      </c>
      <c r="G706" t="inlineStr">
        <is>
          <t>PITEÅ</t>
        </is>
      </c>
      <c r="H706" t="inlineStr">
        <is>
          <t>Sveaskog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23960-2026</t>
        </is>
      </c>
      <c r="B707" t="inlineStr">
        <is>
          <t>avverkningsanmälan</t>
        </is>
      </c>
      <c r="C707" t="inlineStr">
        <is>
          <t>Föryngringsavverkning</t>
        </is>
      </c>
      <c r="D707" s="1" t="n">
        <v>46167</v>
      </c>
      <c r="E707" s="1" t="n">
        <v>46221</v>
      </c>
      <c r="F707" t="inlineStr">
        <is>
          <t>NORRBOTTENS LÄN</t>
        </is>
      </c>
      <c r="G707" t="inlineStr">
        <is>
          <t>PITEÅ</t>
        </is>
      </c>
      <c r="H707" t="inlineStr">
        <is>
          <t>Övriga Aktiebolag</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59505-2023</t>
        </is>
      </c>
      <c r="B708" t="inlineStr">
        <is>
          <t>avverkningsanmälan</t>
        </is>
      </c>
      <c r="C708" t="inlineStr">
        <is>
          <t>Föryngringsavverkning</t>
        </is>
      </c>
      <c r="D708" s="1" t="n">
        <v>45254</v>
      </c>
      <c r="E708" s="1" t="n">
        <v>46221</v>
      </c>
      <c r="F708" t="inlineStr">
        <is>
          <t>NORRBOTTENS LÄN</t>
        </is>
      </c>
      <c r="G708" t="inlineStr">
        <is>
          <t>PITEÅ</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54274-2023</t>
        </is>
      </c>
      <c r="B709" t="inlineStr">
        <is>
          <t>avverkningsanmälan</t>
        </is>
      </c>
      <c r="C709" t="inlineStr">
        <is>
          <t>Föryngringsavverkning</t>
        </is>
      </c>
      <c r="D709" s="1" t="n">
        <v>45232</v>
      </c>
      <c r="E709" s="1" t="n">
        <v>46221</v>
      </c>
      <c r="F709" t="inlineStr">
        <is>
          <t>NORRBOTTENS LÄN</t>
        </is>
      </c>
      <c r="G709" t="inlineStr">
        <is>
          <t>PITEÅ</t>
        </is>
      </c>
      <c r="H709" t="inlineStr">
        <is>
          <t>Sveaskog</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15352-2024</t>
        </is>
      </c>
      <c r="B710" t="inlineStr">
        <is>
          <t>avverkningsanmälan</t>
        </is>
      </c>
      <c r="C710" t="inlineStr">
        <is>
          <t>Föryngringsavverkning</t>
        </is>
      </c>
      <c r="D710" s="1" t="n">
        <v>45400</v>
      </c>
      <c r="E710" s="1" t="n">
        <v>46221</v>
      </c>
      <c r="F710" t="inlineStr">
        <is>
          <t>NORRBOTTENS LÄN</t>
        </is>
      </c>
      <c r="G710" t="inlineStr">
        <is>
          <t>PITEÅ</t>
        </is>
      </c>
      <c r="I710" t="n">
        <v>4.4</v>
      </c>
      <c r="J710" t="n">
        <v>0</v>
      </c>
      <c r="K710" t="n">
        <v>0</v>
      </c>
      <c r="L710" t="n">
        <v>0</v>
      </c>
      <c r="M710" t="n">
        <v>0</v>
      </c>
      <c r="N710" t="n">
        <v>0</v>
      </c>
      <c r="O710" t="n">
        <v>0</v>
      </c>
      <c r="P710" t="n">
        <v>0</v>
      </c>
      <c r="Q710" t="n">
        <v>0</v>
      </c>
      <c r="R710" t="n">
        <v>0</v>
      </c>
      <c r="S710" t="n">
        <v>0</v>
      </c>
      <c r="T710" t="n">
        <v>0</v>
      </c>
      <c r="U710" s="2" t="inlineStr"/>
    </row>
    <row r="711" ht="15" customHeight="1">
      <c r="A711" t="inlineStr">
        <is>
          <t>A 6754-2025</t>
        </is>
      </c>
      <c r="B711" t="inlineStr">
        <is>
          <t>avverkningsanmälan</t>
        </is>
      </c>
      <c r="C711" t="inlineStr">
        <is>
          <t>Föryngringsavverkning</t>
        </is>
      </c>
      <c r="D711" s="1" t="n">
        <v>45700</v>
      </c>
      <c r="E711" s="1" t="n">
        <v>46221</v>
      </c>
      <c r="F711" t="inlineStr">
        <is>
          <t>NORRBOTTENS LÄN</t>
        </is>
      </c>
      <c r="G711" t="inlineStr">
        <is>
          <t>PITEÅ</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7901-2024</t>
        </is>
      </c>
      <c r="B712" t="inlineStr">
        <is>
          <t>avverkningsanmälan</t>
        </is>
      </c>
      <c r="C712" t="inlineStr">
        <is>
          <t>Föryngringsavverkning</t>
        </is>
      </c>
      <c r="D712" s="1" t="n">
        <v>45350</v>
      </c>
      <c r="E712" s="1" t="n">
        <v>46221</v>
      </c>
      <c r="F712" t="inlineStr">
        <is>
          <t>NORRBOTTENS LÄN</t>
        </is>
      </c>
      <c r="G712" t="inlineStr">
        <is>
          <t>PITEÅ</t>
        </is>
      </c>
      <c r="I712" t="n">
        <v>7.8</v>
      </c>
      <c r="J712" t="n">
        <v>0</v>
      </c>
      <c r="K712" t="n">
        <v>0</v>
      </c>
      <c r="L712" t="n">
        <v>0</v>
      </c>
      <c r="M712" t="n">
        <v>0</v>
      </c>
      <c r="N712" t="n">
        <v>0</v>
      </c>
      <c r="O712" t="n">
        <v>0</v>
      </c>
      <c r="P712" t="n">
        <v>0</v>
      </c>
      <c r="Q712" t="n">
        <v>0</v>
      </c>
      <c r="R712" t="n">
        <v>0</v>
      </c>
      <c r="S712" t="n">
        <v>0</v>
      </c>
      <c r="T712" t="n">
        <v>0</v>
      </c>
      <c r="U712" s="2" t="inlineStr"/>
    </row>
    <row r="713" ht="15" customHeight="1">
      <c r="A713" t="inlineStr">
        <is>
          <t>A 51705-2024</t>
        </is>
      </c>
      <c r="B713" t="inlineStr">
        <is>
          <t>avverkningsanmälan</t>
        </is>
      </c>
      <c r="C713" t="inlineStr">
        <is>
          <t>Föryngringsavverkning</t>
        </is>
      </c>
      <c r="D713" s="1" t="n">
        <v>45607</v>
      </c>
      <c r="E713" s="1" t="n">
        <v>46221</v>
      </c>
      <c r="F713" t="inlineStr">
        <is>
          <t>NORRBOTTENS LÄN</t>
        </is>
      </c>
      <c r="G713" t="inlineStr">
        <is>
          <t>PITEÅ</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1908-2024</t>
        </is>
      </c>
      <c r="B714" t="inlineStr">
        <is>
          <t>avverkningsanmälan</t>
        </is>
      </c>
      <c r="C714" t="inlineStr">
        <is>
          <t>Föryngringsavverkning</t>
        </is>
      </c>
      <c r="D714" s="1" t="n">
        <v>45308</v>
      </c>
      <c r="E714" s="1" t="n">
        <v>46221</v>
      </c>
      <c r="F714" t="inlineStr">
        <is>
          <t>NORRBOTTENS LÄN</t>
        </is>
      </c>
      <c r="G714" t="inlineStr">
        <is>
          <t>PITEÅ</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30553-2026</t>
        </is>
      </c>
      <c r="B715" t="inlineStr">
        <is>
          <t>avverkningsanmälan</t>
        </is>
      </c>
      <c r="C715" t="inlineStr">
        <is>
          <t>Föryngringsavverkning</t>
        </is>
      </c>
      <c r="D715" s="1" t="n">
        <v>46210</v>
      </c>
      <c r="E715" s="1" t="n">
        <v>46221</v>
      </c>
      <c r="F715" t="inlineStr">
        <is>
          <t>NORRBOTTENS LÄN</t>
        </is>
      </c>
      <c r="G715" t="inlineStr">
        <is>
          <t>PITEÅ</t>
        </is>
      </c>
      <c r="H715" t="inlineStr">
        <is>
          <t>Sveaskog</t>
        </is>
      </c>
      <c r="I715" t="n">
        <v>11.6</v>
      </c>
      <c r="J715" t="n">
        <v>0</v>
      </c>
      <c r="K715" t="n">
        <v>0</v>
      </c>
      <c r="L715" t="n">
        <v>0</v>
      </c>
      <c r="M715" t="n">
        <v>0</v>
      </c>
      <c r="N715" t="n">
        <v>0</v>
      </c>
      <c r="O715" t="n">
        <v>0</v>
      </c>
      <c r="P715" t="n">
        <v>0</v>
      </c>
      <c r="Q715" t="n">
        <v>0</v>
      </c>
      <c r="R715" t="n">
        <v>0</v>
      </c>
      <c r="S715" t="n">
        <v>0</v>
      </c>
      <c r="T715" t="n">
        <v>0</v>
      </c>
      <c r="U715" s="2" t="inlineStr"/>
    </row>
    <row r="716" ht="15" customHeight="1">
      <c r="A716" t="inlineStr">
        <is>
          <t>A 24241-2026</t>
        </is>
      </c>
      <c r="B716" t="inlineStr">
        <is>
          <t>avverkningsanmälan</t>
        </is>
      </c>
      <c r="C716" t="inlineStr">
        <is>
          <t>Föryngringsavverkning</t>
        </is>
      </c>
      <c r="D716" s="1" t="n">
        <v>46168</v>
      </c>
      <c r="E716" s="1" t="n">
        <v>46221</v>
      </c>
      <c r="F716" t="inlineStr">
        <is>
          <t>NORRBOTTENS LÄN</t>
        </is>
      </c>
      <c r="G716" t="inlineStr">
        <is>
          <t>PITEÅ</t>
        </is>
      </c>
      <c r="I716" t="n">
        <v>7.1</v>
      </c>
      <c r="J716" t="n">
        <v>0</v>
      </c>
      <c r="K716" t="n">
        <v>0</v>
      </c>
      <c r="L716" t="n">
        <v>0</v>
      </c>
      <c r="M716" t="n">
        <v>0</v>
      </c>
      <c r="N716" t="n">
        <v>0</v>
      </c>
      <c r="O716" t="n">
        <v>0</v>
      </c>
      <c r="P716" t="n">
        <v>0</v>
      </c>
      <c r="Q716" t="n">
        <v>0</v>
      </c>
      <c r="R716" t="n">
        <v>0</v>
      </c>
      <c r="S716" t="n">
        <v>0</v>
      </c>
      <c r="T716" t="n">
        <v>0</v>
      </c>
      <c r="U716" s="2" t="inlineStr"/>
    </row>
    <row r="717" ht="15" customHeight="1">
      <c r="A717" t="inlineStr">
        <is>
          <t>A 24236-2026</t>
        </is>
      </c>
      <c r="B717" t="inlineStr">
        <is>
          <t>avverkningsanmälan</t>
        </is>
      </c>
      <c r="C717" t="inlineStr">
        <is>
          <t>Föryngringsavverkning</t>
        </is>
      </c>
      <c r="D717" s="1" t="n">
        <v>46168</v>
      </c>
      <c r="E717" s="1" t="n">
        <v>46221</v>
      </c>
      <c r="F717" t="inlineStr">
        <is>
          <t>NORRBOTTENS LÄN</t>
        </is>
      </c>
      <c r="G717" t="inlineStr">
        <is>
          <t>PITEÅ</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2219-2024</t>
        </is>
      </c>
      <c r="B718" t="inlineStr">
        <is>
          <t>avverkningsanmälan</t>
        </is>
      </c>
      <c r="C718" t="inlineStr">
        <is>
          <t>Föryngringsavverkning</t>
        </is>
      </c>
      <c r="D718" s="1" t="n">
        <v>45309</v>
      </c>
      <c r="E718" s="1" t="n">
        <v>46221</v>
      </c>
      <c r="F718" t="inlineStr">
        <is>
          <t>NORRBOTTENS LÄN</t>
        </is>
      </c>
      <c r="G718" t="inlineStr">
        <is>
          <t>PITEÅ</t>
        </is>
      </c>
      <c r="I718" t="n">
        <v>6.4</v>
      </c>
      <c r="J718" t="n">
        <v>0</v>
      </c>
      <c r="K718" t="n">
        <v>0</v>
      </c>
      <c r="L718" t="n">
        <v>0</v>
      </c>
      <c r="M718" t="n">
        <v>0</v>
      </c>
      <c r="N718" t="n">
        <v>0</v>
      </c>
      <c r="O718" t="n">
        <v>0</v>
      </c>
      <c r="P718" t="n">
        <v>0</v>
      </c>
      <c r="Q718" t="n">
        <v>0</v>
      </c>
      <c r="R718" t="n">
        <v>0</v>
      </c>
      <c r="S718" t="n">
        <v>0</v>
      </c>
      <c r="T718" t="n">
        <v>0</v>
      </c>
      <c r="U718" s="2" t="inlineStr"/>
    </row>
    <row r="719" ht="15" customHeight="1">
      <c r="A719" t="inlineStr">
        <is>
          <t>A 30873-2026</t>
        </is>
      </c>
      <c r="B719" t="inlineStr">
        <is>
          <t>avverkningsanmälan</t>
        </is>
      </c>
      <c r="C719" t="inlineStr">
        <is>
          <t>Föryngringsavverkning</t>
        </is>
      </c>
      <c r="D719" s="1" t="n">
        <v>46212</v>
      </c>
      <c r="E719" s="1" t="n">
        <v>46221</v>
      </c>
      <c r="F719" t="inlineStr">
        <is>
          <t>NORRBOTTENS LÄN</t>
        </is>
      </c>
      <c r="G719" t="inlineStr">
        <is>
          <t>PITEÅ</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54526-2024</t>
        </is>
      </c>
      <c r="B720" t="inlineStr">
        <is>
          <t>avverkningsanmälan</t>
        </is>
      </c>
      <c r="C720" t="inlineStr">
        <is>
          <t>Föryngringsavverkning</t>
        </is>
      </c>
      <c r="D720" s="1" t="n">
        <v>45617</v>
      </c>
      <c r="E720" s="1" t="n">
        <v>46221</v>
      </c>
      <c r="F720" t="inlineStr">
        <is>
          <t>NORRBOTTENS LÄN</t>
        </is>
      </c>
      <c r="G720" t="inlineStr">
        <is>
          <t>PITEÅ</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30735-2026</t>
        </is>
      </c>
      <c r="B721" t="inlineStr">
        <is>
          <t>avverkningsanmälan</t>
        </is>
      </c>
      <c r="C721" t="inlineStr">
        <is>
          <t>Föryngringsavverkning</t>
        </is>
      </c>
      <c r="D721" s="1" t="n">
        <v>46211</v>
      </c>
      <c r="E721" s="1" t="n">
        <v>46221</v>
      </c>
      <c r="F721" t="inlineStr">
        <is>
          <t>NORRBOTTENS LÄN</t>
        </is>
      </c>
      <c r="G721" t="inlineStr">
        <is>
          <t>PITEÅ</t>
        </is>
      </c>
      <c r="H721" t="inlineStr">
        <is>
          <t>Sveaskog</t>
        </is>
      </c>
      <c r="I721" t="n">
        <v>6.8</v>
      </c>
      <c r="J721" t="n">
        <v>0</v>
      </c>
      <c r="K721" t="n">
        <v>0</v>
      </c>
      <c r="L721" t="n">
        <v>0</v>
      </c>
      <c r="M721" t="n">
        <v>0</v>
      </c>
      <c r="N721" t="n">
        <v>0</v>
      </c>
      <c r="O721" t="n">
        <v>0</v>
      </c>
      <c r="P721" t="n">
        <v>0</v>
      </c>
      <c r="Q721" t="n">
        <v>0</v>
      </c>
      <c r="R721" t="n">
        <v>0</v>
      </c>
      <c r="S721" t="n">
        <v>0</v>
      </c>
      <c r="T721" t="n">
        <v>0</v>
      </c>
      <c r="U721" s="2" t="inlineStr"/>
    </row>
    <row r="722" ht="15" customHeight="1">
      <c r="A722" t="inlineStr">
        <is>
          <t>A 30747-2026</t>
        </is>
      </c>
      <c r="B722" t="inlineStr">
        <is>
          <t>avverkningsanmälan</t>
        </is>
      </c>
      <c r="C722" t="inlineStr">
        <is>
          <t>Föryngringsavverkning</t>
        </is>
      </c>
      <c r="D722" s="1" t="n">
        <v>46211</v>
      </c>
      <c r="E722" s="1" t="n">
        <v>46221</v>
      </c>
      <c r="F722" t="inlineStr">
        <is>
          <t>NORRBOTTENS LÄN</t>
        </is>
      </c>
      <c r="G722" t="inlineStr">
        <is>
          <t>PITEÅ</t>
        </is>
      </c>
      <c r="I722" t="n">
        <v>10.9</v>
      </c>
      <c r="J722" t="n">
        <v>0</v>
      </c>
      <c r="K722" t="n">
        <v>0</v>
      </c>
      <c r="L722" t="n">
        <v>0</v>
      </c>
      <c r="M722" t="n">
        <v>0</v>
      </c>
      <c r="N722" t="n">
        <v>0</v>
      </c>
      <c r="O722" t="n">
        <v>0</v>
      </c>
      <c r="P722" t="n">
        <v>0</v>
      </c>
      <c r="Q722" t="n">
        <v>0</v>
      </c>
      <c r="R722" t="n">
        <v>0</v>
      </c>
      <c r="S722" t="n">
        <v>0</v>
      </c>
      <c r="T722" t="n">
        <v>0</v>
      </c>
      <c r="U722" s="2" t="inlineStr"/>
    </row>
    <row r="723" ht="15" customHeight="1">
      <c r="A723" t="inlineStr">
        <is>
          <t>A 30748-2026</t>
        </is>
      </c>
      <c r="B723" t="inlineStr">
        <is>
          <t>avverkningsanmälan</t>
        </is>
      </c>
      <c r="C723" t="inlineStr">
        <is>
          <t>Föryngringsavverkning</t>
        </is>
      </c>
      <c r="D723" s="1" t="n">
        <v>46211</v>
      </c>
      <c r="E723" s="1" t="n">
        <v>46221</v>
      </c>
      <c r="F723" t="inlineStr">
        <is>
          <t>NORRBOTTENS LÄN</t>
        </is>
      </c>
      <c r="G723" t="inlineStr">
        <is>
          <t>PITEÅ</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30752-2026</t>
        </is>
      </c>
      <c r="B724" t="inlineStr">
        <is>
          <t>avverkningsanmälan</t>
        </is>
      </c>
      <c r="C724" t="inlineStr">
        <is>
          <t>Föryngringsavverkning</t>
        </is>
      </c>
      <c r="D724" s="1" t="n">
        <v>46212</v>
      </c>
      <c r="E724" s="1" t="n">
        <v>46221</v>
      </c>
      <c r="F724" t="inlineStr">
        <is>
          <t>NORRBOTTENS LÄN</t>
        </is>
      </c>
      <c r="G724" t="inlineStr">
        <is>
          <t>PITEÅ</t>
        </is>
      </c>
      <c r="I724" t="n">
        <v>21.3</v>
      </c>
      <c r="J724" t="n">
        <v>0</v>
      </c>
      <c r="K724" t="n">
        <v>0</v>
      </c>
      <c r="L724" t="n">
        <v>0</v>
      </c>
      <c r="M724" t="n">
        <v>0</v>
      </c>
      <c r="N724" t="n">
        <v>0</v>
      </c>
      <c r="O724" t="n">
        <v>0</v>
      </c>
      <c r="P724" t="n">
        <v>0</v>
      </c>
      <c r="Q724" t="n">
        <v>0</v>
      </c>
      <c r="R724" t="n">
        <v>0</v>
      </c>
      <c r="S724" t="n">
        <v>0</v>
      </c>
      <c r="T724" t="n">
        <v>0</v>
      </c>
      <c r="U724" s="2" t="inlineStr"/>
    </row>
    <row r="725" ht="15" customHeight="1">
      <c r="A725" t="inlineStr">
        <is>
          <t>A 30760-2026</t>
        </is>
      </c>
      <c r="B725" t="inlineStr">
        <is>
          <t>avverkningsanmälan</t>
        </is>
      </c>
      <c r="C725" t="inlineStr">
        <is>
          <t>Föryngringsavverkning</t>
        </is>
      </c>
      <c r="D725" s="1" t="n">
        <v>46212</v>
      </c>
      <c r="E725" s="1" t="n">
        <v>46221</v>
      </c>
      <c r="F725" t="inlineStr">
        <is>
          <t>NORRBOTTENS LÄN</t>
        </is>
      </c>
      <c r="G725" t="inlineStr">
        <is>
          <t>PITEÅ</t>
        </is>
      </c>
      <c r="H725" t="inlineStr">
        <is>
          <t>Sveaskog</t>
        </is>
      </c>
      <c r="I725" t="n">
        <v>9</v>
      </c>
      <c r="J725" t="n">
        <v>0</v>
      </c>
      <c r="K725" t="n">
        <v>0</v>
      </c>
      <c r="L725" t="n">
        <v>0</v>
      </c>
      <c r="M725" t="n">
        <v>0</v>
      </c>
      <c r="N725" t="n">
        <v>0</v>
      </c>
      <c r="O725" t="n">
        <v>0</v>
      </c>
      <c r="P725" t="n">
        <v>0</v>
      </c>
      <c r="Q725" t="n">
        <v>0</v>
      </c>
      <c r="R725" t="n">
        <v>0</v>
      </c>
      <c r="S725" t="n">
        <v>0</v>
      </c>
      <c r="T725" t="n">
        <v>0</v>
      </c>
      <c r="U725" s="2" t="inlineStr"/>
    </row>
    <row r="726" ht="15" customHeight="1">
      <c r="A726" t="inlineStr">
        <is>
          <t>A 30759-2026</t>
        </is>
      </c>
      <c r="B726" t="inlineStr">
        <is>
          <t>avverkningsanmälan</t>
        </is>
      </c>
      <c r="C726" t="inlineStr">
        <is>
          <t>Föryngringsavverkning</t>
        </is>
      </c>
      <c r="D726" s="1" t="n">
        <v>46212</v>
      </c>
      <c r="E726" s="1" t="n">
        <v>46221</v>
      </c>
      <c r="F726" t="inlineStr">
        <is>
          <t>NORRBOTTENS LÄN</t>
        </is>
      </c>
      <c r="G726" t="inlineStr">
        <is>
          <t>PITEÅ</t>
        </is>
      </c>
      <c r="H726" t="inlineStr">
        <is>
          <t>Sveaskog</t>
        </is>
      </c>
      <c r="I726" t="n">
        <v>8.699999999999999</v>
      </c>
      <c r="J726" t="n">
        <v>0</v>
      </c>
      <c r="K726" t="n">
        <v>0</v>
      </c>
      <c r="L726" t="n">
        <v>0</v>
      </c>
      <c r="M726" t="n">
        <v>0</v>
      </c>
      <c r="N726" t="n">
        <v>0</v>
      </c>
      <c r="O726" t="n">
        <v>0</v>
      </c>
      <c r="P726" t="n">
        <v>0</v>
      </c>
      <c r="Q726" t="n">
        <v>0</v>
      </c>
      <c r="R726" t="n">
        <v>0</v>
      </c>
      <c r="S726" t="n">
        <v>0</v>
      </c>
      <c r="T726" t="n">
        <v>0</v>
      </c>
      <c r="U726" s="2" t="inlineStr"/>
    </row>
    <row r="727" ht="15" customHeight="1">
      <c r="A727" t="inlineStr">
        <is>
          <t>A 30761-2026</t>
        </is>
      </c>
      <c r="B727" t="inlineStr">
        <is>
          <t>avverkningsanmälan</t>
        </is>
      </c>
      <c r="C727" t="inlineStr">
        <is>
          <t>Föryngringsavverkning</t>
        </is>
      </c>
      <c r="D727" s="1" t="n">
        <v>46212</v>
      </c>
      <c r="E727" s="1" t="n">
        <v>46221</v>
      </c>
      <c r="F727" t="inlineStr">
        <is>
          <t>NORRBOTTENS LÄN</t>
        </is>
      </c>
      <c r="G727" t="inlineStr">
        <is>
          <t>PITEÅ</t>
        </is>
      </c>
      <c r="H727" t="inlineStr">
        <is>
          <t>Sveaskog</t>
        </is>
      </c>
      <c r="I727" t="n">
        <v>4.4</v>
      </c>
      <c r="J727" t="n">
        <v>0</v>
      </c>
      <c r="K727" t="n">
        <v>0</v>
      </c>
      <c r="L727" t="n">
        <v>0</v>
      </c>
      <c r="M727" t="n">
        <v>0</v>
      </c>
      <c r="N727" t="n">
        <v>0</v>
      </c>
      <c r="O727" t="n">
        <v>0</v>
      </c>
      <c r="P727" t="n">
        <v>0</v>
      </c>
      <c r="Q727" t="n">
        <v>0</v>
      </c>
      <c r="R727" t="n">
        <v>0</v>
      </c>
      <c r="S727" t="n">
        <v>0</v>
      </c>
      <c r="T727" t="n">
        <v>0</v>
      </c>
      <c r="U727" s="2" t="inlineStr"/>
    </row>
    <row r="728" ht="15" customHeight="1">
      <c r="A728" t="inlineStr">
        <is>
          <t>A 36515-2024</t>
        </is>
      </c>
      <c r="B728" t="inlineStr">
        <is>
          <t>avverkningsanmälan</t>
        </is>
      </c>
      <c r="C728" t="inlineStr">
        <is>
          <t>Föryngringsavverkning</t>
        </is>
      </c>
      <c r="D728" s="1" t="n">
        <v>45537</v>
      </c>
      <c r="E728" s="1" t="n">
        <v>46221</v>
      </c>
      <c r="F728" t="inlineStr">
        <is>
          <t>NORRBOTTENS LÄN</t>
        </is>
      </c>
      <c r="G728" t="inlineStr">
        <is>
          <t>PITEÅ</t>
        </is>
      </c>
      <c r="H728" t="inlineStr">
        <is>
          <t>Sveaskog</t>
        </is>
      </c>
      <c r="I728" t="n">
        <v>4.5</v>
      </c>
      <c r="J728" t="n">
        <v>0</v>
      </c>
      <c r="K728" t="n">
        <v>0</v>
      </c>
      <c r="L728" t="n">
        <v>0</v>
      </c>
      <c r="M728" t="n">
        <v>0</v>
      </c>
      <c r="N728" t="n">
        <v>0</v>
      </c>
      <c r="O728" t="n">
        <v>0</v>
      </c>
      <c r="P728" t="n">
        <v>0</v>
      </c>
      <c r="Q728" t="n">
        <v>0</v>
      </c>
      <c r="R728" t="n">
        <v>0</v>
      </c>
      <c r="S728" t="n">
        <v>0</v>
      </c>
      <c r="T728" t="n">
        <v>0</v>
      </c>
      <c r="U728" s="2" t="inlineStr"/>
    </row>
    <row r="729" ht="15" customHeight="1">
      <c r="A729" t="inlineStr">
        <is>
          <t>A 47017-2024</t>
        </is>
      </c>
      <c r="B729" t="inlineStr">
        <is>
          <t>avverkningsanmälan</t>
        </is>
      </c>
      <c r="C729" t="inlineStr">
        <is>
          <t>Föryngringsavverkning</t>
        </is>
      </c>
      <c r="D729" s="1" t="n">
        <v>45586</v>
      </c>
      <c r="E729" s="1" t="n">
        <v>46221</v>
      </c>
      <c r="F729" t="inlineStr">
        <is>
          <t>NORRBOTTENS LÄN</t>
        </is>
      </c>
      <c r="G729" t="inlineStr">
        <is>
          <t>PITEÅ</t>
        </is>
      </c>
      <c r="I729" t="n">
        <v>4.1</v>
      </c>
      <c r="J729" t="n">
        <v>0</v>
      </c>
      <c r="K729" t="n">
        <v>0</v>
      </c>
      <c r="L729" t="n">
        <v>0</v>
      </c>
      <c r="M729" t="n">
        <v>0</v>
      </c>
      <c r="N729" t="n">
        <v>0</v>
      </c>
      <c r="O729" t="n">
        <v>0</v>
      </c>
      <c r="P729" t="n">
        <v>0</v>
      </c>
      <c r="Q729" t="n">
        <v>0</v>
      </c>
      <c r="R729" t="n">
        <v>0</v>
      </c>
      <c r="S729" t="n">
        <v>0</v>
      </c>
      <c r="T729" t="n">
        <v>0</v>
      </c>
      <c r="U729" s="2" t="inlineStr"/>
    </row>
    <row r="730" ht="15" customHeight="1">
      <c r="A730" t="inlineStr">
        <is>
          <t>A 54970-2024</t>
        </is>
      </c>
      <c r="B730" t="inlineStr">
        <is>
          <t>avverkningsanmälan</t>
        </is>
      </c>
      <c r="C730" t="inlineStr">
        <is>
          <t>Föryngringsavverkning</t>
        </is>
      </c>
      <c r="D730" s="1" t="n">
        <v>45620</v>
      </c>
      <c r="E730" s="1" t="n">
        <v>46221</v>
      </c>
      <c r="F730" t="inlineStr">
        <is>
          <t>NORRBOTTENS LÄN</t>
        </is>
      </c>
      <c r="G730" t="inlineStr">
        <is>
          <t>PITEÅ</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33923-2024</t>
        </is>
      </c>
      <c r="B731" t="inlineStr">
        <is>
          <t>avverkningsanmälan</t>
        </is>
      </c>
      <c r="C731" t="inlineStr">
        <is>
          <t>Föryngringsavverkning</t>
        </is>
      </c>
      <c r="D731" s="1" t="n">
        <v>45523</v>
      </c>
      <c r="E731" s="1" t="n">
        <v>46221</v>
      </c>
      <c r="F731" t="inlineStr">
        <is>
          <t>NORRBOTTENS LÄN</t>
        </is>
      </c>
      <c r="G731" t="inlineStr">
        <is>
          <t>PITEÅ</t>
        </is>
      </c>
      <c r="I731" t="n">
        <v>8.699999999999999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A 30199-2026</t>
        </is>
      </c>
      <c r="B732" t="inlineStr">
        <is>
          <t>avverkningsanmälan</t>
        </is>
      </c>
      <c r="C732" t="inlineStr">
        <is>
          <t>Föryngringsavverkning</t>
        </is>
      </c>
      <c r="D732" s="1" t="n">
        <v>46206</v>
      </c>
      <c r="E732" s="1" t="n">
        <v>46221</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38751-2022</t>
        </is>
      </c>
      <c r="B733" t="inlineStr">
        <is>
          <t>avverkningsanmälan</t>
        </is>
      </c>
      <c r="C733" t="inlineStr">
        <is>
          <t>Föryngringsavverkning</t>
        </is>
      </c>
      <c r="D733" s="1" t="n">
        <v>44813</v>
      </c>
      <c r="E733" s="1" t="n">
        <v>46221</v>
      </c>
      <c r="F733" t="inlineStr">
        <is>
          <t>NORRBOTTENS LÄN</t>
        </is>
      </c>
      <c r="G733" t="inlineStr">
        <is>
          <t>PITEÅ</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24697-2026</t>
        </is>
      </c>
      <c r="B734" t="inlineStr">
        <is>
          <t>avverkningsanmälan</t>
        </is>
      </c>
      <c r="C734" t="inlineStr">
        <is>
          <t>Föryngringsavverkning</t>
        </is>
      </c>
      <c r="D734" s="1" t="n">
        <v>46171</v>
      </c>
      <c r="E734" s="1" t="n">
        <v>46221</v>
      </c>
      <c r="F734" t="inlineStr">
        <is>
          <t>NORRBOTTENS LÄN</t>
        </is>
      </c>
      <c r="G734" t="inlineStr">
        <is>
          <t>PITEÅ</t>
        </is>
      </c>
      <c r="H734" t="inlineStr">
        <is>
          <t>SCA</t>
        </is>
      </c>
      <c r="I734" t="n">
        <v>4.2</v>
      </c>
      <c r="J734" t="n">
        <v>0</v>
      </c>
      <c r="K734" t="n">
        <v>0</v>
      </c>
      <c r="L734" t="n">
        <v>0</v>
      </c>
      <c r="M734" t="n">
        <v>0</v>
      </c>
      <c r="N734" t="n">
        <v>0</v>
      </c>
      <c r="O734" t="n">
        <v>0</v>
      </c>
      <c r="P734" t="n">
        <v>0</v>
      </c>
      <c r="Q734" t="n">
        <v>0</v>
      </c>
      <c r="R734" t="n">
        <v>0</v>
      </c>
      <c r="S734" t="n">
        <v>0</v>
      </c>
      <c r="T734" t="n">
        <v>0</v>
      </c>
      <c r="U734" s="2" t="inlineStr"/>
    </row>
    <row r="735" ht="15" customHeight="1">
      <c r="A735" t="inlineStr">
        <is>
          <t>A 29270-2026</t>
        </is>
      </c>
      <c r="B735" t="inlineStr">
        <is>
          <t>avverkningsanmälan</t>
        </is>
      </c>
      <c r="C735" t="inlineStr">
        <is>
          <t>Avverkning för annat ändamål</t>
        </is>
      </c>
      <c r="D735" s="1" t="n">
        <v>46197</v>
      </c>
      <c r="E735" s="1" t="n">
        <v>46221</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24642-2026</t>
        </is>
      </c>
      <c r="B736" t="inlineStr">
        <is>
          <t>avverkningsanmälan</t>
        </is>
      </c>
      <c r="C736" t="inlineStr">
        <is>
          <t>Föryngringsavverkning</t>
        </is>
      </c>
      <c r="D736" s="1" t="n">
        <v>46171</v>
      </c>
      <c r="E736" s="1" t="n">
        <v>46221</v>
      </c>
      <c r="F736" t="inlineStr">
        <is>
          <t>NORRBOTTENS LÄN</t>
        </is>
      </c>
      <c r="G736" t="inlineStr">
        <is>
          <t>PITEÅ</t>
        </is>
      </c>
      <c r="H736" t="inlineStr">
        <is>
          <t>SCA</t>
        </is>
      </c>
      <c r="I736" t="n">
        <v>4.3</v>
      </c>
      <c r="J736" t="n">
        <v>0</v>
      </c>
      <c r="K736" t="n">
        <v>0</v>
      </c>
      <c r="L736" t="n">
        <v>0</v>
      </c>
      <c r="M736" t="n">
        <v>0</v>
      </c>
      <c r="N736" t="n">
        <v>0</v>
      </c>
      <c r="O736" t="n">
        <v>0</v>
      </c>
      <c r="P736" t="n">
        <v>0</v>
      </c>
      <c r="Q736" t="n">
        <v>0</v>
      </c>
      <c r="R736" t="n">
        <v>0</v>
      </c>
      <c r="S736" t="n">
        <v>0</v>
      </c>
      <c r="T736" t="n">
        <v>0</v>
      </c>
      <c r="U736" s="2" t="inlineStr"/>
    </row>
    <row r="737" ht="15" customHeight="1">
      <c r="A737" t="inlineStr">
        <is>
          <t>A 24718-2026</t>
        </is>
      </c>
      <c r="B737" t="inlineStr">
        <is>
          <t>avverkningsanmälan</t>
        </is>
      </c>
      <c r="C737" t="inlineStr">
        <is>
          <t>Föryngringsavverkning</t>
        </is>
      </c>
      <c r="D737" s="1" t="n">
        <v>46171</v>
      </c>
      <c r="E737" s="1" t="n">
        <v>46221</v>
      </c>
      <c r="F737" t="inlineStr">
        <is>
          <t>NORRBOTTENS LÄN</t>
        </is>
      </c>
      <c r="G737" t="inlineStr">
        <is>
          <t>PITEÅ</t>
        </is>
      </c>
      <c r="H737" t="inlineStr">
        <is>
          <t>SCA</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10713-2023</t>
        </is>
      </c>
      <c r="B738" t="inlineStr">
        <is>
          <t>avverkningsanmälan</t>
        </is>
      </c>
      <c r="C738" t="inlineStr">
        <is>
          <t>Föryngringsavverkning</t>
        </is>
      </c>
      <c r="D738" s="1" t="n">
        <v>44984</v>
      </c>
      <c r="E738" s="1" t="n">
        <v>46221</v>
      </c>
      <c r="F738" t="inlineStr">
        <is>
          <t>NORRBOTTENS LÄN</t>
        </is>
      </c>
      <c r="G738" t="inlineStr">
        <is>
          <t>PITEÅ</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31202-2026</t>
        </is>
      </c>
      <c r="B739" t="inlineStr">
        <is>
          <t>avverkningsanmälan</t>
        </is>
      </c>
      <c r="C739" t="inlineStr">
        <is>
          <t>Föryngringsavverkning</t>
        </is>
      </c>
      <c r="D739" s="1" t="n">
        <v>46217</v>
      </c>
      <c r="E739" s="1" t="n">
        <v>46221</v>
      </c>
      <c r="F739" t="inlineStr">
        <is>
          <t>NORRBOTTENS LÄN</t>
        </is>
      </c>
      <c r="G739" t="inlineStr">
        <is>
          <t>PITEÅ</t>
        </is>
      </c>
      <c r="H739" t="inlineStr">
        <is>
          <t>Övriga statliga verk och myndigheter</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62819-2023</t>
        </is>
      </c>
      <c r="B740" t="inlineStr">
        <is>
          <t>avverkningsanmälan</t>
        </is>
      </c>
      <c r="C740" t="inlineStr">
        <is>
          <t>Föryngringsavverkning</t>
        </is>
      </c>
      <c r="D740" s="1" t="n">
        <v>45271</v>
      </c>
      <c r="E740" s="1" t="n">
        <v>46221</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29269-2026</t>
        </is>
      </c>
      <c r="B741" t="inlineStr">
        <is>
          <t>avverkningsanmälan</t>
        </is>
      </c>
      <c r="C741" t="inlineStr">
        <is>
          <t>Avverkning för annat ändamål</t>
        </is>
      </c>
      <c r="D741" s="1" t="n">
        <v>46197</v>
      </c>
      <c r="E741" s="1" t="n">
        <v>46221</v>
      </c>
      <c r="F741" t="inlineStr">
        <is>
          <t>NORRBOTTENS LÄN</t>
        </is>
      </c>
      <c r="G741" t="inlineStr">
        <is>
          <t>PITEÅ</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29268-2026</t>
        </is>
      </c>
      <c r="B742" t="inlineStr">
        <is>
          <t>avverkningsanmälan</t>
        </is>
      </c>
      <c r="C742" t="inlineStr">
        <is>
          <t>Avverkning för annat ändamål</t>
        </is>
      </c>
      <c r="D742" s="1" t="n">
        <v>46197</v>
      </c>
      <c r="E742" s="1" t="n">
        <v>46221</v>
      </c>
      <c r="F742" t="inlineStr">
        <is>
          <t>NORRBOTTENS LÄN</t>
        </is>
      </c>
      <c r="G742" t="inlineStr">
        <is>
          <t>PITEÅ</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44527-2024</t>
        </is>
      </c>
      <c r="B743" t="inlineStr">
        <is>
          <t>avverkningsanmälan</t>
        </is>
      </c>
      <c r="C743" t="inlineStr">
        <is>
          <t>Föryngringsavverkning</t>
        </is>
      </c>
      <c r="D743" s="1" t="n">
        <v>45574</v>
      </c>
      <c r="E743" s="1" t="n">
        <v>46221</v>
      </c>
      <c r="F743" t="inlineStr">
        <is>
          <t>NORRBOTTENS LÄN</t>
        </is>
      </c>
      <c r="G743" t="inlineStr">
        <is>
          <t>PITEÅ</t>
        </is>
      </c>
      <c r="H743" t="inlineStr">
        <is>
          <t>Sveaskog</t>
        </is>
      </c>
      <c r="I743" t="n">
        <v>12.2</v>
      </c>
      <c r="J743" t="n">
        <v>0</v>
      </c>
      <c r="K743" t="n">
        <v>0</v>
      </c>
      <c r="L743" t="n">
        <v>0</v>
      </c>
      <c r="M743" t="n">
        <v>0</v>
      </c>
      <c r="N743" t="n">
        <v>0</v>
      </c>
      <c r="O743" t="n">
        <v>0</v>
      </c>
      <c r="P743" t="n">
        <v>0</v>
      </c>
      <c r="Q743" t="n">
        <v>0</v>
      </c>
      <c r="R743" t="n">
        <v>0</v>
      </c>
      <c r="S743" t="n">
        <v>0</v>
      </c>
      <c r="T743" t="n">
        <v>0</v>
      </c>
      <c r="U743" s="2" t="inlineStr"/>
    </row>
    <row r="744" ht="15" customHeight="1">
      <c r="A744" t="inlineStr">
        <is>
          <t>A 31186-2026</t>
        </is>
      </c>
      <c r="B744" t="inlineStr">
        <is>
          <t>avverkningsanmälan</t>
        </is>
      </c>
      <c r="C744" t="inlineStr">
        <is>
          <t>Föryngringsavverkning</t>
        </is>
      </c>
      <c r="D744" s="1" t="n">
        <v>46217</v>
      </c>
      <c r="E744" s="1" t="n">
        <v>46221</v>
      </c>
      <c r="F744" t="inlineStr">
        <is>
          <t>NORRBOTTENS LÄN</t>
        </is>
      </c>
      <c r="G744" t="inlineStr">
        <is>
          <t>PITEÅ</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31213-2026</t>
        </is>
      </c>
      <c r="B745" t="inlineStr">
        <is>
          <t>avverkningsanmälan</t>
        </is>
      </c>
      <c r="C745" t="inlineStr">
        <is>
          <t>Föryngringsavverkning</t>
        </is>
      </c>
      <c r="D745" s="1" t="n">
        <v>46217</v>
      </c>
      <c r="E745" s="1" t="n">
        <v>46221</v>
      </c>
      <c r="F745" t="inlineStr">
        <is>
          <t>NORRBOTTENS LÄN</t>
        </is>
      </c>
      <c r="G745" t="inlineStr">
        <is>
          <t>PITEÅ</t>
        </is>
      </c>
      <c r="H745" t="inlineStr">
        <is>
          <t>Övriga statliga verk och myndigheter</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20080-2024</t>
        </is>
      </c>
      <c r="B746" t="inlineStr">
        <is>
          <t>avverkningsanmälan</t>
        </is>
      </c>
      <c r="C746" t="inlineStr">
        <is>
          <t>Föryngringsavverkning</t>
        </is>
      </c>
      <c r="D746" s="1" t="n">
        <v>45434</v>
      </c>
      <c r="E746" s="1" t="n">
        <v>46221</v>
      </c>
      <c r="F746" t="inlineStr">
        <is>
          <t>NORRBOTTENS LÄN</t>
        </is>
      </c>
      <c r="G746" t="inlineStr">
        <is>
          <t>PITEÅ</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2392-2023</t>
        </is>
      </c>
      <c r="B747" t="inlineStr">
        <is>
          <t>avverkningsanmälan</t>
        </is>
      </c>
      <c r="C747" t="inlineStr">
        <is>
          <t>Avverkning för annat ändamål</t>
        </is>
      </c>
      <c r="D747" s="1" t="n">
        <v>44942</v>
      </c>
      <c r="E747" s="1" t="n">
        <v>46221</v>
      </c>
      <c r="F747" t="inlineStr">
        <is>
          <t>NORRBOTTENS LÄN</t>
        </is>
      </c>
      <c r="G747" t="inlineStr">
        <is>
          <t>PITEÅ</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25115-2026</t>
        </is>
      </c>
      <c r="B748" t="inlineStr">
        <is>
          <t>avverkningsanmälan</t>
        </is>
      </c>
      <c r="C748" t="inlineStr">
        <is>
          <t>Föryngringsavverkning</t>
        </is>
      </c>
      <c r="D748" s="1" t="n">
        <v>46175</v>
      </c>
      <c r="E748" s="1" t="n">
        <v>46221</v>
      </c>
      <c r="F748" t="inlineStr">
        <is>
          <t>NORRBOTTENS LÄN</t>
        </is>
      </c>
      <c r="G748" t="inlineStr">
        <is>
          <t>PITEÅ</t>
        </is>
      </c>
      <c r="H748" t="inlineStr">
        <is>
          <t>SCA</t>
        </is>
      </c>
      <c r="I748" t="n">
        <v>5</v>
      </c>
      <c r="J748" t="n">
        <v>0</v>
      </c>
      <c r="K748" t="n">
        <v>0</v>
      </c>
      <c r="L748" t="n">
        <v>0</v>
      </c>
      <c r="M748" t="n">
        <v>0</v>
      </c>
      <c r="N748" t="n">
        <v>0</v>
      </c>
      <c r="O748" t="n">
        <v>0</v>
      </c>
      <c r="P748" t="n">
        <v>0</v>
      </c>
      <c r="Q748" t="n">
        <v>0</v>
      </c>
      <c r="R748" t="n">
        <v>0</v>
      </c>
      <c r="S748" t="n">
        <v>0</v>
      </c>
      <c r="T748" t="n">
        <v>0</v>
      </c>
      <c r="U748" s="2" t="inlineStr"/>
    </row>
    <row r="749" ht="15" customHeight="1">
      <c r="A749" t="inlineStr">
        <is>
          <t>A 25951-2026</t>
        </is>
      </c>
      <c r="B749" t="inlineStr">
        <is>
          <t>avverkningsanmälan</t>
        </is>
      </c>
      <c r="C749" t="inlineStr">
        <is>
          <t>Föryngringsavverkning</t>
        </is>
      </c>
      <c r="D749" s="1" t="n">
        <v>46177</v>
      </c>
      <c r="E749" s="1" t="n">
        <v>46221</v>
      </c>
      <c r="F749" t="inlineStr">
        <is>
          <t>NORRBOTTENS LÄN</t>
        </is>
      </c>
      <c r="G749" t="inlineStr">
        <is>
          <t>PITEÅ</t>
        </is>
      </c>
      <c r="I749" t="n">
        <v>24.6</v>
      </c>
      <c r="J749" t="n">
        <v>0</v>
      </c>
      <c r="K749" t="n">
        <v>0</v>
      </c>
      <c r="L749" t="n">
        <v>0</v>
      </c>
      <c r="M749" t="n">
        <v>0</v>
      </c>
      <c r="N749" t="n">
        <v>0</v>
      </c>
      <c r="O749" t="n">
        <v>0</v>
      </c>
      <c r="P749" t="n">
        <v>0</v>
      </c>
      <c r="Q749" t="n">
        <v>0</v>
      </c>
      <c r="R749" t="n">
        <v>0</v>
      </c>
      <c r="S749" t="n">
        <v>0</v>
      </c>
      <c r="T749" t="n">
        <v>0</v>
      </c>
      <c r="U749" s="2" t="inlineStr"/>
    </row>
    <row r="750" ht="15" customHeight="1">
      <c r="A750" t="inlineStr">
        <is>
          <t>A 51489-2023</t>
        </is>
      </c>
      <c r="B750" t="inlineStr">
        <is>
          <t>avverkningsanmälan</t>
        </is>
      </c>
      <c r="C750" t="inlineStr">
        <is>
          <t>Avverkning för att bevara och utveckla /försöksver</t>
        </is>
      </c>
      <c r="D750" s="1" t="n">
        <v>45222</v>
      </c>
      <c r="E750" s="1" t="n">
        <v>46221</v>
      </c>
      <c r="F750" t="inlineStr">
        <is>
          <t>NORRBOTTENS LÄN</t>
        </is>
      </c>
      <c r="G750" t="inlineStr">
        <is>
          <t>PITEÅ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11511-2025</t>
        </is>
      </c>
      <c r="B751" t="inlineStr">
        <is>
          <t>avverkningsanmälan</t>
        </is>
      </c>
      <c r="C751" t="inlineStr">
        <is>
          <t>Föryngringsavverkning</t>
        </is>
      </c>
      <c r="D751" s="1" t="n">
        <v>45726</v>
      </c>
      <c r="E751" s="1" t="n">
        <v>46221</v>
      </c>
      <c r="F751" t="inlineStr">
        <is>
          <t>NORRBOTTENS LÄN</t>
        </is>
      </c>
      <c r="G751" t="inlineStr">
        <is>
          <t>PITEÅ</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21854-2022</t>
        </is>
      </c>
      <c r="B752" t="inlineStr">
        <is>
          <t>avverkningsanmälan</t>
        </is>
      </c>
      <c r="C752" t="inlineStr">
        <is>
          <t>Föryngringsavverkning</t>
        </is>
      </c>
      <c r="D752" s="1" t="n">
        <v>44708</v>
      </c>
      <c r="E752" s="1" t="n">
        <v>46221</v>
      </c>
      <c r="F752" t="inlineStr">
        <is>
          <t>NORRBOTTENS LÄN</t>
        </is>
      </c>
      <c r="G752" t="inlineStr">
        <is>
          <t>PITEÅ</t>
        </is>
      </c>
      <c r="I752" t="n">
        <v>5.1</v>
      </c>
      <c r="J752" t="n">
        <v>0</v>
      </c>
      <c r="K752" t="n">
        <v>0</v>
      </c>
      <c r="L752" t="n">
        <v>0</v>
      </c>
      <c r="M752" t="n">
        <v>0</v>
      </c>
      <c r="N752" t="n">
        <v>0</v>
      </c>
      <c r="O752" t="n">
        <v>0</v>
      </c>
      <c r="P752" t="n">
        <v>0</v>
      </c>
      <c r="Q752" t="n">
        <v>0</v>
      </c>
      <c r="R752" t="n">
        <v>0</v>
      </c>
      <c r="S752" t="n">
        <v>0</v>
      </c>
      <c r="T752" t="n">
        <v>0</v>
      </c>
      <c r="U752" s="2" t="inlineStr"/>
    </row>
    <row r="753" ht="15" customHeight="1">
      <c r="A753" t="inlineStr">
        <is>
          <t>A 39560-2023</t>
        </is>
      </c>
      <c r="B753" t="inlineStr">
        <is>
          <t>avverkningsanmälan</t>
        </is>
      </c>
      <c r="C753" t="inlineStr">
        <is>
          <t>Föryngringsavverkning</t>
        </is>
      </c>
      <c r="D753" s="1" t="n">
        <v>45167</v>
      </c>
      <c r="E753" s="1" t="n">
        <v>46221</v>
      </c>
      <c r="F753" t="inlineStr">
        <is>
          <t>NORRBOTTENS LÄN</t>
        </is>
      </c>
      <c r="G753" t="inlineStr">
        <is>
          <t>PITEÅ</t>
        </is>
      </c>
      <c r="H753" t="inlineStr">
        <is>
          <t>Sveaskog</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25580-2026</t>
        </is>
      </c>
      <c r="B754" t="inlineStr">
        <is>
          <t>avverkningsanmälan</t>
        </is>
      </c>
      <c r="C754" t="inlineStr">
        <is>
          <t>Föryngringsavverkning</t>
        </is>
      </c>
      <c r="D754" s="1" t="n">
        <v>46177</v>
      </c>
      <c r="E754" s="1" t="n">
        <v>46221</v>
      </c>
      <c r="F754" t="inlineStr">
        <is>
          <t>NORRBOTTENS LÄN</t>
        </is>
      </c>
      <c r="G754" t="inlineStr">
        <is>
          <t>PITEÅ</t>
        </is>
      </c>
      <c r="H754" t="inlineStr">
        <is>
          <t>Övriga Aktiebolag</t>
        </is>
      </c>
      <c r="I754" t="n">
        <v>8.800000000000001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56418-2024</t>
        </is>
      </c>
      <c r="B755" t="inlineStr">
        <is>
          <t>avverkningsanmälan</t>
        </is>
      </c>
      <c r="C755" t="inlineStr">
        <is>
          <t>Föryngringsavverkning</t>
        </is>
      </c>
      <c r="D755" s="1" t="n">
        <v>45625</v>
      </c>
      <c r="E755" s="1" t="n">
        <v>46221</v>
      </c>
      <c r="F755" t="inlineStr">
        <is>
          <t>NORRBOTTENS LÄN</t>
        </is>
      </c>
      <c r="G755" t="inlineStr">
        <is>
          <t>PITEÅ</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25442-2026</t>
        </is>
      </c>
      <c r="B756" t="inlineStr">
        <is>
          <t>avverkningsanmälan</t>
        </is>
      </c>
      <c r="C756" t="inlineStr">
        <is>
          <t>Föryngringsavverkning</t>
        </is>
      </c>
      <c r="D756" s="1" t="n">
        <v>46177</v>
      </c>
      <c r="E756" s="1" t="n">
        <v>46221</v>
      </c>
      <c r="F756" t="inlineStr">
        <is>
          <t>NORRBOTTENS LÄN</t>
        </is>
      </c>
      <c r="G756" t="inlineStr">
        <is>
          <t>PITEÅ</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52355-2022</t>
        </is>
      </c>
      <c r="B757" t="inlineStr">
        <is>
          <t>avverkningsanmälan</t>
        </is>
      </c>
      <c r="C757" t="inlineStr">
        <is>
          <t>Föryngringsavverkning</t>
        </is>
      </c>
      <c r="D757" s="1" t="n">
        <v>44874</v>
      </c>
      <c r="E757" s="1" t="n">
        <v>46221</v>
      </c>
      <c r="F757" t="inlineStr">
        <is>
          <t>NORRBOTTENS LÄN</t>
        </is>
      </c>
      <c r="G757" t="inlineStr">
        <is>
          <t>PITEÅ</t>
        </is>
      </c>
      <c r="I757" t="n">
        <v>11.1</v>
      </c>
      <c r="J757" t="n">
        <v>0</v>
      </c>
      <c r="K757" t="n">
        <v>0</v>
      </c>
      <c r="L757" t="n">
        <v>0</v>
      </c>
      <c r="M757" t="n">
        <v>0</v>
      </c>
      <c r="N757" t="n">
        <v>0</v>
      </c>
      <c r="O757" t="n">
        <v>0</v>
      </c>
      <c r="P757" t="n">
        <v>0</v>
      </c>
      <c r="Q757" t="n">
        <v>0</v>
      </c>
      <c r="R757" t="n">
        <v>0</v>
      </c>
      <c r="S757" t="n">
        <v>0</v>
      </c>
      <c r="T757" t="n">
        <v>0</v>
      </c>
      <c r="U757" s="2" t="inlineStr"/>
    </row>
    <row r="758" ht="15" customHeight="1">
      <c r="A758" t="inlineStr">
        <is>
          <t>A 25768-2026</t>
        </is>
      </c>
      <c r="B758" t="inlineStr">
        <is>
          <t>avverkningsanmälan</t>
        </is>
      </c>
      <c r="C758" t="inlineStr">
        <is>
          <t>Föryngringsavverkning</t>
        </is>
      </c>
      <c r="D758" s="1" t="n">
        <v>46178</v>
      </c>
      <c r="E758" s="1" t="n">
        <v>46221</v>
      </c>
      <c r="F758" t="inlineStr">
        <is>
          <t>NORRBOTTENS LÄN</t>
        </is>
      </c>
      <c r="G758" t="inlineStr">
        <is>
          <t>PITEÅ</t>
        </is>
      </c>
      <c r="H758" t="inlineStr">
        <is>
          <t>Sveaskog</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55319-2023</t>
        </is>
      </c>
      <c r="B759" t="inlineStr">
        <is>
          <t>avverkningsanmälan</t>
        </is>
      </c>
      <c r="C759" t="inlineStr">
        <is>
          <t>Föryngringsavverkning</t>
        </is>
      </c>
      <c r="D759" s="1" t="n">
        <v>45237</v>
      </c>
      <c r="E759" s="1" t="n">
        <v>46221</v>
      </c>
      <c r="F759" t="inlineStr">
        <is>
          <t>NORRBOTTENS LÄN</t>
        </is>
      </c>
      <c r="G759" t="inlineStr">
        <is>
          <t>PITEÅ</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45728-2024</t>
        </is>
      </c>
      <c r="B760" t="inlineStr">
        <is>
          <t>avverkningsanmälan</t>
        </is>
      </c>
      <c r="C760" t="inlineStr">
        <is>
          <t>Föryngringsavverkning</t>
        </is>
      </c>
      <c r="D760" s="1" t="n">
        <v>45579</v>
      </c>
      <c r="E760" s="1" t="n">
        <v>46221</v>
      </c>
      <c r="F760" t="inlineStr">
        <is>
          <t>NORRBOTTENS LÄN</t>
        </is>
      </c>
      <c r="G760" t="inlineStr">
        <is>
          <t>PITEÅ</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45732-2024</t>
        </is>
      </c>
      <c r="B761" t="inlineStr">
        <is>
          <t>avverkningsanmälan</t>
        </is>
      </c>
      <c r="C761" t="inlineStr">
        <is>
          <t>Föryngringsavverkning</t>
        </is>
      </c>
      <c r="D761" s="1" t="n">
        <v>45579</v>
      </c>
      <c r="E761" s="1" t="n">
        <v>46221</v>
      </c>
      <c r="F761" t="inlineStr">
        <is>
          <t>NORRBOTTENS LÄN</t>
        </is>
      </c>
      <c r="G761" t="inlineStr">
        <is>
          <t>PITEÅ</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34628-2023</t>
        </is>
      </c>
      <c r="B762" t="inlineStr">
        <is>
          <t>avverkningsanmälan</t>
        </is>
      </c>
      <c r="C762" t="inlineStr">
        <is>
          <t>Föryngringsavverkning</t>
        </is>
      </c>
      <c r="D762" s="1" t="n">
        <v>45140</v>
      </c>
      <c r="E762" s="1" t="n">
        <v>46221</v>
      </c>
      <c r="F762" t="inlineStr">
        <is>
          <t>NORRBOTTENS LÄN</t>
        </is>
      </c>
      <c r="G762" t="inlineStr">
        <is>
          <t>PITEÅ</t>
        </is>
      </c>
      <c r="H762" t="inlineStr">
        <is>
          <t>Sveaskog</t>
        </is>
      </c>
      <c r="I762" t="n">
        <v>4.9</v>
      </c>
      <c r="J762" t="n">
        <v>0</v>
      </c>
      <c r="K762" t="n">
        <v>0</v>
      </c>
      <c r="L762" t="n">
        <v>0</v>
      </c>
      <c r="M762" t="n">
        <v>0</v>
      </c>
      <c r="N762" t="n">
        <v>0</v>
      </c>
      <c r="O762" t="n">
        <v>0</v>
      </c>
      <c r="P762" t="n">
        <v>0</v>
      </c>
      <c r="Q762" t="n">
        <v>0</v>
      </c>
      <c r="R762" t="n">
        <v>0</v>
      </c>
      <c r="S762" t="n">
        <v>0</v>
      </c>
      <c r="T762" t="n">
        <v>0</v>
      </c>
      <c r="U762" s="2" t="inlineStr"/>
    </row>
    <row r="763" ht="15" customHeight="1">
      <c r="A763" t="inlineStr">
        <is>
          <t>A 25441-2026</t>
        </is>
      </c>
      <c r="B763" t="inlineStr">
        <is>
          <t>avverkningsanmälan</t>
        </is>
      </c>
      <c r="C763" t="inlineStr">
        <is>
          <t>Föryngringsavverkning</t>
        </is>
      </c>
      <c r="D763" s="1" t="n">
        <v>46177</v>
      </c>
      <c r="E763" s="1" t="n">
        <v>46221</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25952-2026</t>
        </is>
      </c>
      <c r="B764" t="inlineStr">
        <is>
          <t>avverkningsanmälan</t>
        </is>
      </c>
      <c r="C764" t="inlineStr">
        <is>
          <t>Föryngringsavverkning</t>
        </is>
      </c>
      <c r="D764" s="1" t="n">
        <v>46177</v>
      </c>
      <c r="E764" s="1" t="n">
        <v>46221</v>
      </c>
      <c r="F764" t="inlineStr">
        <is>
          <t>NORRBOTTENS LÄN</t>
        </is>
      </c>
      <c r="G764" t="inlineStr">
        <is>
          <t>PITEÅ</t>
        </is>
      </c>
      <c r="I764" t="n">
        <v>4.8</v>
      </c>
      <c r="J764" t="n">
        <v>0</v>
      </c>
      <c r="K764" t="n">
        <v>0</v>
      </c>
      <c r="L764" t="n">
        <v>0</v>
      </c>
      <c r="M764" t="n">
        <v>0</v>
      </c>
      <c r="N764" t="n">
        <v>0</v>
      </c>
      <c r="O764" t="n">
        <v>0</v>
      </c>
      <c r="P764" t="n">
        <v>0</v>
      </c>
      <c r="Q764" t="n">
        <v>0</v>
      </c>
      <c r="R764" t="n">
        <v>0</v>
      </c>
      <c r="S764" t="n">
        <v>0</v>
      </c>
      <c r="T764" t="n">
        <v>0</v>
      </c>
      <c r="U764" s="2" t="inlineStr"/>
    </row>
    <row r="765" ht="15" customHeight="1">
      <c r="A765" t="inlineStr">
        <is>
          <t>A 25953-2026</t>
        </is>
      </c>
      <c r="B765" t="inlineStr">
        <is>
          <t>avverkningsanmälan</t>
        </is>
      </c>
      <c r="C765" t="inlineStr">
        <is>
          <t>Föryngringsavverkning</t>
        </is>
      </c>
      <c r="D765" s="1" t="n">
        <v>46177</v>
      </c>
      <c r="E765" s="1" t="n">
        <v>46221</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25495-2026</t>
        </is>
      </c>
      <c r="B766" t="inlineStr">
        <is>
          <t>avverkningsanmälan</t>
        </is>
      </c>
      <c r="C766" t="inlineStr">
        <is>
          <t>Föryngringsavverkning</t>
        </is>
      </c>
      <c r="D766" s="1" t="n">
        <v>46177</v>
      </c>
      <c r="E766" s="1" t="n">
        <v>46221</v>
      </c>
      <c r="F766" t="inlineStr">
        <is>
          <t>NORRBOTTENS LÄN</t>
        </is>
      </c>
      <c r="G766" t="inlineStr">
        <is>
          <t>PITEÅ</t>
        </is>
      </c>
      <c r="I766" t="n">
        <v>7.6</v>
      </c>
      <c r="J766" t="n">
        <v>0</v>
      </c>
      <c r="K766" t="n">
        <v>0</v>
      </c>
      <c r="L766" t="n">
        <v>0</v>
      </c>
      <c r="M766" t="n">
        <v>0</v>
      </c>
      <c r="N766" t="n">
        <v>0</v>
      </c>
      <c r="O766" t="n">
        <v>0</v>
      </c>
      <c r="P766" t="n">
        <v>0</v>
      </c>
      <c r="Q766" t="n">
        <v>0</v>
      </c>
      <c r="R766" t="n">
        <v>0</v>
      </c>
      <c r="S766" t="n">
        <v>0</v>
      </c>
      <c r="T766" t="n">
        <v>0</v>
      </c>
      <c r="U766" s="2" t="inlineStr"/>
    </row>
    <row r="767" ht="15" customHeight="1">
      <c r="A767" t="inlineStr">
        <is>
          <t>A 5502-2024</t>
        </is>
      </c>
      <c r="B767" t="inlineStr">
        <is>
          <t>avverkningsanmälan</t>
        </is>
      </c>
      <c r="C767" t="inlineStr">
        <is>
          <t>Föryngringsavverkning</t>
        </is>
      </c>
      <c r="D767" s="1" t="n">
        <v>45331</v>
      </c>
      <c r="E767" s="1" t="n">
        <v>46221</v>
      </c>
      <c r="F767" t="inlineStr">
        <is>
          <t>NORRBOTTENS LÄN</t>
        </is>
      </c>
      <c r="G767" t="inlineStr">
        <is>
          <t>PITEÅ</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32466-2024</t>
        </is>
      </c>
      <c r="B768" t="inlineStr">
        <is>
          <t>avverkningsanmälan</t>
        </is>
      </c>
      <c r="C768" t="inlineStr">
        <is>
          <t>Föryngringsavverkning</t>
        </is>
      </c>
      <c r="D768" s="1" t="n">
        <v>45512</v>
      </c>
      <c r="E768" s="1" t="n">
        <v>46221</v>
      </c>
      <c r="F768" t="inlineStr">
        <is>
          <t>NORRBOTTENS LÄN</t>
        </is>
      </c>
      <c r="G768" t="inlineStr">
        <is>
          <t>PITEÅ</t>
        </is>
      </c>
      <c r="H768" t="inlineStr">
        <is>
          <t>SCA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28720-2024</t>
        </is>
      </c>
      <c r="B769" t="inlineStr">
        <is>
          <t>avverkningsanmälan</t>
        </is>
      </c>
      <c r="C769" t="inlineStr">
        <is>
          <t>Föryngringsavverkning</t>
        </is>
      </c>
      <c r="D769" s="1" t="n">
        <v>45478</v>
      </c>
      <c r="E769" s="1" t="n">
        <v>46221</v>
      </c>
      <c r="F769" t="inlineStr">
        <is>
          <t>NORRBOTTENS LÄN</t>
        </is>
      </c>
      <c r="G769" t="inlineStr">
        <is>
          <t>PITEÅ</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21343-2024</t>
        </is>
      </c>
      <c r="B770" t="inlineStr">
        <is>
          <t>avverkningsanmälan</t>
        </is>
      </c>
      <c r="C770" t="inlineStr">
        <is>
          <t>Föryngringsavverkning</t>
        </is>
      </c>
      <c r="D770" s="1" t="n">
        <v>45440</v>
      </c>
      <c r="E770" s="1" t="n">
        <v>46221</v>
      </c>
      <c r="F770" t="inlineStr">
        <is>
          <t>NORRBOTTENS LÄN</t>
        </is>
      </c>
      <c r="G770" t="inlineStr">
        <is>
          <t>PITEÅ</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54755-2024</t>
        </is>
      </c>
      <c r="B771" t="inlineStr">
        <is>
          <t>avverkningsanmälan</t>
        </is>
      </c>
      <c r="C771" t="inlineStr">
        <is>
          <t>Föryngringsavverkning</t>
        </is>
      </c>
      <c r="D771" s="1" t="n">
        <v>45618</v>
      </c>
      <c r="E771" s="1" t="n">
        <v>46221</v>
      </c>
      <c r="F771" t="inlineStr">
        <is>
          <t>NORRBOTTENS LÄN</t>
        </is>
      </c>
      <c r="G771" t="inlineStr">
        <is>
          <t>PITEÅ</t>
        </is>
      </c>
      <c r="I771" t="n">
        <v>4.1</v>
      </c>
      <c r="J771" t="n">
        <v>0</v>
      </c>
      <c r="K771" t="n">
        <v>0</v>
      </c>
      <c r="L771" t="n">
        <v>0</v>
      </c>
      <c r="M771" t="n">
        <v>0</v>
      </c>
      <c r="N771" t="n">
        <v>0</v>
      </c>
      <c r="O771" t="n">
        <v>0</v>
      </c>
      <c r="P771" t="n">
        <v>0</v>
      </c>
      <c r="Q771" t="n">
        <v>0</v>
      </c>
      <c r="R771" t="n">
        <v>0</v>
      </c>
      <c r="S771" t="n">
        <v>0</v>
      </c>
      <c r="T771" t="n">
        <v>0</v>
      </c>
      <c r="U771" s="2" t="inlineStr"/>
    </row>
    <row r="772" ht="15" customHeight="1">
      <c r="A772" t="inlineStr">
        <is>
          <t>A 54761-2024</t>
        </is>
      </c>
      <c r="B772" t="inlineStr">
        <is>
          <t>avverkningsanmälan</t>
        </is>
      </c>
      <c r="C772" t="inlineStr">
        <is>
          <t>Föryngringsavverkning</t>
        </is>
      </c>
      <c r="D772" s="1" t="n">
        <v>45618</v>
      </c>
      <c r="E772" s="1" t="n">
        <v>46221</v>
      </c>
      <c r="F772" t="inlineStr">
        <is>
          <t>NORRBOTTENS LÄN</t>
        </is>
      </c>
      <c r="G772" t="inlineStr">
        <is>
          <t>PITEÅ</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56073-2022</t>
        </is>
      </c>
      <c r="B773" t="inlineStr">
        <is>
          <t>avverkningsanmälan</t>
        </is>
      </c>
      <c r="C773" t="inlineStr">
        <is>
          <t>Föryngringsavverkning</t>
        </is>
      </c>
      <c r="D773" s="1" t="n">
        <v>44889</v>
      </c>
      <c r="E773" s="1" t="n">
        <v>46221</v>
      </c>
      <c r="F773" t="inlineStr">
        <is>
          <t>NORRBOTTENS LÄN</t>
        </is>
      </c>
      <c r="G773" t="inlineStr">
        <is>
          <t>PITEÅ</t>
        </is>
      </c>
      <c r="H773" t="inlineStr">
        <is>
          <t>Sveaskog</t>
        </is>
      </c>
      <c r="I773" t="n">
        <v>10.4</v>
      </c>
      <c r="J773" t="n">
        <v>0</v>
      </c>
      <c r="K773" t="n">
        <v>0</v>
      </c>
      <c r="L773" t="n">
        <v>0</v>
      </c>
      <c r="M773" t="n">
        <v>0</v>
      </c>
      <c r="N773" t="n">
        <v>0</v>
      </c>
      <c r="O773" t="n">
        <v>0</v>
      </c>
      <c r="P773" t="n">
        <v>0</v>
      </c>
      <c r="Q773" t="n">
        <v>0</v>
      </c>
      <c r="R773" t="n">
        <v>0</v>
      </c>
      <c r="S773" t="n">
        <v>0</v>
      </c>
      <c r="T773" t="n">
        <v>0</v>
      </c>
      <c r="U773" s="2" t="inlineStr"/>
    </row>
    <row r="774" ht="15" customHeight="1">
      <c r="A774" t="inlineStr">
        <is>
          <t>A 41195-2024</t>
        </is>
      </c>
      <c r="B774" t="inlineStr">
        <is>
          <t>avverkningsanmälan</t>
        </is>
      </c>
      <c r="C774" t="inlineStr">
        <is>
          <t>Föryngringsavverkning</t>
        </is>
      </c>
      <c r="D774" s="1" t="n">
        <v>45559</v>
      </c>
      <c r="E774" s="1" t="n">
        <v>46221</v>
      </c>
      <c r="F774" t="inlineStr">
        <is>
          <t>NORRBOTTENS LÄN</t>
        </is>
      </c>
      <c r="G774" t="inlineStr">
        <is>
          <t>PITEÅ</t>
        </is>
      </c>
      <c r="I774" t="n">
        <v>2.2</v>
      </c>
      <c r="J774" t="n">
        <v>0</v>
      </c>
      <c r="K774" t="n">
        <v>0</v>
      </c>
      <c r="L774" t="n">
        <v>0</v>
      </c>
      <c r="M774" t="n">
        <v>0</v>
      </c>
      <c r="N774" t="n">
        <v>0</v>
      </c>
      <c r="O774" t="n">
        <v>0</v>
      </c>
      <c r="P774" t="n">
        <v>0</v>
      </c>
      <c r="Q774" t="n">
        <v>0</v>
      </c>
      <c r="R774" t="n">
        <v>0</v>
      </c>
      <c r="S774" t="n">
        <v>0</v>
      </c>
      <c r="T774" t="n">
        <v>0</v>
      </c>
      <c r="U774" s="2" t="inlineStr"/>
    </row>
    <row r="775" ht="15" customHeight="1">
      <c r="A775" t="inlineStr">
        <is>
          <t>A 63875-2023</t>
        </is>
      </c>
      <c r="B775" t="inlineStr">
        <is>
          <t>avverkningsanmälan</t>
        </is>
      </c>
      <c r="C775" t="inlineStr">
        <is>
          <t>Föryngringsavverkning</t>
        </is>
      </c>
      <c r="D775" s="1" t="n">
        <v>45278</v>
      </c>
      <c r="E775" s="1" t="n">
        <v>46221</v>
      </c>
      <c r="F775" t="inlineStr">
        <is>
          <t>NORRBOTTENS LÄN</t>
        </is>
      </c>
      <c r="G775" t="inlineStr">
        <is>
          <t>PITEÅ</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25342-2024</t>
        </is>
      </c>
      <c r="B776" t="inlineStr">
        <is>
          <t>avverkningsanmälan</t>
        </is>
      </c>
      <c r="C776" t="inlineStr">
        <is>
          <t>Avverkning för annat ändamål</t>
        </is>
      </c>
      <c r="D776" s="1" t="n">
        <v>45462</v>
      </c>
      <c r="E776" s="1" t="n">
        <v>46221</v>
      </c>
      <c r="F776" t="inlineStr">
        <is>
          <t>NORRBOTTENS LÄN</t>
        </is>
      </c>
      <c r="G776" t="inlineStr">
        <is>
          <t>PITEÅ</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44403-2024</t>
        </is>
      </c>
      <c r="B777" t="inlineStr">
        <is>
          <t>avverkningsanmälan</t>
        </is>
      </c>
      <c r="C777" t="inlineStr">
        <is>
          <t>Föryngringsavverkning</t>
        </is>
      </c>
      <c r="D777" s="1" t="n">
        <v>45573</v>
      </c>
      <c r="E777" s="1" t="n">
        <v>46221</v>
      </c>
      <c r="F777" t="inlineStr">
        <is>
          <t>NORRBOTTENS LÄN</t>
        </is>
      </c>
      <c r="G777" t="inlineStr">
        <is>
          <t>PITEÅ</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64571-2023</t>
        </is>
      </c>
      <c r="B778" t="inlineStr">
        <is>
          <t>avverkningsanmälan</t>
        </is>
      </c>
      <c r="C778" t="inlineStr">
        <is>
          <t>Föryngringsavverkning</t>
        </is>
      </c>
      <c r="D778" s="1" t="n">
        <v>45281</v>
      </c>
      <c r="E778" s="1" t="n">
        <v>46221</v>
      </c>
      <c r="F778" t="inlineStr">
        <is>
          <t>NORRBOTTENS LÄN</t>
        </is>
      </c>
      <c r="G778" t="inlineStr">
        <is>
          <t>PITEÅ</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57908-2024</t>
        </is>
      </c>
      <c r="B779" t="inlineStr">
        <is>
          <t>avverkningsanmälan</t>
        </is>
      </c>
      <c r="C779" t="inlineStr">
        <is>
          <t>Föryngringsavverkning</t>
        </is>
      </c>
      <c r="D779" s="1" t="n">
        <v>45631</v>
      </c>
      <c r="E779" s="1" t="n">
        <v>46221</v>
      </c>
      <c r="F779" t="inlineStr">
        <is>
          <t>NORRBOTTENS LÄN</t>
        </is>
      </c>
      <c r="G779" t="inlineStr">
        <is>
          <t>PITEÅ</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20087-2024</t>
        </is>
      </c>
      <c r="B780" t="inlineStr">
        <is>
          <t>avverkningsanmälan</t>
        </is>
      </c>
      <c r="C780" t="inlineStr">
        <is>
          <t>Föryngringsavverkning</t>
        </is>
      </c>
      <c r="D780" s="1" t="n">
        <v>45434</v>
      </c>
      <c r="E780" s="1" t="n">
        <v>46221</v>
      </c>
      <c r="F780" t="inlineStr">
        <is>
          <t>NORRBOTTENS LÄN</t>
        </is>
      </c>
      <c r="G780" t="inlineStr">
        <is>
          <t>PITEÅ</t>
        </is>
      </c>
      <c r="I780" t="n">
        <v>4.3</v>
      </c>
      <c r="J780" t="n">
        <v>0</v>
      </c>
      <c r="K780" t="n">
        <v>0</v>
      </c>
      <c r="L780" t="n">
        <v>0</v>
      </c>
      <c r="M780" t="n">
        <v>0</v>
      </c>
      <c r="N780" t="n">
        <v>0</v>
      </c>
      <c r="O780" t="n">
        <v>0</v>
      </c>
      <c r="P780" t="n">
        <v>0</v>
      </c>
      <c r="Q780" t="n">
        <v>0</v>
      </c>
      <c r="R780" t="n">
        <v>0</v>
      </c>
      <c r="S780" t="n">
        <v>0</v>
      </c>
      <c r="T780" t="n">
        <v>0</v>
      </c>
      <c r="U780" s="2" t="inlineStr"/>
    </row>
    <row r="781" ht="15" customHeight="1">
      <c r="A781" t="inlineStr">
        <is>
          <t>A 63179-2023</t>
        </is>
      </c>
      <c r="B781" t="inlineStr">
        <is>
          <t>avverkningsanmälan</t>
        </is>
      </c>
      <c r="C781" t="inlineStr">
        <is>
          <t>Föryngringsavverkning</t>
        </is>
      </c>
      <c r="D781" s="1" t="n">
        <v>45273</v>
      </c>
      <c r="E781" s="1" t="n">
        <v>46221</v>
      </c>
      <c r="F781" t="inlineStr">
        <is>
          <t>NORRBOTTENS LÄN</t>
        </is>
      </c>
      <c r="G781" t="inlineStr">
        <is>
          <t>PITEÅ</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32936-2023</t>
        </is>
      </c>
      <c r="B782" t="inlineStr">
        <is>
          <t>avverkningsanmälan</t>
        </is>
      </c>
      <c r="C782" t="inlineStr">
        <is>
          <t>Avverkning för annat ändamål</t>
        </is>
      </c>
      <c r="D782" s="1" t="n">
        <v>45125</v>
      </c>
      <c r="E782" s="1" t="n">
        <v>46221</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32939-2023</t>
        </is>
      </c>
      <c r="B783" t="inlineStr">
        <is>
          <t>avverkningsanmälan</t>
        </is>
      </c>
      <c r="C783" t="inlineStr">
        <is>
          <t>Avverkning för annat ändamål</t>
        </is>
      </c>
      <c r="D783" s="1" t="n">
        <v>45125</v>
      </c>
      <c r="E783" s="1" t="n">
        <v>46221</v>
      </c>
      <c r="F783" t="inlineStr">
        <is>
          <t>NORRBOTTENS LÄN</t>
        </is>
      </c>
      <c r="G783" t="inlineStr">
        <is>
          <t>PITEÅ</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44712-2024</t>
        </is>
      </c>
      <c r="B784" t="inlineStr">
        <is>
          <t>avverkningsanmälan</t>
        </is>
      </c>
      <c r="C784" t="inlineStr">
        <is>
          <t>Föryngringsavverkning</t>
        </is>
      </c>
      <c r="D784" s="1" t="n">
        <v>45574</v>
      </c>
      <c r="E784" s="1" t="n">
        <v>46221</v>
      </c>
      <c r="F784" t="inlineStr">
        <is>
          <t>NORRBOTTENS LÄN</t>
        </is>
      </c>
      <c r="G784" t="inlineStr">
        <is>
          <t>PITEÅ</t>
        </is>
      </c>
      <c r="H784" t="inlineStr">
        <is>
          <t>SCA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44716-2024</t>
        </is>
      </c>
      <c r="B785" t="inlineStr">
        <is>
          <t>avverkningsanmälan</t>
        </is>
      </c>
      <c r="C785" t="inlineStr">
        <is>
          <t>Föryngringsavverkning</t>
        </is>
      </c>
      <c r="D785" s="1" t="n">
        <v>45574</v>
      </c>
      <c r="E785" s="1" t="n">
        <v>46221</v>
      </c>
      <c r="F785" t="inlineStr">
        <is>
          <t>NORRBOTTENS LÄN</t>
        </is>
      </c>
      <c r="G785" t="inlineStr">
        <is>
          <t>PITEÅ</t>
        </is>
      </c>
      <c r="H785" t="inlineStr">
        <is>
          <t>SCA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59678-2024</t>
        </is>
      </c>
      <c r="B786" t="inlineStr">
        <is>
          <t>avverkningsanmälan</t>
        </is>
      </c>
      <c r="C786" t="inlineStr">
        <is>
          <t>Föryngringsavverkning</t>
        </is>
      </c>
      <c r="D786" s="1" t="n">
        <v>45639</v>
      </c>
      <c r="E786" s="1" t="n">
        <v>46221</v>
      </c>
      <c r="F786" t="inlineStr">
        <is>
          <t>NORRBOTTENS LÄN</t>
        </is>
      </c>
      <c r="G786" t="inlineStr">
        <is>
          <t>PITEÅ</t>
        </is>
      </c>
      <c r="I786" t="n">
        <v>0.3</v>
      </c>
      <c r="J786" t="n">
        <v>0</v>
      </c>
      <c r="K786" t="n">
        <v>0</v>
      </c>
      <c r="L786" t="n">
        <v>0</v>
      </c>
      <c r="M786" t="n">
        <v>0</v>
      </c>
      <c r="N786" t="n">
        <v>0</v>
      </c>
      <c r="O786" t="n">
        <v>0</v>
      </c>
      <c r="P786" t="n">
        <v>0</v>
      </c>
      <c r="Q786" t="n">
        <v>0</v>
      </c>
      <c r="R786" t="n">
        <v>0</v>
      </c>
      <c r="S786" t="n">
        <v>0</v>
      </c>
      <c r="T786" t="n">
        <v>0</v>
      </c>
      <c r="U786" s="2" t="inlineStr"/>
    </row>
    <row r="787" ht="15" customHeight="1">
      <c r="A787" t="inlineStr">
        <is>
          <t>A 20646-2025</t>
        </is>
      </c>
      <c r="B787" t="inlineStr">
        <is>
          <t>avverkningsanmälan</t>
        </is>
      </c>
      <c r="C787" t="inlineStr">
        <is>
          <t>Föryngringsavverkning</t>
        </is>
      </c>
      <c r="D787" s="1" t="n">
        <v>45776</v>
      </c>
      <c r="E787" s="1" t="n">
        <v>46221</v>
      </c>
      <c r="F787" t="inlineStr">
        <is>
          <t>NORRBOTTENS LÄN</t>
        </is>
      </c>
      <c r="G787" t="inlineStr">
        <is>
          <t>PITEÅ</t>
        </is>
      </c>
      <c r="I787" t="n">
        <v>4.7</v>
      </c>
      <c r="J787" t="n">
        <v>0</v>
      </c>
      <c r="K787" t="n">
        <v>0</v>
      </c>
      <c r="L787" t="n">
        <v>0</v>
      </c>
      <c r="M787" t="n">
        <v>0</v>
      </c>
      <c r="N787" t="n">
        <v>0</v>
      </c>
      <c r="O787" t="n">
        <v>0</v>
      </c>
      <c r="P787" t="n">
        <v>0</v>
      </c>
      <c r="Q787" t="n">
        <v>0</v>
      </c>
      <c r="R787" t="n">
        <v>0</v>
      </c>
      <c r="S787" t="n">
        <v>0</v>
      </c>
      <c r="T787" t="n">
        <v>0</v>
      </c>
      <c r="U787" s="2" t="inlineStr"/>
    </row>
    <row r="788" ht="15" customHeight="1">
      <c r="A788" t="inlineStr">
        <is>
          <t>A 9112-2024</t>
        </is>
      </c>
      <c r="B788" t="inlineStr">
        <is>
          <t>avverkningsanmälan</t>
        </is>
      </c>
      <c r="C788" t="inlineStr">
        <is>
          <t>Föryngringsavverkning</t>
        </is>
      </c>
      <c r="D788" s="1" t="n">
        <v>45357</v>
      </c>
      <c r="E788" s="1" t="n">
        <v>46221</v>
      </c>
      <c r="F788" t="inlineStr">
        <is>
          <t>NORRBOTTENS LÄN</t>
        </is>
      </c>
      <c r="G788" t="inlineStr">
        <is>
          <t>PITEÅ</t>
        </is>
      </c>
      <c r="I788" t="n">
        <v>5.4</v>
      </c>
      <c r="J788" t="n">
        <v>0</v>
      </c>
      <c r="K788" t="n">
        <v>0</v>
      </c>
      <c r="L788" t="n">
        <v>0</v>
      </c>
      <c r="M788" t="n">
        <v>0</v>
      </c>
      <c r="N788" t="n">
        <v>0</v>
      </c>
      <c r="O788" t="n">
        <v>0</v>
      </c>
      <c r="P788" t="n">
        <v>0</v>
      </c>
      <c r="Q788" t="n">
        <v>0</v>
      </c>
      <c r="R788" t="n">
        <v>0</v>
      </c>
      <c r="S788" t="n">
        <v>0</v>
      </c>
      <c r="T788" t="n">
        <v>0</v>
      </c>
      <c r="U788" s="2" t="inlineStr"/>
    </row>
    <row r="789" ht="15" customHeight="1">
      <c r="A789" t="inlineStr">
        <is>
          <t>A 16044-2024</t>
        </is>
      </c>
      <c r="B789" t="inlineStr">
        <is>
          <t>avverkningsanmälan</t>
        </is>
      </c>
      <c r="C789" t="inlineStr">
        <is>
          <t>Föryngringsavverkning</t>
        </is>
      </c>
      <c r="D789" s="1" t="n">
        <v>45405</v>
      </c>
      <c r="E789" s="1" t="n">
        <v>46221</v>
      </c>
      <c r="F789" t="inlineStr">
        <is>
          <t>NORRBOTTENS LÄN</t>
        </is>
      </c>
      <c r="G789" t="inlineStr">
        <is>
          <t>PITEÅ</t>
        </is>
      </c>
      <c r="I789" t="n">
        <v>4.3</v>
      </c>
      <c r="J789" t="n">
        <v>0</v>
      </c>
      <c r="K789" t="n">
        <v>0</v>
      </c>
      <c r="L789" t="n">
        <v>0</v>
      </c>
      <c r="M789" t="n">
        <v>0</v>
      </c>
      <c r="N789" t="n">
        <v>0</v>
      </c>
      <c r="O789" t="n">
        <v>0</v>
      </c>
      <c r="P789" t="n">
        <v>0</v>
      </c>
      <c r="Q789" t="n">
        <v>0</v>
      </c>
      <c r="R789" t="n">
        <v>0</v>
      </c>
      <c r="S789" t="n">
        <v>0</v>
      </c>
      <c r="T789" t="n">
        <v>0</v>
      </c>
      <c r="U789" s="2" t="inlineStr"/>
    </row>
    <row r="790" ht="15" customHeight="1">
      <c r="A790" t="inlineStr">
        <is>
          <t>A 20082-2024</t>
        </is>
      </c>
      <c r="B790" t="inlineStr">
        <is>
          <t>avverkningsanmälan</t>
        </is>
      </c>
      <c r="C790" t="inlineStr">
        <is>
          <t>Föryngringsavverkning</t>
        </is>
      </c>
      <c r="D790" s="1" t="n">
        <v>45434</v>
      </c>
      <c r="E790" s="1" t="n">
        <v>46221</v>
      </c>
      <c r="F790" t="inlineStr">
        <is>
          <t>NORRBOTTENS LÄN</t>
        </is>
      </c>
      <c r="G790" t="inlineStr">
        <is>
          <t>PITEÅ</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A 21498-2025</t>
        </is>
      </c>
      <c r="B791" t="inlineStr">
        <is>
          <t>avverkningsanmälan</t>
        </is>
      </c>
      <c r="C791" t="inlineStr">
        <is>
          <t>Föryngringsavverkning</t>
        </is>
      </c>
      <c r="D791" s="1" t="n">
        <v>45782</v>
      </c>
      <c r="E791" s="1" t="n">
        <v>46221</v>
      </c>
      <c r="F791" t="inlineStr">
        <is>
          <t>NORRBOTTENS LÄN</t>
        </is>
      </c>
      <c r="G791" t="inlineStr">
        <is>
          <t>PITEÅ</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21540-2025</t>
        </is>
      </c>
      <c r="B792" t="inlineStr">
        <is>
          <t>avverkningsanmälan</t>
        </is>
      </c>
      <c r="C792" t="inlineStr">
        <is>
          <t>Föryngringsavverkning</t>
        </is>
      </c>
      <c r="D792" s="1" t="n">
        <v>45782</v>
      </c>
      <c r="E792" s="1" t="n">
        <v>46221</v>
      </c>
      <c r="F792" t="inlineStr">
        <is>
          <t>NORRBOTTENS LÄN</t>
        </is>
      </c>
      <c r="G792" t="inlineStr">
        <is>
          <t>PITEÅ</t>
        </is>
      </c>
      <c r="I792" t="n">
        <v>6.8</v>
      </c>
      <c r="J792" t="n">
        <v>0</v>
      </c>
      <c r="K792" t="n">
        <v>0</v>
      </c>
      <c r="L792" t="n">
        <v>0</v>
      </c>
      <c r="M792" t="n">
        <v>0</v>
      </c>
      <c r="N792" t="n">
        <v>0</v>
      </c>
      <c r="O792" t="n">
        <v>0</v>
      </c>
      <c r="P792" t="n">
        <v>0</v>
      </c>
      <c r="Q792" t="n">
        <v>0</v>
      </c>
      <c r="R792" t="n">
        <v>0</v>
      </c>
      <c r="S792" t="n">
        <v>0</v>
      </c>
      <c r="T792" t="n">
        <v>0</v>
      </c>
      <c r="U792" s="2" t="inlineStr"/>
    </row>
    <row r="793" ht="15" customHeight="1">
      <c r="A793" t="inlineStr">
        <is>
          <t>A 21593-2025</t>
        </is>
      </c>
      <c r="B793" t="inlineStr">
        <is>
          <t>avverkningsanmälan</t>
        </is>
      </c>
      <c r="C793" t="inlineStr">
        <is>
          <t>Föryngringsavverkning</t>
        </is>
      </c>
      <c r="D793" s="1" t="n">
        <v>45783</v>
      </c>
      <c r="E793" s="1" t="n">
        <v>46221</v>
      </c>
      <c r="F793" t="inlineStr">
        <is>
          <t>NORRBOTTENS LÄN</t>
        </is>
      </c>
      <c r="G793" t="inlineStr">
        <is>
          <t>PITEÅ</t>
        </is>
      </c>
      <c r="H793" t="inlineStr">
        <is>
          <t>SCA</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2842-2024</t>
        </is>
      </c>
      <c r="B794" t="inlineStr">
        <is>
          <t>avverkningsanmälan</t>
        </is>
      </c>
      <c r="C794" t="inlineStr">
        <is>
          <t>Föryngringsavverkning</t>
        </is>
      </c>
      <c r="D794" s="1" t="n">
        <v>45315</v>
      </c>
      <c r="E794" s="1" t="n">
        <v>46221</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2889-2024</t>
        </is>
      </c>
      <c r="B795" t="inlineStr">
        <is>
          <t>avverkningsanmälan</t>
        </is>
      </c>
      <c r="C795" t="inlineStr">
        <is>
          <t>Föryngringsavverkning</t>
        </is>
      </c>
      <c r="D795" s="1" t="n">
        <v>45315</v>
      </c>
      <c r="E795" s="1" t="n">
        <v>46221</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25983-2023</t>
        </is>
      </c>
      <c r="B796" t="inlineStr">
        <is>
          <t>avverkningsanmälan</t>
        </is>
      </c>
      <c r="C796" t="inlineStr">
        <is>
          <t>Föryngringsavverkning</t>
        </is>
      </c>
      <c r="D796" s="1" t="n">
        <v>45090</v>
      </c>
      <c r="E796" s="1" t="n">
        <v>46221</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32377-2023</t>
        </is>
      </c>
      <c r="B797" t="inlineStr">
        <is>
          <t>avverkningsanmälan</t>
        </is>
      </c>
      <c r="C797" t="inlineStr">
        <is>
          <t>Föryngringsavverkning</t>
        </is>
      </c>
      <c r="D797" s="1" t="n">
        <v>45110</v>
      </c>
      <c r="E797" s="1" t="n">
        <v>46221</v>
      </c>
      <c r="F797" t="inlineStr">
        <is>
          <t>NORRBOTTENS LÄN</t>
        </is>
      </c>
      <c r="G797" t="inlineStr">
        <is>
          <t>PITEÅ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6963-2025</t>
        </is>
      </c>
      <c r="B798" t="inlineStr">
        <is>
          <t>avverkningsanmälan</t>
        </is>
      </c>
      <c r="C798" t="inlineStr">
        <is>
          <t>Föryngringsavverkning</t>
        </is>
      </c>
      <c r="D798" s="1" t="n">
        <v>45701</v>
      </c>
      <c r="E798" s="1" t="n">
        <v>46221</v>
      </c>
      <c r="F798" t="inlineStr">
        <is>
          <t>NORRBOTTENS LÄN</t>
        </is>
      </c>
      <c r="G798" t="inlineStr">
        <is>
          <t>PITEÅ</t>
        </is>
      </c>
      <c r="I798" t="n">
        <v>4.3</v>
      </c>
      <c r="J798" t="n">
        <v>0</v>
      </c>
      <c r="K798" t="n">
        <v>0</v>
      </c>
      <c r="L798" t="n">
        <v>0</v>
      </c>
      <c r="M798" t="n">
        <v>0</v>
      </c>
      <c r="N798" t="n">
        <v>0</v>
      </c>
      <c r="O798" t="n">
        <v>0</v>
      </c>
      <c r="P798" t="n">
        <v>0</v>
      </c>
      <c r="Q798" t="n">
        <v>0</v>
      </c>
      <c r="R798" t="n">
        <v>0</v>
      </c>
      <c r="S798" t="n">
        <v>0</v>
      </c>
      <c r="T798" t="n">
        <v>0</v>
      </c>
      <c r="U798" s="2" t="inlineStr"/>
    </row>
    <row r="799" ht="15" customHeight="1">
      <c r="A799" t="inlineStr">
        <is>
          <t>A 25414-2024</t>
        </is>
      </c>
      <c r="B799" t="inlineStr">
        <is>
          <t>avverkningsanmälan</t>
        </is>
      </c>
      <c r="C799" t="inlineStr">
        <is>
          <t>Avverkning för annat ändamål</t>
        </is>
      </c>
      <c r="D799" s="1" t="n">
        <v>45462</v>
      </c>
      <c r="E799" s="1" t="n">
        <v>46221</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s="2" t="inlineStr"/>
    </row>
    <row r="800" ht="15" customHeight="1">
      <c r="A800" t="inlineStr">
        <is>
          <t>A 34878-2023</t>
        </is>
      </c>
      <c r="B800" t="inlineStr">
        <is>
          <t>avverkningsanmälan</t>
        </is>
      </c>
      <c r="C800" t="inlineStr">
        <is>
          <t>Föryngringsavverkning</t>
        </is>
      </c>
      <c r="D800" s="1" t="n">
        <v>45141</v>
      </c>
      <c r="E800" s="1" t="n">
        <v>46221</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23128-2025</t>
        </is>
      </c>
      <c r="B801" t="inlineStr">
        <is>
          <t>avverkningsanmälan</t>
        </is>
      </c>
      <c r="C801" t="inlineStr">
        <is>
          <t>Föryngringsavverkning</t>
        </is>
      </c>
      <c r="D801" s="1" t="n">
        <v>45791</v>
      </c>
      <c r="E801" s="1" t="n">
        <v>46221</v>
      </c>
      <c r="F801" t="inlineStr">
        <is>
          <t>NORRBOTTENS LÄN</t>
        </is>
      </c>
      <c r="G801" t="inlineStr">
        <is>
          <t>PITEÅ</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34615-2022</t>
        </is>
      </c>
      <c r="B802" t="inlineStr">
        <is>
          <t>avverkningsanmälan</t>
        </is>
      </c>
      <c r="C802" t="inlineStr">
        <is>
          <t>Föryngringsavverkning</t>
        </is>
      </c>
      <c r="D802" s="1" t="n">
        <v>44795</v>
      </c>
      <c r="E802" s="1" t="n">
        <v>46221</v>
      </c>
      <c r="F802" t="inlineStr">
        <is>
          <t>NORRBOTTENS LÄN</t>
        </is>
      </c>
      <c r="G802" t="inlineStr">
        <is>
          <t>PITEÅ</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53752-2023</t>
        </is>
      </c>
      <c r="B803" t="inlineStr">
        <is>
          <t>avverkningsanmälan</t>
        </is>
      </c>
      <c r="C803" t="inlineStr">
        <is>
          <t>Föryngringsavverkning</t>
        </is>
      </c>
      <c r="D803" s="1" t="n">
        <v>45230</v>
      </c>
      <c r="E803" s="1" t="n">
        <v>46221</v>
      </c>
      <c r="F803" t="inlineStr">
        <is>
          <t>NORRBOTTENS LÄN</t>
        </is>
      </c>
      <c r="G803" t="inlineStr">
        <is>
          <t>PITEÅ</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58034-2024</t>
        </is>
      </c>
      <c r="B804" t="inlineStr">
        <is>
          <t>avverkningsanmälan</t>
        </is>
      </c>
      <c r="C804" t="inlineStr">
        <is>
          <t>Föryngringsavverkning</t>
        </is>
      </c>
      <c r="D804" s="1" t="n">
        <v>45631</v>
      </c>
      <c r="E804" s="1" t="n">
        <v>46221</v>
      </c>
      <c r="F804" t="inlineStr">
        <is>
          <t>NORRBOTTENS LÄN</t>
        </is>
      </c>
      <c r="G804" t="inlineStr">
        <is>
          <t>PITEÅ</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51285-2023</t>
        </is>
      </c>
      <c r="B805" t="inlineStr">
        <is>
          <t>avverkningsanmälan</t>
        </is>
      </c>
      <c r="C805" t="inlineStr">
        <is>
          <t>Föryngringsavverkning</t>
        </is>
      </c>
      <c r="D805" s="1" t="n">
        <v>45219</v>
      </c>
      <c r="E805" s="1" t="n">
        <v>46221</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2550-2024</t>
        </is>
      </c>
      <c r="B806" t="inlineStr">
        <is>
          <t>avverkningsanmälan</t>
        </is>
      </c>
      <c r="C806" t="inlineStr">
        <is>
          <t>Föryngringsavverkning</t>
        </is>
      </c>
      <c r="D806" s="1" t="n">
        <v>45313</v>
      </c>
      <c r="E806" s="1" t="n">
        <v>46221</v>
      </c>
      <c r="F806" t="inlineStr">
        <is>
          <t>NORRBOTTENS LÄN</t>
        </is>
      </c>
      <c r="G806" t="inlineStr">
        <is>
          <t>PITEÅ</t>
        </is>
      </c>
      <c r="I806" t="n">
        <v>6</v>
      </c>
      <c r="J806" t="n">
        <v>0</v>
      </c>
      <c r="K806" t="n">
        <v>0</v>
      </c>
      <c r="L806" t="n">
        <v>0</v>
      </c>
      <c r="M806" t="n">
        <v>0</v>
      </c>
      <c r="N806" t="n">
        <v>0</v>
      </c>
      <c r="O806" t="n">
        <v>0</v>
      </c>
      <c r="P806" t="n">
        <v>0</v>
      </c>
      <c r="Q806" t="n">
        <v>0</v>
      </c>
      <c r="R806" t="n">
        <v>0</v>
      </c>
      <c r="S806" t="n">
        <v>0</v>
      </c>
      <c r="T806" t="n">
        <v>0</v>
      </c>
      <c r="U806" s="2" t="inlineStr"/>
    </row>
    <row r="807" ht="15" customHeight="1">
      <c r="A807" t="inlineStr">
        <is>
          <t>A 71301-2021</t>
        </is>
      </c>
      <c r="B807" t="inlineStr">
        <is>
          <t>avverkningsanmälan</t>
        </is>
      </c>
      <c r="C807" t="inlineStr">
        <is>
          <t>Föryngringsavverkning</t>
        </is>
      </c>
      <c r="D807" s="1" t="n">
        <v>44538</v>
      </c>
      <c r="E807" s="1" t="n">
        <v>46221</v>
      </c>
      <c r="F807" t="inlineStr">
        <is>
          <t>NORRBOTTENS LÄN</t>
        </is>
      </c>
      <c r="G807" t="inlineStr">
        <is>
          <t>PITEÅ</t>
        </is>
      </c>
      <c r="I807" t="n">
        <v>4.6</v>
      </c>
      <c r="J807" t="n">
        <v>0</v>
      </c>
      <c r="K807" t="n">
        <v>0</v>
      </c>
      <c r="L807" t="n">
        <v>0</v>
      </c>
      <c r="M807" t="n">
        <v>0</v>
      </c>
      <c r="N807" t="n">
        <v>0</v>
      </c>
      <c r="O807" t="n">
        <v>0</v>
      </c>
      <c r="P807" t="n">
        <v>0</v>
      </c>
      <c r="Q807" t="n">
        <v>0</v>
      </c>
      <c r="R807" t="n">
        <v>0</v>
      </c>
      <c r="S807" t="n">
        <v>0</v>
      </c>
      <c r="T807" t="n">
        <v>0</v>
      </c>
      <c r="U807" s="2" t="inlineStr"/>
    </row>
    <row r="808" ht="15" customHeight="1">
      <c r="A808" t="inlineStr">
        <is>
          <t>A 25955-2024</t>
        </is>
      </c>
      <c r="B808" t="inlineStr">
        <is>
          <t>avverkningsanmälan</t>
        </is>
      </c>
      <c r="C808" t="inlineStr">
        <is>
          <t>Avverkning för annat ändamål</t>
        </is>
      </c>
      <c r="D808" s="1" t="n">
        <v>45467</v>
      </c>
      <c r="E808" s="1" t="n">
        <v>46221</v>
      </c>
      <c r="F808" t="inlineStr">
        <is>
          <t>NORRBOTTENS LÄN</t>
        </is>
      </c>
      <c r="G808" t="inlineStr">
        <is>
          <t>PITEÅ</t>
        </is>
      </c>
      <c r="H808" t="inlineStr">
        <is>
          <t>Kommuner</t>
        </is>
      </c>
      <c r="I808" t="n">
        <v>3.3</v>
      </c>
      <c r="J808" t="n">
        <v>0</v>
      </c>
      <c r="K808" t="n">
        <v>0</v>
      </c>
      <c r="L808" t="n">
        <v>0</v>
      </c>
      <c r="M808" t="n">
        <v>0</v>
      </c>
      <c r="N808" t="n">
        <v>0</v>
      </c>
      <c r="O808" t="n">
        <v>0</v>
      </c>
      <c r="P808" t="n">
        <v>0</v>
      </c>
      <c r="Q808" t="n">
        <v>0</v>
      </c>
      <c r="R808" t="n">
        <v>0</v>
      </c>
      <c r="S808" t="n">
        <v>0</v>
      </c>
      <c r="T808" t="n">
        <v>0</v>
      </c>
      <c r="U808" s="2" t="inlineStr"/>
    </row>
    <row r="809" ht="15" customHeight="1">
      <c r="A809" t="inlineStr">
        <is>
          <t>A 12573-2024</t>
        </is>
      </c>
      <c r="B809" t="inlineStr">
        <is>
          <t>avverkningsanmälan</t>
        </is>
      </c>
      <c r="C809" t="inlineStr">
        <is>
          <t>Avverkning för annat ändamål</t>
        </is>
      </c>
      <c r="D809" s="1" t="n">
        <v>45379</v>
      </c>
      <c r="E809" s="1" t="n">
        <v>46221</v>
      </c>
      <c r="F809" t="inlineStr">
        <is>
          <t>NORRBOTTENS LÄN</t>
        </is>
      </c>
      <c r="G809" t="inlineStr">
        <is>
          <t>PITEÅ</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25429-2025</t>
        </is>
      </c>
      <c r="B810" t="inlineStr">
        <is>
          <t>avverkningsanmälan</t>
        </is>
      </c>
      <c r="C810" t="inlineStr">
        <is>
          <t>Föryngringsavverkning</t>
        </is>
      </c>
      <c r="D810" s="1" t="n">
        <v>45800</v>
      </c>
      <c r="E810" s="1" t="n">
        <v>46221</v>
      </c>
      <c r="F810" t="inlineStr">
        <is>
          <t>NORRBOTTENS LÄN</t>
        </is>
      </c>
      <c r="G810" t="inlineStr">
        <is>
          <t>PITEÅ</t>
        </is>
      </c>
      <c r="H810" t="inlineStr">
        <is>
          <t>SCA</t>
        </is>
      </c>
      <c r="I810" t="n">
        <v>4.3</v>
      </c>
      <c r="J810" t="n">
        <v>0</v>
      </c>
      <c r="K810" t="n">
        <v>0</v>
      </c>
      <c r="L810" t="n">
        <v>0</v>
      </c>
      <c r="M810" t="n">
        <v>0</v>
      </c>
      <c r="N810" t="n">
        <v>0</v>
      </c>
      <c r="O810" t="n">
        <v>0</v>
      </c>
      <c r="P810" t="n">
        <v>0</v>
      </c>
      <c r="Q810" t="n">
        <v>0</v>
      </c>
      <c r="R810" t="n">
        <v>0</v>
      </c>
      <c r="S810" t="n">
        <v>0</v>
      </c>
      <c r="T810" t="n">
        <v>0</v>
      </c>
      <c r="U810" s="2" t="inlineStr"/>
    </row>
    <row r="811" ht="15" customHeight="1">
      <c r="A811" t="inlineStr">
        <is>
          <t>A 7504-2024</t>
        </is>
      </c>
      <c r="B811" t="inlineStr">
        <is>
          <t>avverkningsanmälan</t>
        </is>
      </c>
      <c r="C811" t="inlineStr">
        <is>
          <t>Föryngringsavverkning</t>
        </is>
      </c>
      <c r="D811" s="1" t="n">
        <v>45347</v>
      </c>
      <c r="E811" s="1" t="n">
        <v>46221</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S 2589-2024</t>
        </is>
      </c>
      <c r="B812" t="inlineStr">
        <is>
          <t>samrådsanmälan</t>
        </is>
      </c>
      <c r="C812" t="inlineStr">
        <is>
          <t>Skogsgödsling</t>
        </is>
      </c>
      <c r="D812" s="1" t="n">
        <v>45476</v>
      </c>
      <c r="E812" s="1" t="n">
        <v>46221</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s="2" t="inlineStr"/>
    </row>
    <row r="813" ht="15" customHeight="1">
      <c r="A813" t="inlineStr">
        <is>
          <t>S 2428-2023</t>
        </is>
      </c>
      <c r="B813" t="inlineStr">
        <is>
          <t>samrådsanmälan</t>
        </is>
      </c>
      <c r="C813" t="inlineStr">
        <is>
          <t>Skogsgödsling</t>
        </is>
      </c>
      <c r="D813" s="1" t="n">
        <v>45113</v>
      </c>
      <c r="E813" s="1" t="n">
        <v>46221</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s="2" t="inlineStr"/>
    </row>
    <row r="814" ht="15" customHeight="1">
      <c r="A814" t="inlineStr">
        <is>
          <t>S 1088-2023</t>
        </is>
      </c>
      <c r="B814" t="inlineStr">
        <is>
          <t>samrådsanmälan</t>
        </is>
      </c>
      <c r="C814" t="inlineStr">
        <is>
          <t>Skogsgödsling</t>
        </is>
      </c>
      <c r="D814" s="1" t="n">
        <v>45013</v>
      </c>
      <c r="E814" s="1" t="n">
        <v>46221</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s="2" t="inlineStr"/>
    </row>
    <row r="815" ht="15" customHeight="1">
      <c r="A815" t="inlineStr">
        <is>
          <t>S 2449-2023</t>
        </is>
      </c>
      <c r="B815" t="inlineStr">
        <is>
          <t>samrådsanmälan</t>
        </is>
      </c>
      <c r="C815" t="inlineStr">
        <is>
          <t>Dikesrensning</t>
        </is>
      </c>
      <c r="D815" s="1" t="n">
        <v>45114</v>
      </c>
      <c r="E815" s="1" t="n">
        <v>46221</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S 1856-2024</t>
        </is>
      </c>
      <c r="B816" t="inlineStr">
        <is>
          <t>samrådsanmälan</t>
        </is>
      </c>
      <c r="C816" t="inlineStr">
        <is>
          <t>Skogsgödsling</t>
        </is>
      </c>
      <c r="D816" s="1" t="n">
        <v>45440</v>
      </c>
      <c r="E816" s="1" t="n">
        <v>46221</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s="2" t="inlineStr"/>
    </row>
    <row r="817" ht="15" customHeight="1">
      <c r="A817" t="inlineStr">
        <is>
          <t>S 5254-2022</t>
        </is>
      </c>
      <c r="B817" t="inlineStr">
        <is>
          <t>samrådsanmälan</t>
        </is>
      </c>
      <c r="C817" t="inlineStr">
        <is>
          <t>Skogsbilväg</t>
        </is>
      </c>
      <c r="D817" s="1" t="n">
        <v>44825</v>
      </c>
      <c r="E817" s="1" t="n">
        <v>46221</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s="2" t="inlineStr"/>
    </row>
    <row r="818" ht="15" customHeight="1">
      <c r="A818" t="inlineStr">
        <is>
          <t>S 1745-2023</t>
        </is>
      </c>
      <c r="B818" t="inlineStr">
        <is>
          <t>samrådsanmälan</t>
        </is>
      </c>
      <c r="C818" t="inlineStr">
        <is>
          <t>Skogsgödsling</t>
        </is>
      </c>
      <c r="D818" s="1" t="n">
        <v>45070</v>
      </c>
      <c r="E818" s="1" t="n">
        <v>46221</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s="2" t="inlineStr"/>
    </row>
    <row r="819" ht="15" customHeight="1">
      <c r="A819" t="inlineStr">
        <is>
          <t>S 3716-2022</t>
        </is>
      </c>
      <c r="B819" t="inlineStr">
        <is>
          <t>samrådsanmälan</t>
        </is>
      </c>
      <c r="C819" t="inlineStr">
        <is>
          <t>Skogsgödsling</t>
        </is>
      </c>
      <c r="D819" s="1" t="n">
        <v>44741</v>
      </c>
      <c r="E819" s="1" t="n">
        <v>46221</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s="2" t="inlineStr"/>
    </row>
    <row r="820" ht="15" customHeight="1">
      <c r="A820" t="inlineStr">
        <is>
          <t>S 314-2025</t>
        </is>
      </c>
      <c r="B820" t="inlineStr">
        <is>
          <t>samrådsanmälan</t>
        </is>
      </c>
      <c r="C820" t="inlineStr">
        <is>
          <t>Skogsgödsling</t>
        </is>
      </c>
      <c r="D820" s="1" t="n">
        <v>45688</v>
      </c>
      <c r="E820" s="1" t="n">
        <v>46221</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S 972-2025</t>
        </is>
      </c>
      <c r="B821" t="inlineStr">
        <is>
          <t>samrådsanmälan</t>
        </is>
      </c>
      <c r="C821" t="inlineStr">
        <is>
          <t>Skogsgödsling</t>
        </is>
      </c>
      <c r="D821" s="1" t="n">
        <v>45743</v>
      </c>
      <c r="E821" s="1" t="n">
        <v>46221</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s="2" t="inlineStr"/>
    </row>
    <row r="822" ht="15" customHeight="1">
      <c r="A822" t="inlineStr">
        <is>
          <t>S 973-2025</t>
        </is>
      </c>
      <c r="B822" t="inlineStr">
        <is>
          <t>samrådsanmälan</t>
        </is>
      </c>
      <c r="C822" t="inlineStr">
        <is>
          <t>Skogsgödsling</t>
        </is>
      </c>
      <c r="D822" s="1" t="n">
        <v>45743</v>
      </c>
      <c r="E822" s="1" t="n">
        <v>46221</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s="2" t="inlineStr"/>
    </row>
    <row r="823" ht="15" customHeight="1">
      <c r="A823" t="inlineStr">
        <is>
          <t>S 976-2025</t>
        </is>
      </c>
      <c r="B823" t="inlineStr">
        <is>
          <t>samrådsanmälan</t>
        </is>
      </c>
      <c r="C823" t="inlineStr">
        <is>
          <t>Skogsgödsling</t>
        </is>
      </c>
      <c r="D823" s="1" t="n">
        <v>45743</v>
      </c>
      <c r="E823" s="1" t="n">
        <v>46221</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s="2" t="inlineStr"/>
    </row>
    <row r="824" ht="15" customHeight="1">
      <c r="A824" t="inlineStr">
        <is>
          <t>S 975-2025</t>
        </is>
      </c>
      <c r="B824" t="inlineStr">
        <is>
          <t>samrådsanmälan</t>
        </is>
      </c>
      <c r="C824" t="inlineStr">
        <is>
          <t>Skogsgödsling</t>
        </is>
      </c>
      <c r="D824" s="1" t="n">
        <v>45743</v>
      </c>
      <c r="E824" s="1" t="n">
        <v>46221</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s="2" t="inlineStr"/>
    </row>
    <row r="825" ht="15" customHeight="1">
      <c r="A825" t="inlineStr">
        <is>
          <t>S 1060-2026</t>
        </is>
      </c>
      <c r="B825" t="inlineStr">
        <is>
          <t>samrådsanmälan</t>
        </is>
      </c>
      <c r="C825" t="inlineStr">
        <is>
          <t>Askåterföring</t>
        </is>
      </c>
      <c r="D825" s="1" t="n">
        <v>46127</v>
      </c>
      <c r="E825" s="1" t="n">
        <v>46221</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s="2" t="inlineStr"/>
    </row>
    <row r="826" ht="15" customHeight="1">
      <c r="A826" t="inlineStr">
        <is>
          <t>S 1716-2026</t>
        </is>
      </c>
      <c r="B826" t="inlineStr">
        <is>
          <t>samrådsanmälan</t>
        </is>
      </c>
      <c r="C826" t="inlineStr">
        <is>
          <t>Skogsgödsling</t>
        </is>
      </c>
      <c r="D826" s="1" t="n">
        <v>46184</v>
      </c>
      <c r="E826" s="1" t="n">
        <v>46221</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s="2" t="inlineStr"/>
    </row>
    <row r="827">
      <c r="A827" t="inlineStr">
        <is>
          <t>S 1255-2026</t>
        </is>
      </c>
      <c r="B827" t="inlineStr">
        <is>
          <t>samrådsanmälan</t>
        </is>
      </c>
      <c r="C827" t="inlineStr">
        <is>
          <t>Skogsgödsling</t>
        </is>
      </c>
      <c r="D827" s="1" t="n">
        <v>46147</v>
      </c>
      <c r="E827" s="1" t="n">
        <v>46221</v>
      </c>
      <c r="F827" t="inlineStr">
        <is>
          <t>NORRBOTTENS LÄN</t>
        </is>
      </c>
      <c r="G827" t="inlineStr">
        <is>
          <t>PITEÅ</t>
        </is>
      </c>
      <c r="I827" t="n">
        <v>4.9</v>
      </c>
      <c r="J827" t="n">
        <v>0</v>
      </c>
      <c r="K827" t="n">
        <v>0</v>
      </c>
      <c r="L827" t="n">
        <v>0</v>
      </c>
      <c r="M827" t="n">
        <v>0</v>
      </c>
      <c r="N827" t="n">
        <v>0</v>
      </c>
      <c r="O827" t="n">
        <v>0</v>
      </c>
      <c r="P827" t="n">
        <v>0</v>
      </c>
      <c r="Q827" t="n">
        <v>0</v>
      </c>
      <c r="R827" t="n">
        <v>0</v>
      </c>
      <c r="S827" t="n">
        <v>0</v>
      </c>
      <c r="T827" t="n">
        <v>0</v>
      </c>
      <c r="U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2026-07-18T01:21:34Z</dcterms:created>
  <dcterms:modified xmlns:dcterms="http://purl.org/dc/terms/" xmlns:xsi="http://www.w3.org/2001/XMLSchema-instance" xsi:type="dcterms:W3CDTF">2026-07-18T01:21:34Z</dcterms:modified>
</cp:coreProperties>
</file>