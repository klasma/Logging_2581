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46219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46219</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Y3">
        <f>HYPERLINK("https://klasma.github.io/Logging_2581/klagomål/A 59832-2023 FSC-klagomål.docx", "A 59832-2023")</f>
        <v/>
      </c>
      <c r="Z3">
        <f>HYPERLINK("https://klasma.github.io/Logging_2581/klagomålsmail/A 59832-2023 FSC-klagomål mail.docx", "A 59832-2023")</f>
        <v/>
      </c>
      <c r="AA3">
        <f>HYPERLINK("https://klasma.github.io/Logging_2581/tillsyn/A 59832-2023 tillsynsbegäran.docx", "A 59832-2023")</f>
        <v/>
      </c>
      <c r="AB3">
        <f>HYPERLINK("https://klasma.github.io/Logging_2581/tillsynsmail/A 59832-2023 tillsynsbegäran mail.docx", "A 59832-2023")</f>
        <v/>
      </c>
      <c r="AC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46219</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Y4">
        <f>HYPERLINK("https://klasma.github.io/Logging_2581/klagomål/A 6125-2026 FSC-klagomål.docx", "A 6125-2026")</f>
        <v/>
      </c>
      <c r="Z4">
        <f>HYPERLINK("https://klasma.github.io/Logging_2581/klagomålsmail/A 6125-2026 FSC-klagomål mail.docx", "A 6125-2026")</f>
        <v/>
      </c>
      <c r="AA4">
        <f>HYPERLINK("https://klasma.github.io/Logging_2581/tillsyn/A 6125-2026 tillsynsbegäran.docx", "A 6125-2026")</f>
        <v/>
      </c>
      <c r="AB4">
        <f>HYPERLINK("https://klasma.github.io/Logging_2581/tillsynsmail/A 6125-2026 tillsynsbegäran mail.docx", "A 6125-2026")</f>
        <v/>
      </c>
      <c r="AC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46219</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46219</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46219</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46219</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46219</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46219</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46219</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46219</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Y12">
        <f>HYPERLINK("https://klasma.github.io/Logging_2581/klagomål/A 53728-2025 FSC-klagomål.docx", "A 53728-2025")</f>
        <v/>
      </c>
      <c r="Z12">
        <f>HYPERLINK("https://klasma.github.io/Logging_2581/klagomålsmail/A 53728-2025 FSC-klagomål mail.docx", "A 53728-2025")</f>
        <v/>
      </c>
      <c r="AA12">
        <f>HYPERLINK("https://klasma.github.io/Logging_2581/tillsyn/A 53728-2025 tillsynsbegäran.docx", "A 53728-2025")</f>
        <v/>
      </c>
      <c r="AB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46219</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HYPERLINK("https://klasma.github.io/Logging_2581/knärot/A 60837-2023 karta knärot.png", "A 60837-2023")</f>
        <v/>
      </c>
      <c r="Y13">
        <f>HYPERLINK("https://klasma.github.io/Logging_2581/klagomål/A 60837-2023 FSC-klagomål.docx", "A 60837-2023")</f>
        <v/>
      </c>
      <c r="Z13">
        <f>HYPERLINK("https://klasma.github.io/Logging_2581/klagomålsmail/A 60837-2023 FSC-klagomål mail.docx", "A 60837-2023")</f>
        <v/>
      </c>
      <c r="AA13">
        <f>HYPERLINK("https://klasma.github.io/Logging_2581/tillsyn/A 60837-2023 tillsynsbegäran.docx", "A 60837-2023")</f>
        <v/>
      </c>
      <c r="AB13">
        <f>HYPERLINK("https://klasma.github.io/Logging_2581/tillsynsmail/A 60837-2023 tillsynsbegäran mail.docx", "A 60837-2023")</f>
        <v/>
      </c>
      <c r="AC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46219</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Y14">
        <f>HYPERLINK("https://klasma.github.io/Logging_2581/klagomål/A 71719-2021 FSC-klagomål.docx", "A 71719-2021")</f>
        <v/>
      </c>
      <c r="Z14">
        <f>HYPERLINK("https://klasma.github.io/Logging_2581/klagomålsmail/A 71719-2021 FSC-klagomål mail.docx", "A 71719-2021")</f>
        <v/>
      </c>
      <c r="AA14">
        <f>HYPERLINK("https://klasma.github.io/Logging_2581/tillsyn/A 71719-2021 tillsynsbegäran.docx", "A 71719-2021")</f>
        <v/>
      </c>
      <c r="AB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46219</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Y15">
        <f>HYPERLINK("https://klasma.github.io/Logging_2581/klagomål/A 25028-2025 FSC-klagomål.docx", "A 25028-2025")</f>
        <v/>
      </c>
      <c r="Z15">
        <f>HYPERLINK("https://klasma.github.io/Logging_2581/klagomålsmail/A 25028-2025 FSC-klagomål mail.docx", "A 25028-2025")</f>
        <v/>
      </c>
      <c r="AA15">
        <f>HYPERLINK("https://klasma.github.io/Logging_2581/tillsyn/A 25028-2025 tillsynsbegäran.docx", "A 25028-2025")</f>
        <v/>
      </c>
      <c r="AB15">
        <f>HYPERLINK("https://klasma.github.io/Logging_2581/tillsynsmail/A 25028-2025 tillsynsbegäran mail.docx", "A 25028-2025")</f>
        <v/>
      </c>
      <c r="AC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46219</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46219</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s="2" t="inlineStr">
        <is>
          <t>Nordtagging
Nästlav
Plattlummer
Vedticka
Fläcknycklar</t>
        </is>
      </c>
      <c r="V17">
        <f>HYPERLINK("https://klasma.github.io/Logging_2581/artfynd/A 54262-2025 artfynd.xlsx", "A 54262-2025")</f>
        <v/>
      </c>
      <c r="W17">
        <f>HYPERLINK("https://klasma.github.io/Logging_2581/kartor/A 54262-2025 karta.png", "A 54262-2025")</f>
        <v/>
      </c>
      <c r="Y17">
        <f>HYPERLINK("https://klasma.github.io/Logging_2581/klagomål/A 54262-2025 FSC-klagomål.docx", "A 54262-2025")</f>
        <v/>
      </c>
      <c r="Z17">
        <f>HYPERLINK("https://klasma.github.io/Logging_2581/klagomålsmail/A 54262-2025 FSC-klagomål mail.docx", "A 54262-2025")</f>
        <v/>
      </c>
      <c r="AA17">
        <f>HYPERLINK("https://klasma.github.io/Logging_2581/tillsyn/A 54262-2025 tillsynsbegäran.docx", "A 54262-2025")</f>
        <v/>
      </c>
      <c r="AB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46219</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s="2" t="inlineStr">
        <is>
          <t>Knärot
Talltita
Tretåig hackspett
Älg
Kungsfågel</t>
        </is>
      </c>
      <c r="V18">
        <f>HYPERLINK("https://klasma.github.io/Logging_2581/artfynd/A 5331-2026 artfynd.xlsx", "A 5331-2026")</f>
        <v/>
      </c>
      <c r="W18">
        <f>HYPERLINK("https://klasma.github.io/Logging_2581/kartor/A 5331-2026 karta.png", "A 5331-2026")</f>
        <v/>
      </c>
      <c r="X18">
        <f>HYPERLINK("https://klasma.github.io/Logging_2581/knärot/A 5331-2026 karta knärot.png", "A 5331-2026")</f>
        <v/>
      </c>
      <c r="Y18">
        <f>HYPERLINK("https://klasma.github.io/Logging_2581/klagomål/A 5331-2026 FSC-klagomål.docx", "A 5331-2026")</f>
        <v/>
      </c>
      <c r="Z18">
        <f>HYPERLINK("https://klasma.github.io/Logging_2581/klagomålsmail/A 5331-2026 FSC-klagomål mail.docx", "A 5331-2026")</f>
        <v/>
      </c>
      <c r="AA18">
        <f>HYPERLINK("https://klasma.github.io/Logging_2581/tillsyn/A 5331-2026 tillsynsbegäran.docx", "A 5331-2026")</f>
        <v/>
      </c>
      <c r="AB18">
        <f>HYPERLINK("https://klasma.github.io/Logging_2581/tillsynsmail/A 5331-2026 tillsynsbegäran mail.docx", "A 5331-2026")</f>
        <v/>
      </c>
      <c r="AC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46219</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s="2" t="inlineStr">
        <is>
          <t>Garnlav
Rödvingetrast
Tretåig hackspett
Tjäder
Svartvit flugsnappare</t>
        </is>
      </c>
      <c r="V19">
        <f>HYPERLINK("https://klasma.github.io/Logging_2581/artfynd/A 8205-2026 artfynd.xlsx", "A 8205-2026")</f>
        <v/>
      </c>
      <c r="W19">
        <f>HYPERLINK("https://klasma.github.io/Logging_2581/kartor/A 8205-2026 karta.png", "A 8205-2026")</f>
        <v/>
      </c>
      <c r="Y19">
        <f>HYPERLINK("https://klasma.github.io/Logging_2581/klagomål/A 8205-2026 FSC-klagomål.docx", "A 8205-2026")</f>
        <v/>
      </c>
      <c r="Z19">
        <f>HYPERLINK("https://klasma.github.io/Logging_2581/klagomålsmail/A 8205-2026 FSC-klagomål mail.docx", "A 8205-2026")</f>
        <v/>
      </c>
      <c r="AA19">
        <f>HYPERLINK("https://klasma.github.io/Logging_2581/tillsyn/A 8205-2026 tillsynsbegäran.docx", "A 8205-2026")</f>
        <v/>
      </c>
      <c r="AB19">
        <f>HYPERLINK("https://klasma.github.io/Logging_2581/tillsynsmail/A 8205-2026 tillsynsbegäran mail.docx", "A 8205-2026")</f>
        <v/>
      </c>
      <c r="AC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46219</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Y20">
        <f>HYPERLINK("https://klasma.github.io/Logging_2581/klagomål/A 26725-2026 FSC-klagomål.docx", "A 26725-2026")</f>
        <v/>
      </c>
      <c r="Z20">
        <f>HYPERLINK("https://klasma.github.io/Logging_2581/klagomålsmail/A 26725-2026 FSC-klagomål mail.docx", "A 26725-2026")</f>
        <v/>
      </c>
      <c r="AA20">
        <f>HYPERLINK("https://klasma.github.io/Logging_2581/tillsyn/A 26725-2026 tillsynsbegäran.docx", "A 26725-2026")</f>
        <v/>
      </c>
      <c r="AB20">
        <f>HYPERLINK("https://klasma.github.io/Logging_2581/tillsynsmail/A 26725-2026 tillsynsbegäran mail.docx", "A 26725-2026")</f>
        <v/>
      </c>
      <c r="AC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46219</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46219</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46219</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Y23">
        <f>HYPERLINK("https://klasma.github.io/Logging_2581/klagomål/A 55182-2025 FSC-klagomål.docx", "A 55182-2025")</f>
        <v/>
      </c>
      <c r="Z23">
        <f>HYPERLINK("https://klasma.github.io/Logging_2581/klagomålsmail/A 55182-2025 FSC-klagomål mail.docx", "A 55182-2025")</f>
        <v/>
      </c>
      <c r="AA23">
        <f>HYPERLINK("https://klasma.github.io/Logging_2581/tillsyn/A 55182-2025 tillsynsbegäran.docx", "A 55182-2025")</f>
        <v/>
      </c>
      <c r="AB23">
        <f>HYPERLINK("https://klasma.github.io/Logging_2581/tillsynsmail/A 55182-2025 tillsynsbegäran mail.docx", "A 55182-2025")</f>
        <v/>
      </c>
      <c r="AC23">
        <f>HYPERLINK("https://klasma.github.io/Logging_2581/fåglar/A 55182-2025 prioriterade fågelarter.docx", "A 55182-2025")</f>
        <v/>
      </c>
    </row>
    <row r="24" ht="15" customHeight="1">
      <c r="A24" t="inlineStr">
        <is>
          <t>A 24000-2026</t>
        </is>
      </c>
      <c r="B24" t="inlineStr">
        <is>
          <t>avverkningsanmälan</t>
        </is>
      </c>
      <c r="C24" t="inlineStr">
        <is>
          <t>Föryngringsavverkning</t>
        </is>
      </c>
      <c r="D24" s="1" t="n">
        <v>46167</v>
      </c>
      <c r="E24" s="1" t="n">
        <v>46219</v>
      </c>
      <c r="F24" t="inlineStr">
        <is>
          <t>NORRBOTTENS LÄN</t>
        </is>
      </c>
      <c r="G24" t="inlineStr">
        <is>
          <t>PITEÅ</t>
        </is>
      </c>
      <c r="H24" t="inlineStr">
        <is>
          <t>Sveaskog</t>
        </is>
      </c>
      <c r="I24" t="n">
        <v>25.6</v>
      </c>
      <c r="J24" t="n">
        <v>4</v>
      </c>
      <c r="K24" t="n">
        <v>0</v>
      </c>
      <c r="L24" t="n">
        <v>3</v>
      </c>
      <c r="M24" t="n">
        <v>0</v>
      </c>
      <c r="N24" t="n">
        <v>0</v>
      </c>
      <c r="O24" t="n">
        <v>0</v>
      </c>
      <c r="P24" t="n">
        <v>0</v>
      </c>
      <c r="Q24" t="n">
        <v>3</v>
      </c>
      <c r="R24" t="n">
        <v>0</v>
      </c>
      <c r="S24" t="n">
        <v>4</v>
      </c>
      <c r="T24" t="n">
        <v>4</v>
      </c>
      <c r="U24" s="2" t="inlineStr">
        <is>
          <t>Björktrast
Bläsand
Kricka
Sångsvan</t>
        </is>
      </c>
      <c r="V24">
        <f>HYPERLINK("https://klasma.github.io/Logging_2581/artfynd/A 24000-2026 artfynd.xlsx", "A 24000-2026")</f>
        <v/>
      </c>
      <c r="W24">
        <f>HYPERLINK("https://klasma.github.io/Logging_2581/kartor/A 24000-2026 karta.png", "A 24000-2026")</f>
        <v/>
      </c>
      <c r="Y24">
        <f>HYPERLINK("https://klasma.github.io/Logging_2581/klagomål/A 24000-2026 FSC-klagomål.docx", "A 24000-2026")</f>
        <v/>
      </c>
      <c r="Z24">
        <f>HYPERLINK("https://klasma.github.io/Logging_2581/klagomålsmail/A 24000-2026 FSC-klagomål mail.docx", "A 24000-2026")</f>
        <v/>
      </c>
      <c r="AA24">
        <f>HYPERLINK("https://klasma.github.io/Logging_2581/tillsyn/A 24000-2026 tillsynsbegäran.docx", "A 24000-2026")</f>
        <v/>
      </c>
      <c r="AB24">
        <f>HYPERLINK("https://klasma.github.io/Logging_2581/tillsynsmail/A 24000-2026 tillsynsbegäran mail.docx", "A 24000-2026")</f>
        <v/>
      </c>
      <c r="AC24">
        <f>HYPERLINK("https://klasma.github.io/Logging_2581/fåglar/A 24000-2026 prioriterade fågelarter.docx", "A 24000-2026")</f>
        <v/>
      </c>
    </row>
    <row r="25" ht="15" customHeight="1">
      <c r="A25" t="inlineStr">
        <is>
          <t>A 60840-2023</t>
        </is>
      </c>
      <c r="B25" t="inlineStr">
        <is>
          <t>avverkningsanmälan</t>
        </is>
      </c>
      <c r="C25" t="inlineStr">
        <is>
          <t>Föryngringsavverkning</t>
        </is>
      </c>
      <c r="D25" s="1" t="n">
        <v>45260</v>
      </c>
      <c r="E25" s="1" t="n">
        <v>46219</v>
      </c>
      <c r="F25" t="inlineStr">
        <is>
          <t>NORRBOTTENS LÄN</t>
        </is>
      </c>
      <c r="G25" t="inlineStr">
        <is>
          <t>PITEÅ</t>
        </is>
      </c>
      <c r="I25" t="n">
        <v>2.7</v>
      </c>
      <c r="J25" t="n">
        <v>4</v>
      </c>
      <c r="K25" t="n">
        <v>0</v>
      </c>
      <c r="L25" t="n">
        <v>2</v>
      </c>
      <c r="M25" t="n">
        <v>0</v>
      </c>
      <c r="N25" t="n">
        <v>0</v>
      </c>
      <c r="O25" t="n">
        <v>0</v>
      </c>
      <c r="P25" t="n">
        <v>0</v>
      </c>
      <c r="Q25" t="n">
        <v>2</v>
      </c>
      <c r="R25" t="n">
        <v>0</v>
      </c>
      <c r="S25" t="n">
        <v>4</v>
      </c>
      <c r="T25" t="n">
        <v>5</v>
      </c>
      <c r="U25" s="2" t="inlineStr">
        <is>
          <t>Mindre hackspett
Sparvuggla
Järpe
Spillkråka</t>
        </is>
      </c>
      <c r="V25">
        <f>HYPERLINK("https://klasma.github.io/Logging_2581/artfynd/A 60840-2023 artfynd.xlsx", "A 60840-2023")</f>
        <v/>
      </c>
      <c r="W25">
        <f>HYPERLINK("https://klasma.github.io/Logging_2581/kartor/A 60840-2023 karta.png", "A 60840-2023")</f>
        <v/>
      </c>
      <c r="Y25">
        <f>HYPERLINK("https://klasma.github.io/Logging_2581/klagomål/A 60840-2023 FSC-klagomål.docx", "A 60840-2023")</f>
        <v/>
      </c>
      <c r="Z25">
        <f>HYPERLINK("https://klasma.github.io/Logging_2581/klagomålsmail/A 60840-2023 FSC-klagomål mail.docx", "A 60840-2023")</f>
        <v/>
      </c>
      <c r="AA25">
        <f>HYPERLINK("https://klasma.github.io/Logging_2581/tillsyn/A 60840-2023 tillsynsbegäran.docx", "A 60840-2023")</f>
        <v/>
      </c>
      <c r="AB25">
        <f>HYPERLINK("https://klasma.github.io/Logging_2581/tillsynsmail/A 60840-2023 tillsynsbegäran mail.docx", "A 60840-2023")</f>
        <v/>
      </c>
      <c r="AC25">
        <f>HYPERLINK("https://klasma.github.io/Logging_2581/fåglar/A 60840-2023 prioriterade fågelarter.docx", "A 60840-2023")</f>
        <v/>
      </c>
    </row>
    <row r="26" ht="15" customHeight="1">
      <c r="A26" t="inlineStr">
        <is>
          <t>A 24437-2026</t>
        </is>
      </c>
      <c r="B26" t="inlineStr">
        <is>
          <t>avverkningsanmälan</t>
        </is>
      </c>
      <c r="C26" t="inlineStr">
        <is>
          <t>Föryngringsavverkning</t>
        </is>
      </c>
      <c r="D26" s="1" t="n">
        <v>46170</v>
      </c>
      <c r="E26" s="1" t="n">
        <v>46219</v>
      </c>
      <c r="F26" t="inlineStr">
        <is>
          <t>NORRBOTTENS LÄN</t>
        </is>
      </c>
      <c r="G26" t="inlineStr">
        <is>
          <t>PITEÅ</t>
        </is>
      </c>
      <c r="I26" t="n">
        <v>15.9</v>
      </c>
      <c r="J26" t="n">
        <v>4</v>
      </c>
      <c r="K26" t="n">
        <v>0</v>
      </c>
      <c r="L26" t="n">
        <v>1</v>
      </c>
      <c r="M26" t="n">
        <v>0</v>
      </c>
      <c r="N26" t="n">
        <v>0</v>
      </c>
      <c r="O26" t="n">
        <v>0</v>
      </c>
      <c r="P26" t="n">
        <v>0</v>
      </c>
      <c r="Q26" t="n">
        <v>1</v>
      </c>
      <c r="R26" t="n">
        <v>0</v>
      </c>
      <c r="S26" t="n">
        <v>4</v>
      </c>
      <c r="T26" t="n">
        <v>8</v>
      </c>
      <c r="U26" s="2" t="inlineStr">
        <is>
          <t>Rödvingetrast
Bergfink
Grönsiska
Kungsfågel</t>
        </is>
      </c>
      <c r="V26">
        <f>HYPERLINK("https://klasma.github.io/Logging_2581/artfynd/A 24437-2026 artfynd.xlsx", "A 24437-2026")</f>
        <v/>
      </c>
      <c r="W26">
        <f>HYPERLINK("https://klasma.github.io/Logging_2581/kartor/A 24437-2026 karta.png", "A 24437-2026")</f>
        <v/>
      </c>
      <c r="Y26">
        <f>HYPERLINK("https://klasma.github.io/Logging_2581/klagomål/A 24437-2026 FSC-klagomål.docx", "A 24437-2026")</f>
        <v/>
      </c>
      <c r="Z26">
        <f>HYPERLINK("https://klasma.github.io/Logging_2581/klagomålsmail/A 24437-2026 FSC-klagomål mail.docx", "A 24437-2026")</f>
        <v/>
      </c>
      <c r="AA26">
        <f>HYPERLINK("https://klasma.github.io/Logging_2581/tillsyn/A 24437-2026 tillsynsbegäran.docx", "A 24437-2026")</f>
        <v/>
      </c>
      <c r="AB26">
        <f>HYPERLINK("https://klasma.github.io/Logging_2581/tillsynsmail/A 24437-2026 tillsynsbegäran mail.docx", "A 24437-2026")</f>
        <v/>
      </c>
      <c r="AC26">
        <f>HYPERLINK("https://klasma.github.io/Logging_2581/fåglar/A 24437-2026 prioriterade fågelarter.docx", "A 24437-2026")</f>
        <v/>
      </c>
    </row>
    <row r="27" ht="15" customHeight="1">
      <c r="A27" t="inlineStr">
        <is>
          <t>A 32155-2023</t>
        </is>
      </c>
      <c r="B27" t="inlineStr">
        <is>
          <t>avverkningsanmälan</t>
        </is>
      </c>
      <c r="C27" t="inlineStr">
        <is>
          <t>Föryngringsavverkning</t>
        </is>
      </c>
      <c r="D27" s="1" t="n">
        <v>45119</v>
      </c>
      <c r="E27" s="1" t="n">
        <v>46219</v>
      </c>
      <c r="F27" t="inlineStr">
        <is>
          <t>NORRBOTTENS LÄN</t>
        </is>
      </c>
      <c r="G27" t="inlineStr">
        <is>
          <t>PITEÅ</t>
        </is>
      </c>
      <c r="H27" t="inlineStr">
        <is>
          <t>Sveaskog</t>
        </is>
      </c>
      <c r="I27" t="n">
        <v>4</v>
      </c>
      <c r="J27" t="n">
        <v>0</v>
      </c>
      <c r="K27" t="n">
        <v>0</v>
      </c>
      <c r="L27" t="n">
        <v>4</v>
      </c>
      <c r="M27" t="n">
        <v>0</v>
      </c>
      <c r="N27" t="n">
        <v>0</v>
      </c>
      <c r="O27" t="n">
        <v>0</v>
      </c>
      <c r="P27" t="n">
        <v>0</v>
      </c>
      <c r="Q27" t="n">
        <v>4</v>
      </c>
      <c r="R27" t="n">
        <v>0</v>
      </c>
      <c r="S27" t="n">
        <v>4</v>
      </c>
      <c r="T27" t="n">
        <v>4</v>
      </c>
      <c r="U27" s="2" t="inlineStr">
        <is>
          <t>Harticka
Kolflarnlav
Tallticka
Violmussling</t>
        </is>
      </c>
      <c r="V27">
        <f>HYPERLINK("https://klasma.github.io/Logging_2581/artfynd/A 32155-2023 artfynd.xlsx", "A 32155-2023")</f>
        <v/>
      </c>
      <c r="W27">
        <f>HYPERLINK("https://klasma.github.io/Logging_2581/kartor/A 32155-2023 karta.png", "A 32155-2023")</f>
        <v/>
      </c>
      <c r="Y27">
        <f>HYPERLINK("https://klasma.github.io/Logging_2581/klagomål/A 32155-2023 FSC-klagomål.docx", "A 32155-2023")</f>
        <v/>
      </c>
      <c r="Z27">
        <f>HYPERLINK("https://klasma.github.io/Logging_2581/klagomålsmail/A 32155-2023 FSC-klagomål mail.docx", "A 32155-2023")</f>
        <v/>
      </c>
      <c r="AA27">
        <f>HYPERLINK("https://klasma.github.io/Logging_2581/tillsyn/A 32155-2023 tillsynsbegäran.docx", "A 32155-2023")</f>
        <v/>
      </c>
      <c r="AB27">
        <f>HYPERLINK("https://klasma.github.io/Logging_2581/tillsynsmail/A 32155-2023 tillsynsbegäran mail.docx", "A 32155-2023")</f>
        <v/>
      </c>
    </row>
    <row r="28" ht="15" customHeight="1">
      <c r="A28" t="inlineStr">
        <is>
          <t>A 49685-2025</t>
        </is>
      </c>
      <c r="B28" t="inlineStr">
        <is>
          <t>avverkningsanmälan</t>
        </is>
      </c>
      <c r="C28" t="inlineStr">
        <is>
          <t>Föryngringsavverkning</t>
        </is>
      </c>
      <c r="D28" s="1" t="n">
        <v>45939</v>
      </c>
      <c r="E28" s="1" t="n">
        <v>46219</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s="2" t="inlineStr">
        <is>
          <t>Mindre hackspett
Gråspett
Huggorm
Skogsödla</t>
        </is>
      </c>
      <c r="V28">
        <f>HYPERLINK("https://klasma.github.io/Logging_2581/artfynd/A 49685-2025 artfynd.xlsx", "A 49685-2025")</f>
        <v/>
      </c>
      <c r="W28">
        <f>HYPERLINK("https://klasma.github.io/Logging_2581/kartor/A 49685-2025 karta.png", "A 49685-2025")</f>
        <v/>
      </c>
      <c r="Y28">
        <f>HYPERLINK("https://klasma.github.io/Logging_2581/klagomål/A 49685-2025 FSC-klagomål.docx", "A 49685-2025")</f>
        <v/>
      </c>
      <c r="Z28">
        <f>HYPERLINK("https://klasma.github.io/Logging_2581/klagomålsmail/A 49685-2025 FSC-klagomål mail.docx", "A 49685-2025")</f>
        <v/>
      </c>
      <c r="AA28">
        <f>HYPERLINK("https://klasma.github.io/Logging_2581/tillsyn/A 49685-2025 tillsynsbegäran.docx", "A 49685-2025")</f>
        <v/>
      </c>
      <c r="AB28">
        <f>HYPERLINK("https://klasma.github.io/Logging_2581/tillsynsmail/A 49685-2025 tillsynsbegäran mail.docx", "A 49685-2025")</f>
        <v/>
      </c>
      <c r="AC28">
        <f>HYPERLINK("https://klasma.github.io/Logging_2581/fåglar/A 49685-2025 prioriterade fågelarter.docx", "A 49685-2025")</f>
        <v/>
      </c>
    </row>
    <row r="29" ht="15" customHeight="1">
      <c r="A29" t="inlineStr">
        <is>
          <t>S 1158-2024</t>
        </is>
      </c>
      <c r="B29" t="inlineStr">
        <is>
          <t>samrådsanmälan</t>
        </is>
      </c>
      <c r="C29" t="inlineStr">
        <is>
          <t>Skogsgödsling</t>
        </is>
      </c>
      <c r="D29" s="1" t="n">
        <v>45394</v>
      </c>
      <c r="E29" s="1" t="n">
        <v>46219</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46219</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s="2" t="inlineStr">
        <is>
          <t>Gammelgransskål
Tibast
Spillkråka</t>
        </is>
      </c>
      <c r="V30">
        <f>HYPERLINK("https://klasma.github.io/Logging_2581/artfynd/A 22474-2024 artfynd.xlsx", "A 22474-2024")</f>
        <v/>
      </c>
      <c r="W30">
        <f>HYPERLINK("https://klasma.github.io/Logging_2581/kartor/A 22474-2024 karta.png", "A 22474-2024")</f>
        <v/>
      </c>
      <c r="Y30">
        <f>HYPERLINK("https://klasma.github.io/Logging_2581/klagomål/A 22474-2024 FSC-klagomål.docx", "A 22474-2024")</f>
        <v/>
      </c>
      <c r="Z30">
        <f>HYPERLINK("https://klasma.github.io/Logging_2581/klagomålsmail/A 22474-2024 FSC-klagomål mail.docx", "A 22474-2024")</f>
        <v/>
      </c>
      <c r="AA30">
        <f>HYPERLINK("https://klasma.github.io/Logging_2581/tillsyn/A 22474-2024 tillsynsbegäran.docx", "A 22474-2024")</f>
        <v/>
      </c>
      <c r="AB30">
        <f>HYPERLINK("https://klasma.github.io/Logging_2581/tillsynsmail/A 22474-2024 tillsynsbegäran mail.docx", "A 22474-2024")</f>
        <v/>
      </c>
      <c r="AC30">
        <f>HYPERLINK("https://klasma.github.io/Logging_2581/fåglar/A 22474-2024 prioriterade fågelarter.docx", "A 22474-2024")</f>
        <v/>
      </c>
    </row>
    <row r="31" ht="15" customHeight="1">
      <c r="A31" t="inlineStr">
        <is>
          <t>A 43149-2025</t>
        </is>
      </c>
      <c r="B31" t="inlineStr">
        <is>
          <t>avverkningsanmälan</t>
        </is>
      </c>
      <c r="C31" t="inlineStr">
        <is>
          <t>Föryngringsavverkning</t>
        </is>
      </c>
      <c r="D31" s="1" t="n">
        <v>45910</v>
      </c>
      <c r="E31" s="1" t="n">
        <v>46219</v>
      </c>
      <c r="F31" t="inlineStr">
        <is>
          <t>NORRBOTTENS LÄN</t>
        </is>
      </c>
      <c r="G31" t="inlineStr">
        <is>
          <t>PITEÅ</t>
        </is>
      </c>
      <c r="H31" t="inlineStr">
        <is>
          <t>Sveaskog</t>
        </is>
      </c>
      <c r="I31" t="n">
        <v>10.8</v>
      </c>
      <c r="J31" t="n">
        <v>2</v>
      </c>
      <c r="K31" t="n">
        <v>0</v>
      </c>
      <c r="L31" t="n">
        <v>2</v>
      </c>
      <c r="M31" t="n">
        <v>0</v>
      </c>
      <c r="N31" t="n">
        <v>0</v>
      </c>
      <c r="O31" t="n">
        <v>0</v>
      </c>
      <c r="P31" t="n">
        <v>0</v>
      </c>
      <c r="Q31" t="n">
        <v>2</v>
      </c>
      <c r="R31" t="n">
        <v>0</v>
      </c>
      <c r="S31" t="n">
        <v>3</v>
      </c>
      <c r="T31" t="n">
        <v>4</v>
      </c>
      <c r="U31" s="2" t="inlineStr">
        <is>
          <t>Gammelgransskål
Tretåig hackspett
Tjäder</t>
        </is>
      </c>
      <c r="V31">
        <f>HYPERLINK("https://klasma.github.io/Logging_2581/artfynd/A 43149-2025 artfynd.xlsx", "A 43149-2025")</f>
        <v/>
      </c>
      <c r="W31">
        <f>HYPERLINK("https://klasma.github.io/Logging_2581/kartor/A 43149-2025 karta.png", "A 43149-2025")</f>
        <v/>
      </c>
      <c r="Y31">
        <f>HYPERLINK("https://klasma.github.io/Logging_2581/klagomål/A 43149-2025 FSC-klagomål.docx", "A 43149-2025")</f>
        <v/>
      </c>
      <c r="Z31">
        <f>HYPERLINK("https://klasma.github.io/Logging_2581/klagomålsmail/A 43149-2025 FSC-klagomål mail.docx", "A 43149-2025")</f>
        <v/>
      </c>
      <c r="AA31">
        <f>HYPERLINK("https://klasma.github.io/Logging_2581/tillsyn/A 43149-2025 tillsynsbegäran.docx", "A 43149-2025")</f>
        <v/>
      </c>
      <c r="AB31">
        <f>HYPERLINK("https://klasma.github.io/Logging_2581/tillsynsmail/A 43149-2025 tillsynsbegäran mail.docx", "A 43149-2025")</f>
        <v/>
      </c>
      <c r="AC31">
        <f>HYPERLINK("https://klasma.github.io/Logging_2581/fåglar/A 43149-2025 prioriterade fågelarter.docx", "A 43149-2025")</f>
        <v/>
      </c>
    </row>
    <row r="32" ht="15" customHeight="1">
      <c r="A32" t="inlineStr">
        <is>
          <t>A 24589-2022</t>
        </is>
      </c>
      <c r="B32" t="inlineStr">
        <is>
          <t>avverkningsanmälan</t>
        </is>
      </c>
      <c r="C32" t="inlineStr">
        <is>
          <t>Avverkning för annat ändamål</t>
        </is>
      </c>
      <c r="D32" s="1" t="n">
        <v>44727</v>
      </c>
      <c r="E32" s="1" t="n">
        <v>46219</v>
      </c>
      <c r="F32" t="inlineStr">
        <is>
          <t>NORRBOTTENS LÄN</t>
        </is>
      </c>
      <c r="G32" t="inlineStr">
        <is>
          <t>PITEÅ</t>
        </is>
      </c>
      <c r="I32" t="n">
        <v>1.7</v>
      </c>
      <c r="J32" t="n">
        <v>3</v>
      </c>
      <c r="K32" t="n">
        <v>0</v>
      </c>
      <c r="L32" t="n">
        <v>2</v>
      </c>
      <c r="M32" t="n">
        <v>0</v>
      </c>
      <c r="N32" t="n">
        <v>0</v>
      </c>
      <c r="O32" t="n">
        <v>0</v>
      </c>
      <c r="P32" t="n">
        <v>0</v>
      </c>
      <c r="Q32" t="n">
        <v>2</v>
      </c>
      <c r="R32" t="n">
        <v>0</v>
      </c>
      <c r="S32" t="n">
        <v>3</v>
      </c>
      <c r="T32" t="n">
        <v>4</v>
      </c>
      <c r="U32" s="2" t="inlineStr">
        <is>
          <t>Enkelbeckasin
Rosenfink
Spillkråka</t>
        </is>
      </c>
      <c r="V32">
        <f>HYPERLINK("https://klasma.github.io/Logging_2581/artfynd/A 24589-2022 artfynd.xlsx", "A 24589-2022")</f>
        <v/>
      </c>
      <c r="W32">
        <f>HYPERLINK("https://klasma.github.io/Logging_2581/kartor/A 24589-2022 karta.png", "A 24589-2022")</f>
        <v/>
      </c>
      <c r="Y32">
        <f>HYPERLINK("https://klasma.github.io/Logging_2581/klagomål/A 24589-2022 FSC-klagomål.docx", "A 24589-2022")</f>
        <v/>
      </c>
      <c r="Z32">
        <f>HYPERLINK("https://klasma.github.io/Logging_2581/klagomålsmail/A 24589-2022 FSC-klagomål mail.docx", "A 24589-2022")</f>
        <v/>
      </c>
      <c r="AA32">
        <f>HYPERLINK("https://klasma.github.io/Logging_2581/tillsyn/A 24589-2022 tillsynsbegäran.docx", "A 24589-2022")</f>
        <v/>
      </c>
      <c r="AB32">
        <f>HYPERLINK("https://klasma.github.io/Logging_2581/tillsynsmail/A 24589-2022 tillsynsbegäran mail.docx", "A 24589-2022")</f>
        <v/>
      </c>
      <c r="AC32">
        <f>HYPERLINK("https://klasma.github.io/Logging_2581/fåglar/A 24589-2022 prioriterade fågelarter.docx", "A 24589-2022")</f>
        <v/>
      </c>
    </row>
    <row r="33" ht="15" customHeight="1">
      <c r="A33" t="inlineStr">
        <is>
          <t>A 73971-2021</t>
        </is>
      </c>
      <c r="B33" t="inlineStr">
        <is>
          <t>avverkningsanmälan</t>
        </is>
      </c>
      <c r="C33" t="inlineStr">
        <is>
          <t>Föryngringsavverkning</t>
        </is>
      </c>
      <c r="D33" s="1" t="n">
        <v>44553</v>
      </c>
      <c r="E33" s="1" t="n">
        <v>46219</v>
      </c>
      <c r="F33" t="inlineStr">
        <is>
          <t>NORRBOTTENS LÄN</t>
        </is>
      </c>
      <c r="G33" t="inlineStr">
        <is>
          <t>PITEÅ</t>
        </is>
      </c>
      <c r="H33" t="inlineStr">
        <is>
          <t>Kyrkan</t>
        </is>
      </c>
      <c r="I33" t="n">
        <v>54.7</v>
      </c>
      <c r="J33" t="n">
        <v>2</v>
      </c>
      <c r="K33" t="n">
        <v>0</v>
      </c>
      <c r="L33" t="n">
        <v>2</v>
      </c>
      <c r="M33" t="n">
        <v>0</v>
      </c>
      <c r="N33" t="n">
        <v>0</v>
      </c>
      <c r="O33" t="n">
        <v>0</v>
      </c>
      <c r="P33" t="n">
        <v>0</v>
      </c>
      <c r="Q33" t="n">
        <v>2</v>
      </c>
      <c r="R33" t="n">
        <v>0</v>
      </c>
      <c r="S33" t="n">
        <v>3</v>
      </c>
      <c r="T33" t="n">
        <v>6</v>
      </c>
      <c r="U33" s="2" t="inlineStr">
        <is>
          <t>Tretåig hackspett
Ullticka
Spillkråka</t>
        </is>
      </c>
      <c r="V33">
        <f>HYPERLINK("https://klasma.github.io/Logging_2581/artfynd/A 73971-2021 artfynd.xlsx", "A 73971-2021")</f>
        <v/>
      </c>
      <c r="W33">
        <f>HYPERLINK("https://klasma.github.io/Logging_2581/kartor/A 73971-2021 karta.png", "A 73971-2021")</f>
        <v/>
      </c>
      <c r="Y33">
        <f>HYPERLINK("https://klasma.github.io/Logging_2581/klagomål/A 73971-2021 FSC-klagomål.docx", "A 73971-2021")</f>
        <v/>
      </c>
      <c r="Z33">
        <f>HYPERLINK("https://klasma.github.io/Logging_2581/klagomålsmail/A 73971-2021 FSC-klagomål mail.docx", "A 73971-2021")</f>
        <v/>
      </c>
      <c r="AA33">
        <f>HYPERLINK("https://klasma.github.io/Logging_2581/tillsyn/A 73971-2021 tillsynsbegäran.docx", "A 73971-2021")</f>
        <v/>
      </c>
      <c r="AB33">
        <f>HYPERLINK("https://klasma.github.io/Logging_2581/tillsynsmail/A 73971-2021 tillsynsbegäran mail.docx", "A 73971-2021")</f>
        <v/>
      </c>
      <c r="AC33">
        <f>HYPERLINK("https://klasma.github.io/Logging_2581/fåglar/A 73971-2021 prioriterade fågelarter.docx", "A 73971-2021")</f>
        <v/>
      </c>
    </row>
    <row r="34" ht="15" customHeight="1">
      <c r="A34" t="inlineStr">
        <is>
          <t>A 46769-2025</t>
        </is>
      </c>
      <c r="B34" t="inlineStr">
        <is>
          <t>avverkningsanmälan</t>
        </is>
      </c>
      <c r="C34" t="inlineStr">
        <is>
          <t>Föryngringsavverkning</t>
        </is>
      </c>
      <c r="D34" s="1" t="n">
        <v>45926</v>
      </c>
      <c r="E34" s="1" t="n">
        <v>46219</v>
      </c>
      <c r="F34" t="inlineStr">
        <is>
          <t>NORRBOTTENS LÄN</t>
        </is>
      </c>
      <c r="G34" t="inlineStr">
        <is>
          <t>PITEÅ</t>
        </is>
      </c>
      <c r="I34" t="n">
        <v>3.2</v>
      </c>
      <c r="J34" t="n">
        <v>3</v>
      </c>
      <c r="K34" t="n">
        <v>0</v>
      </c>
      <c r="L34" t="n">
        <v>1</v>
      </c>
      <c r="M34" t="n">
        <v>1</v>
      </c>
      <c r="N34" t="n">
        <v>0</v>
      </c>
      <c r="O34" t="n">
        <v>0</v>
      </c>
      <c r="P34" t="n">
        <v>0</v>
      </c>
      <c r="Q34" t="n">
        <v>2</v>
      </c>
      <c r="R34" t="n">
        <v>1</v>
      </c>
      <c r="S34" t="n">
        <v>3</v>
      </c>
      <c r="T34" t="n">
        <v>9</v>
      </c>
      <c r="U34" s="2" t="inlineStr">
        <is>
          <t>Knärot
Talltita
Gråspett</t>
        </is>
      </c>
      <c r="V34">
        <f>HYPERLINK("https://klasma.github.io/Logging_2581/artfynd/A 46769-2025 artfynd.xlsx", "A 46769-2025")</f>
        <v/>
      </c>
      <c r="W34">
        <f>HYPERLINK("https://klasma.github.io/Logging_2581/kartor/A 46769-2025 karta.png", "A 46769-2025")</f>
        <v/>
      </c>
      <c r="X34">
        <f>HYPERLINK("https://klasma.github.io/Logging_2581/knärot/A 46769-2025 karta knärot.png", "A 46769-2025")</f>
        <v/>
      </c>
      <c r="Y34">
        <f>HYPERLINK("https://klasma.github.io/Logging_2581/klagomål/A 46769-2025 FSC-klagomål.docx", "A 46769-2025")</f>
        <v/>
      </c>
      <c r="Z34">
        <f>HYPERLINK("https://klasma.github.io/Logging_2581/klagomålsmail/A 46769-2025 FSC-klagomål mail.docx", "A 46769-2025")</f>
        <v/>
      </c>
      <c r="AA34">
        <f>HYPERLINK("https://klasma.github.io/Logging_2581/tillsyn/A 46769-2025 tillsynsbegäran.docx", "A 46769-2025")</f>
        <v/>
      </c>
      <c r="AB34">
        <f>HYPERLINK("https://klasma.github.io/Logging_2581/tillsynsmail/A 46769-2025 tillsynsbegäran mail.docx", "A 46769-2025")</f>
        <v/>
      </c>
      <c r="AC34">
        <f>HYPERLINK("https://klasma.github.io/Logging_2581/fåglar/A 46769-2025 prioriterade fågelarter.docx", "A 46769-2025")</f>
        <v/>
      </c>
    </row>
    <row r="35" ht="15" customHeight="1">
      <c r="A35" t="inlineStr">
        <is>
          <t>A 56592-2023</t>
        </is>
      </c>
      <c r="B35" t="inlineStr">
        <is>
          <t>avverkningsanmälan</t>
        </is>
      </c>
      <c r="C35" t="inlineStr">
        <is>
          <t>Föryngringsavverkning</t>
        </is>
      </c>
      <c r="D35" s="1" t="n">
        <v>45243</v>
      </c>
      <c r="E35" s="1" t="n">
        <v>46219</v>
      </c>
      <c r="F35" t="inlineStr">
        <is>
          <t>NORRBOTTENS LÄN</t>
        </is>
      </c>
      <c r="G35" t="inlineStr">
        <is>
          <t>PITEÅ</t>
        </is>
      </c>
      <c r="H35" t="inlineStr">
        <is>
          <t>Sveaskog</t>
        </is>
      </c>
      <c r="I35" t="n">
        <v>22.6</v>
      </c>
      <c r="J35" t="n">
        <v>1</v>
      </c>
      <c r="K35" t="n">
        <v>0</v>
      </c>
      <c r="L35" t="n">
        <v>0</v>
      </c>
      <c r="M35" t="n">
        <v>0</v>
      </c>
      <c r="N35" t="n">
        <v>0</v>
      </c>
      <c r="O35" t="n">
        <v>0</v>
      </c>
      <c r="P35" t="n">
        <v>0</v>
      </c>
      <c r="Q35" t="n">
        <v>0</v>
      </c>
      <c r="R35" t="n">
        <v>0</v>
      </c>
      <c r="S35" t="n">
        <v>3</v>
      </c>
      <c r="T35" t="n">
        <v>3</v>
      </c>
      <c r="U35" s="2" t="inlineStr">
        <is>
          <t>Klotstarr
Mattlummer
Skogsstjärna</t>
        </is>
      </c>
      <c r="V35">
        <f>HYPERLINK("https://klasma.github.io/Logging_2581/artfynd/A 56592-2023 artfynd.xlsx", "A 56592-2023")</f>
        <v/>
      </c>
      <c r="W35">
        <f>HYPERLINK("https://klasma.github.io/Logging_2581/kartor/A 56592-2023 karta.png", "A 56592-2023")</f>
        <v/>
      </c>
      <c r="Y35">
        <f>HYPERLINK("https://klasma.github.io/Logging_2581/klagomål/A 56592-2023 FSC-klagomål.docx", "A 56592-2023")</f>
        <v/>
      </c>
      <c r="Z35">
        <f>HYPERLINK("https://klasma.github.io/Logging_2581/klagomålsmail/A 56592-2023 FSC-klagomål mail.docx", "A 56592-2023")</f>
        <v/>
      </c>
      <c r="AA35">
        <f>HYPERLINK("https://klasma.github.io/Logging_2581/tillsyn/A 56592-2023 tillsynsbegäran.docx", "A 56592-2023")</f>
        <v/>
      </c>
      <c r="AB35">
        <f>HYPERLINK("https://klasma.github.io/Logging_2581/tillsynsmail/A 56592-2023 tillsynsbegäran mail.docx", "A 56592-2023")</f>
        <v/>
      </c>
    </row>
    <row r="36" ht="15" customHeight="1">
      <c r="A36" t="inlineStr">
        <is>
          <t>A 30453-2024</t>
        </is>
      </c>
      <c r="B36" t="inlineStr">
        <is>
          <t>avverkningsanmälan</t>
        </is>
      </c>
      <c r="C36" t="inlineStr">
        <is>
          <t>Föryngringsavverkning</t>
        </is>
      </c>
      <c r="D36" s="1" t="n">
        <v>45491</v>
      </c>
      <c r="E36" s="1" t="n">
        <v>46219</v>
      </c>
      <c r="F36" t="inlineStr">
        <is>
          <t>NORRBOTTENS LÄN</t>
        </is>
      </c>
      <c r="G36" t="inlineStr">
        <is>
          <t>PITEÅ</t>
        </is>
      </c>
      <c r="I36" t="n">
        <v>2.5</v>
      </c>
      <c r="J36" t="n">
        <v>3</v>
      </c>
      <c r="K36" t="n">
        <v>0</v>
      </c>
      <c r="L36" t="n">
        <v>2</v>
      </c>
      <c r="M36" t="n">
        <v>0</v>
      </c>
      <c r="N36" t="n">
        <v>0</v>
      </c>
      <c r="O36" t="n">
        <v>0</v>
      </c>
      <c r="P36" t="n">
        <v>0</v>
      </c>
      <c r="Q36" t="n">
        <v>2</v>
      </c>
      <c r="R36" t="n">
        <v>0</v>
      </c>
      <c r="S36" t="n">
        <v>3</v>
      </c>
      <c r="T36" t="n">
        <v>4</v>
      </c>
      <c r="U36" s="2" t="inlineStr">
        <is>
          <t>Rödvingetrast
Talltita
Bergfink</t>
        </is>
      </c>
      <c r="V36">
        <f>HYPERLINK("https://klasma.github.io/Logging_2581/artfynd/A 30453-2024 artfynd.xlsx", "A 30453-2024")</f>
        <v/>
      </c>
      <c r="W36">
        <f>HYPERLINK("https://klasma.github.io/Logging_2581/kartor/A 30453-2024 karta.png", "A 30453-2024")</f>
        <v/>
      </c>
      <c r="Y36">
        <f>HYPERLINK("https://klasma.github.io/Logging_2581/klagomål/A 30453-2024 FSC-klagomål.docx", "A 30453-2024")</f>
        <v/>
      </c>
      <c r="Z36">
        <f>HYPERLINK("https://klasma.github.io/Logging_2581/klagomålsmail/A 30453-2024 FSC-klagomål mail.docx", "A 30453-2024")</f>
        <v/>
      </c>
      <c r="AA36">
        <f>HYPERLINK("https://klasma.github.io/Logging_2581/tillsyn/A 30453-2024 tillsynsbegäran.docx", "A 30453-2024")</f>
        <v/>
      </c>
      <c r="AB36">
        <f>HYPERLINK("https://klasma.github.io/Logging_2581/tillsynsmail/A 30453-2024 tillsynsbegäran mail.docx", "A 30453-2024")</f>
        <v/>
      </c>
      <c r="AC36">
        <f>HYPERLINK("https://klasma.github.io/Logging_2581/fåglar/A 30453-2024 prioriterade fågelarter.docx", "A 30453-2024")</f>
        <v/>
      </c>
    </row>
    <row r="37" ht="15" customHeight="1">
      <c r="A37" t="inlineStr">
        <is>
          <t>A 6906-2026</t>
        </is>
      </c>
      <c r="B37" t="inlineStr">
        <is>
          <t>avverkningsanmälan</t>
        </is>
      </c>
      <c r="C37" t="inlineStr">
        <is>
          <t>Föryngringsavverkning</t>
        </is>
      </c>
      <c r="D37" s="1" t="n">
        <v>46057</v>
      </c>
      <c r="E37" s="1" t="n">
        <v>46219</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s="2" t="inlineStr">
        <is>
          <t>Dropptaggsvamp
Tretåig hackspett
Spillkråka</t>
        </is>
      </c>
      <c r="V37">
        <f>HYPERLINK("https://klasma.github.io/Logging_2581/artfynd/A 6906-2026 artfynd.xlsx", "A 6906-2026")</f>
        <v/>
      </c>
      <c r="W37">
        <f>HYPERLINK("https://klasma.github.io/Logging_2581/kartor/A 6906-2026 karta.png", "A 6906-2026")</f>
        <v/>
      </c>
      <c r="Y37">
        <f>HYPERLINK("https://klasma.github.io/Logging_2581/klagomål/A 6906-2026 FSC-klagomål.docx", "A 6906-2026")</f>
        <v/>
      </c>
      <c r="Z37">
        <f>HYPERLINK("https://klasma.github.io/Logging_2581/klagomålsmail/A 6906-2026 FSC-klagomål mail.docx", "A 6906-2026")</f>
        <v/>
      </c>
      <c r="AA37">
        <f>HYPERLINK("https://klasma.github.io/Logging_2581/tillsyn/A 6906-2026 tillsynsbegäran.docx", "A 6906-2026")</f>
        <v/>
      </c>
      <c r="AB37">
        <f>HYPERLINK("https://klasma.github.io/Logging_2581/tillsynsmail/A 6906-2026 tillsynsbegäran mail.docx", "A 6906-2026")</f>
        <v/>
      </c>
      <c r="AC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46219</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s="2" t="inlineStr">
        <is>
          <t>Dropptaggsvamp
Talltita
Tjäder</t>
        </is>
      </c>
      <c r="V38">
        <f>HYPERLINK("https://klasma.github.io/Logging_2581/artfynd/A 8221-2026 artfynd.xlsx", "A 8221-2026")</f>
        <v/>
      </c>
      <c r="W38">
        <f>HYPERLINK("https://klasma.github.io/Logging_2581/kartor/A 8221-2026 karta.png", "A 8221-2026")</f>
        <v/>
      </c>
      <c r="Y38">
        <f>HYPERLINK("https://klasma.github.io/Logging_2581/klagomål/A 8221-2026 FSC-klagomål.docx", "A 8221-2026")</f>
        <v/>
      </c>
      <c r="Z38">
        <f>HYPERLINK("https://klasma.github.io/Logging_2581/klagomålsmail/A 8221-2026 FSC-klagomål mail.docx", "A 8221-2026")</f>
        <v/>
      </c>
      <c r="AA38">
        <f>HYPERLINK("https://klasma.github.io/Logging_2581/tillsyn/A 8221-2026 tillsynsbegäran.docx", "A 8221-2026")</f>
        <v/>
      </c>
      <c r="AB38">
        <f>HYPERLINK("https://klasma.github.io/Logging_2581/tillsynsmail/A 8221-2026 tillsynsbegäran mail.docx", "A 8221-2026")</f>
        <v/>
      </c>
      <c r="AC38">
        <f>HYPERLINK("https://klasma.github.io/Logging_2581/fåglar/A 8221-2026 prioriterade fågelarter.docx", "A 8221-2026")</f>
        <v/>
      </c>
    </row>
    <row r="39" ht="15" customHeight="1">
      <c r="A39" t="inlineStr">
        <is>
          <t>A 46436-2025</t>
        </is>
      </c>
      <c r="B39" t="inlineStr">
        <is>
          <t>avverkningsanmälan</t>
        </is>
      </c>
      <c r="C39" t="inlineStr">
        <is>
          <t>Föryngringsavverkning</t>
        </is>
      </c>
      <c r="D39" s="1" t="n">
        <v>45925</v>
      </c>
      <c r="E39" s="1" t="n">
        <v>46219</v>
      </c>
      <c r="F39" t="inlineStr">
        <is>
          <t>NORRBOTTENS LÄN</t>
        </is>
      </c>
      <c r="G39" t="inlineStr">
        <is>
          <t>PITEÅ</t>
        </is>
      </c>
      <c r="H39" t="inlineStr">
        <is>
          <t>SCA</t>
        </is>
      </c>
      <c r="I39" t="n">
        <v>12</v>
      </c>
      <c r="J39" t="n">
        <v>3</v>
      </c>
      <c r="K39" t="n">
        <v>0</v>
      </c>
      <c r="L39" t="n">
        <v>1</v>
      </c>
      <c r="M39" t="n">
        <v>0</v>
      </c>
      <c r="N39" t="n">
        <v>0</v>
      </c>
      <c r="O39" t="n">
        <v>0</v>
      </c>
      <c r="P39" t="n">
        <v>0</v>
      </c>
      <c r="Q39" t="n">
        <v>1</v>
      </c>
      <c r="R39" t="n">
        <v>0</v>
      </c>
      <c r="S39" t="n">
        <v>3</v>
      </c>
      <c r="T39" t="n">
        <v>7</v>
      </c>
      <c r="U39" s="2" t="inlineStr">
        <is>
          <t>Talltita
Järpe
Spillkråka</t>
        </is>
      </c>
      <c r="V39">
        <f>HYPERLINK("https://klasma.github.io/Logging_2581/artfynd/A 46436-2025 artfynd.xlsx", "A 46436-2025")</f>
        <v/>
      </c>
      <c r="W39">
        <f>HYPERLINK("https://klasma.github.io/Logging_2581/kartor/A 46436-2025 karta.png", "A 46436-2025")</f>
        <v/>
      </c>
      <c r="Y39">
        <f>HYPERLINK("https://klasma.github.io/Logging_2581/klagomål/A 46436-2025 FSC-klagomål.docx", "A 46436-2025")</f>
        <v/>
      </c>
      <c r="Z39">
        <f>HYPERLINK("https://klasma.github.io/Logging_2581/klagomålsmail/A 46436-2025 FSC-klagomål mail.docx", "A 46436-2025")</f>
        <v/>
      </c>
      <c r="AA39">
        <f>HYPERLINK("https://klasma.github.io/Logging_2581/tillsyn/A 46436-2025 tillsynsbegäran.docx", "A 46436-2025")</f>
        <v/>
      </c>
      <c r="AB39">
        <f>HYPERLINK("https://klasma.github.io/Logging_2581/tillsynsmail/A 46436-2025 tillsynsbegäran mail.docx", "A 46436-2025")</f>
        <v/>
      </c>
      <c r="AC39">
        <f>HYPERLINK("https://klasma.github.io/Logging_2581/fåglar/A 46436-2025 prioriterade fågelarter.docx", "A 46436-2025")</f>
        <v/>
      </c>
    </row>
    <row r="40" ht="15" customHeight="1">
      <c r="A40" t="inlineStr">
        <is>
          <t>A 39511-2025</t>
        </is>
      </c>
      <c r="B40" t="inlineStr">
        <is>
          <t>avverkningsanmälan</t>
        </is>
      </c>
      <c r="C40" t="inlineStr">
        <is>
          <t>Föryngringsavverkning</t>
        </is>
      </c>
      <c r="D40" s="1" t="n">
        <v>45890</v>
      </c>
      <c r="E40" s="1" t="n">
        <v>46219</v>
      </c>
      <c r="F40" t="inlineStr">
        <is>
          <t>NORRBOTTENS LÄN</t>
        </is>
      </c>
      <c r="G40" t="inlineStr">
        <is>
          <t>PITEÅ</t>
        </is>
      </c>
      <c r="I40" t="n">
        <v>5.4</v>
      </c>
      <c r="J40" t="n">
        <v>0</v>
      </c>
      <c r="K40" t="n">
        <v>0</v>
      </c>
      <c r="L40" t="n">
        <v>3</v>
      </c>
      <c r="M40" t="n">
        <v>0</v>
      </c>
      <c r="N40" t="n">
        <v>0</v>
      </c>
      <c r="O40" t="n">
        <v>0</v>
      </c>
      <c r="P40" t="n">
        <v>0</v>
      </c>
      <c r="Q40" t="n">
        <v>3</v>
      </c>
      <c r="R40" t="n">
        <v>0</v>
      </c>
      <c r="S40" t="n">
        <v>3</v>
      </c>
      <c r="T40" t="n">
        <v>4</v>
      </c>
      <c r="U40" s="2" t="inlineStr">
        <is>
          <t>Blanksvart spiklav
Vedflamlav
Vedskivlav</t>
        </is>
      </c>
      <c r="V40">
        <f>HYPERLINK("https://klasma.github.io/Logging_2581/artfynd/A 39511-2025 artfynd.xlsx", "A 39511-2025")</f>
        <v/>
      </c>
      <c r="W40">
        <f>HYPERLINK("https://klasma.github.io/Logging_2581/kartor/A 39511-2025 karta.png", "A 39511-2025")</f>
        <v/>
      </c>
      <c r="Y40">
        <f>HYPERLINK("https://klasma.github.io/Logging_2581/klagomål/A 39511-2025 FSC-klagomål.docx", "A 39511-2025")</f>
        <v/>
      </c>
      <c r="Z40">
        <f>HYPERLINK("https://klasma.github.io/Logging_2581/klagomålsmail/A 39511-2025 FSC-klagomål mail.docx", "A 39511-2025")</f>
        <v/>
      </c>
      <c r="AA40">
        <f>HYPERLINK("https://klasma.github.io/Logging_2581/tillsyn/A 39511-2025 tillsynsbegäran.docx", "A 39511-2025")</f>
        <v/>
      </c>
      <c r="AB40">
        <f>HYPERLINK("https://klasma.github.io/Logging_2581/tillsynsmail/A 39511-2025 tillsynsbegäran mail.docx", "A 39511-2025")</f>
        <v/>
      </c>
    </row>
    <row r="41" ht="15" customHeight="1">
      <c r="A41" t="inlineStr">
        <is>
          <t>S 2766-2022</t>
        </is>
      </c>
      <c r="B41" t="inlineStr">
        <is>
          <t>samrådsanmälan</t>
        </is>
      </c>
      <c r="C41" t="inlineStr">
        <is>
          <t>Skogsbilväg</t>
        </is>
      </c>
      <c r="D41" s="1" t="n">
        <v>44705</v>
      </c>
      <c r="E41" s="1" t="n">
        <v>46219</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46219</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45580-2025</t>
        </is>
      </c>
      <c r="B43" t="inlineStr">
        <is>
          <t>avverkningsanmälan</t>
        </is>
      </c>
      <c r="C43" t="inlineStr">
        <is>
          <t>Föryngringsavverkning</t>
        </is>
      </c>
      <c r="D43" s="1" t="n">
        <v>45922</v>
      </c>
      <c r="E43" s="1" t="n">
        <v>46219</v>
      </c>
      <c r="F43" t="inlineStr">
        <is>
          <t>NORRBOTTENS LÄN</t>
        </is>
      </c>
      <c r="G43" t="inlineStr">
        <is>
          <t>PITEÅ</t>
        </is>
      </c>
      <c r="H43" t="inlineStr">
        <is>
          <t>Sveaskog</t>
        </is>
      </c>
      <c r="I43" t="n">
        <v>2.8</v>
      </c>
      <c r="J43" t="n">
        <v>0</v>
      </c>
      <c r="K43" t="n">
        <v>1</v>
      </c>
      <c r="L43" t="n">
        <v>1</v>
      </c>
      <c r="M43" t="n">
        <v>0</v>
      </c>
      <c r="N43" t="n">
        <v>0</v>
      </c>
      <c r="O43" t="n">
        <v>0</v>
      </c>
      <c r="P43" t="n">
        <v>0</v>
      </c>
      <c r="Q43" t="n">
        <v>1</v>
      </c>
      <c r="R43" t="n">
        <v>0</v>
      </c>
      <c r="S43" t="n">
        <v>2</v>
      </c>
      <c r="T43" t="n">
        <v>2</v>
      </c>
      <c r="U43" s="2" t="inlineStr">
        <is>
          <t>Koralltaggsvamp
Stuplav</t>
        </is>
      </c>
      <c r="V43">
        <f>HYPERLINK("https://klasma.github.io/Logging_2581/artfynd/A 45580-2025 artfynd.xlsx", "A 45580-2025")</f>
        <v/>
      </c>
      <c r="W43">
        <f>HYPERLINK("https://klasma.github.io/Logging_2581/kartor/A 45580-2025 karta.png", "A 45580-2025")</f>
        <v/>
      </c>
      <c r="Y43">
        <f>HYPERLINK("https://klasma.github.io/Logging_2581/klagomål/A 45580-2025 FSC-klagomål.docx", "A 45580-2025")</f>
        <v/>
      </c>
      <c r="Z43">
        <f>HYPERLINK("https://klasma.github.io/Logging_2581/klagomålsmail/A 45580-2025 FSC-klagomål mail.docx", "A 45580-2025")</f>
        <v/>
      </c>
      <c r="AA43">
        <f>HYPERLINK("https://klasma.github.io/Logging_2581/tillsyn/A 45580-2025 tillsynsbegäran.docx", "A 45580-2025")</f>
        <v/>
      </c>
      <c r="AB43">
        <f>HYPERLINK("https://klasma.github.io/Logging_2581/tillsynsmail/A 45580-2025 tillsynsbegäran mail.docx", "A 45580-2025")</f>
        <v/>
      </c>
    </row>
    <row r="44" ht="15" customHeight="1">
      <c r="A44" t="inlineStr">
        <is>
          <t>A 45647-2025</t>
        </is>
      </c>
      <c r="B44" t="inlineStr">
        <is>
          <t>avverkningsanmälan</t>
        </is>
      </c>
      <c r="C44" t="inlineStr">
        <is>
          <t>Föryngringsavverkning</t>
        </is>
      </c>
      <c r="D44" s="1" t="n">
        <v>45923</v>
      </c>
      <c r="E44" s="1" t="n">
        <v>46219</v>
      </c>
      <c r="F44" t="inlineStr">
        <is>
          <t>NORRBOTTENS LÄN</t>
        </is>
      </c>
      <c r="G44" t="inlineStr">
        <is>
          <t>PITEÅ</t>
        </is>
      </c>
      <c r="H44" t="inlineStr">
        <is>
          <t>Sveaskog</t>
        </is>
      </c>
      <c r="I44" t="n">
        <v>18.9</v>
      </c>
      <c r="J44" t="n">
        <v>0</v>
      </c>
      <c r="K44" t="n">
        <v>0</v>
      </c>
      <c r="L44" t="n">
        <v>2</v>
      </c>
      <c r="M44" t="n">
        <v>0</v>
      </c>
      <c r="N44" t="n">
        <v>0</v>
      </c>
      <c r="O44" t="n">
        <v>0</v>
      </c>
      <c r="P44" t="n">
        <v>0</v>
      </c>
      <c r="Q44" t="n">
        <v>2</v>
      </c>
      <c r="R44" t="n">
        <v>0</v>
      </c>
      <c r="S44" t="n">
        <v>2</v>
      </c>
      <c r="T44" t="n">
        <v>4</v>
      </c>
      <c r="U44" s="2" t="inlineStr">
        <is>
          <t>Doftskinn
Rosenticka</t>
        </is>
      </c>
      <c r="V44">
        <f>HYPERLINK("https://klasma.github.io/Logging_2581/artfynd/A 45647-2025 artfynd.xlsx", "A 45647-2025")</f>
        <v/>
      </c>
      <c r="W44">
        <f>HYPERLINK("https://klasma.github.io/Logging_2581/kartor/A 45647-2025 karta.png", "A 45647-2025")</f>
        <v/>
      </c>
      <c r="Y44">
        <f>HYPERLINK("https://klasma.github.io/Logging_2581/klagomål/A 45647-2025 FSC-klagomål.docx", "A 45647-2025")</f>
        <v/>
      </c>
      <c r="Z44">
        <f>HYPERLINK("https://klasma.github.io/Logging_2581/klagomålsmail/A 45647-2025 FSC-klagomål mail.docx", "A 45647-2025")</f>
        <v/>
      </c>
      <c r="AA44">
        <f>HYPERLINK("https://klasma.github.io/Logging_2581/tillsyn/A 45647-2025 tillsynsbegäran.docx", "A 45647-2025")</f>
        <v/>
      </c>
      <c r="AB44">
        <f>HYPERLINK("https://klasma.github.io/Logging_2581/tillsynsmail/A 45647-2025 tillsynsbegäran mail.docx", "A 45647-2025")</f>
        <v/>
      </c>
    </row>
    <row r="45" ht="15" customHeight="1">
      <c r="A45" t="inlineStr">
        <is>
          <t>A 12849-2025</t>
        </is>
      </c>
      <c r="B45" t="inlineStr">
        <is>
          <t>avverkningsanmälan</t>
        </is>
      </c>
      <c r="C45" t="inlineStr">
        <is>
          <t>Föryngringsavverkning</t>
        </is>
      </c>
      <c r="D45" s="1" t="n">
        <v>45733</v>
      </c>
      <c r="E45" s="1" t="n">
        <v>46219</v>
      </c>
      <c r="F45" t="inlineStr">
        <is>
          <t>NORRBOTTENS LÄN</t>
        </is>
      </c>
      <c r="G45" t="inlineStr">
        <is>
          <t>PITEÅ</t>
        </is>
      </c>
      <c r="I45" t="n">
        <v>3.8</v>
      </c>
      <c r="J45" t="n">
        <v>1</v>
      </c>
      <c r="K45" t="n">
        <v>0</v>
      </c>
      <c r="L45" t="n">
        <v>0</v>
      </c>
      <c r="M45" t="n">
        <v>1</v>
      </c>
      <c r="N45" t="n">
        <v>0</v>
      </c>
      <c r="O45" t="n">
        <v>0</v>
      </c>
      <c r="P45" t="n">
        <v>0</v>
      </c>
      <c r="Q45" t="n">
        <v>1</v>
      </c>
      <c r="R45" t="n">
        <v>1</v>
      </c>
      <c r="S45" t="n">
        <v>2</v>
      </c>
      <c r="T45" t="n">
        <v>2</v>
      </c>
      <c r="U45" s="2" t="inlineStr">
        <is>
          <t>Silverblåvinge
Fläcknycklar</t>
        </is>
      </c>
      <c r="V45">
        <f>HYPERLINK("https://klasma.github.io/Logging_2581/artfynd/A 12849-2025 artfynd.xlsx", "A 12849-2025")</f>
        <v/>
      </c>
      <c r="W45">
        <f>HYPERLINK("https://klasma.github.io/Logging_2581/kartor/A 12849-2025 karta.png", "A 12849-2025")</f>
        <v/>
      </c>
      <c r="Y45">
        <f>HYPERLINK("https://klasma.github.io/Logging_2581/klagomål/A 12849-2025 FSC-klagomål.docx", "A 12849-2025")</f>
        <v/>
      </c>
      <c r="Z45">
        <f>HYPERLINK("https://klasma.github.io/Logging_2581/klagomålsmail/A 12849-2025 FSC-klagomål mail.docx", "A 12849-2025")</f>
        <v/>
      </c>
      <c r="AA45">
        <f>HYPERLINK("https://klasma.github.io/Logging_2581/tillsyn/A 12849-2025 tillsynsbegäran.docx", "A 12849-2025")</f>
        <v/>
      </c>
      <c r="AB45">
        <f>HYPERLINK("https://klasma.github.io/Logging_2581/tillsynsmail/A 12849-2025 tillsynsbegäran mail.docx", "A 12849-2025")</f>
        <v/>
      </c>
    </row>
    <row r="46" ht="15" customHeight="1">
      <c r="A46" t="inlineStr">
        <is>
          <t>A 54745-2023</t>
        </is>
      </c>
      <c r="B46" t="inlineStr">
        <is>
          <t>avverkningsanmälan</t>
        </is>
      </c>
      <c r="C46" t="inlineStr">
        <is>
          <t>Föryngringsavverkning</t>
        </is>
      </c>
      <c r="D46" s="1" t="n">
        <v>45236</v>
      </c>
      <c r="E46" s="1" t="n">
        <v>46219</v>
      </c>
      <c r="F46" t="inlineStr">
        <is>
          <t>NORRBOTTENS LÄN</t>
        </is>
      </c>
      <c r="G46" t="inlineStr">
        <is>
          <t>PITEÅ</t>
        </is>
      </c>
      <c r="H46" t="inlineStr">
        <is>
          <t>Sveaskog</t>
        </is>
      </c>
      <c r="I46" t="n">
        <v>25.5</v>
      </c>
      <c r="J46" t="n">
        <v>0</v>
      </c>
      <c r="K46" t="n">
        <v>0</v>
      </c>
      <c r="L46" t="n">
        <v>2</v>
      </c>
      <c r="M46" t="n">
        <v>0</v>
      </c>
      <c r="N46" t="n">
        <v>0</v>
      </c>
      <c r="O46" t="n">
        <v>0</v>
      </c>
      <c r="P46" t="n">
        <v>0</v>
      </c>
      <c r="Q46" t="n">
        <v>2</v>
      </c>
      <c r="R46" t="n">
        <v>0</v>
      </c>
      <c r="S46" t="n">
        <v>2</v>
      </c>
      <c r="T46" t="n">
        <v>3</v>
      </c>
      <c r="U46" s="2" t="inlineStr">
        <is>
          <t>Rosenticka
Rynkskinn</t>
        </is>
      </c>
      <c r="V46">
        <f>HYPERLINK("https://klasma.github.io/Logging_2581/artfynd/A 54745-2023 artfynd.xlsx", "A 54745-2023")</f>
        <v/>
      </c>
      <c r="W46">
        <f>HYPERLINK("https://klasma.github.io/Logging_2581/kartor/A 54745-2023 karta.png", "A 54745-2023")</f>
        <v/>
      </c>
      <c r="Y46">
        <f>HYPERLINK("https://klasma.github.io/Logging_2581/klagomål/A 54745-2023 FSC-klagomål.docx", "A 54745-2023")</f>
        <v/>
      </c>
      <c r="Z46">
        <f>HYPERLINK("https://klasma.github.io/Logging_2581/klagomålsmail/A 54745-2023 FSC-klagomål mail.docx", "A 54745-2023")</f>
        <v/>
      </c>
      <c r="AA46">
        <f>HYPERLINK("https://klasma.github.io/Logging_2581/tillsyn/A 54745-2023 tillsynsbegäran.docx", "A 54745-2023")</f>
        <v/>
      </c>
      <c r="AB46">
        <f>HYPERLINK("https://klasma.github.io/Logging_2581/tillsynsmail/A 54745-2023 tillsynsbegäran mail.docx", "A 54745-2023")</f>
        <v/>
      </c>
    </row>
    <row r="47" ht="15" customHeight="1">
      <c r="A47" t="inlineStr">
        <is>
          <t>A 48434-2025</t>
        </is>
      </c>
      <c r="B47" t="inlineStr">
        <is>
          <t>avverkningsanmälan</t>
        </is>
      </c>
      <c r="C47" t="inlineStr">
        <is>
          <t>Föryngringsavverkning</t>
        </is>
      </c>
      <c r="D47" s="1" t="n">
        <v>45935</v>
      </c>
      <c r="E47" s="1" t="n">
        <v>46219</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s="2" t="inlineStr">
        <is>
          <t>Talltita
Ullticka</t>
        </is>
      </c>
      <c r="V47">
        <f>HYPERLINK("https://klasma.github.io/Logging_2581/artfynd/A 48434-2025 artfynd.xlsx", "A 48434-2025")</f>
        <v/>
      </c>
      <c r="W47">
        <f>HYPERLINK("https://klasma.github.io/Logging_2581/kartor/A 48434-2025 karta.png", "A 48434-2025")</f>
        <v/>
      </c>
      <c r="Y47">
        <f>HYPERLINK("https://klasma.github.io/Logging_2581/klagomål/A 48434-2025 FSC-klagomål.docx", "A 48434-2025")</f>
        <v/>
      </c>
      <c r="Z47">
        <f>HYPERLINK("https://klasma.github.io/Logging_2581/klagomålsmail/A 48434-2025 FSC-klagomål mail.docx", "A 48434-2025")</f>
        <v/>
      </c>
      <c r="AA47">
        <f>HYPERLINK("https://klasma.github.io/Logging_2581/tillsyn/A 48434-2025 tillsynsbegäran.docx", "A 48434-2025")</f>
        <v/>
      </c>
      <c r="AB47">
        <f>HYPERLINK("https://klasma.github.io/Logging_2581/tillsynsmail/A 48434-2025 tillsynsbegäran mail.docx", "A 48434-2025")</f>
        <v/>
      </c>
      <c r="AC47">
        <f>HYPERLINK("https://klasma.github.io/Logging_2581/fåglar/A 48434-2025 prioriterade fågelarter.docx", "A 48434-2025")</f>
        <v/>
      </c>
    </row>
    <row r="48" ht="15" customHeight="1">
      <c r="A48" t="inlineStr">
        <is>
          <t>A 52643-2025</t>
        </is>
      </c>
      <c r="B48" t="inlineStr">
        <is>
          <t>avverkningsanmälan</t>
        </is>
      </c>
      <c r="C48" t="inlineStr">
        <is>
          <t>Föryngringsavverkning</t>
        </is>
      </c>
      <c r="D48" s="1" t="n">
        <v>45955</v>
      </c>
      <c r="E48" s="1" t="n">
        <v>46219</v>
      </c>
      <c r="F48" t="inlineStr">
        <is>
          <t>NORRBOTTENS LÄN</t>
        </is>
      </c>
      <c r="G48" t="inlineStr">
        <is>
          <t>PITEÅ</t>
        </is>
      </c>
      <c r="I48" t="n">
        <v>4.4</v>
      </c>
      <c r="J48" t="n">
        <v>2</v>
      </c>
      <c r="K48" t="n">
        <v>0</v>
      </c>
      <c r="L48" t="n">
        <v>1</v>
      </c>
      <c r="M48" t="n">
        <v>0</v>
      </c>
      <c r="N48" t="n">
        <v>0</v>
      </c>
      <c r="O48" t="n">
        <v>0</v>
      </c>
      <c r="P48" t="n">
        <v>0</v>
      </c>
      <c r="Q48" t="n">
        <v>1</v>
      </c>
      <c r="R48" t="n">
        <v>0</v>
      </c>
      <c r="S48" t="n">
        <v>2</v>
      </c>
      <c r="T48" t="n">
        <v>3</v>
      </c>
      <c r="U48" s="2" t="inlineStr">
        <is>
          <t>Talltita
Bergfink</t>
        </is>
      </c>
      <c r="V48">
        <f>HYPERLINK("https://klasma.github.io/Logging_2581/artfynd/A 52643-2025 artfynd.xlsx", "A 52643-2025")</f>
        <v/>
      </c>
      <c r="W48">
        <f>HYPERLINK("https://klasma.github.io/Logging_2581/kartor/A 52643-2025 karta.png", "A 52643-2025")</f>
        <v/>
      </c>
      <c r="Y48">
        <f>HYPERLINK("https://klasma.github.io/Logging_2581/klagomål/A 52643-2025 FSC-klagomål.docx", "A 52643-2025")</f>
        <v/>
      </c>
      <c r="Z48">
        <f>HYPERLINK("https://klasma.github.io/Logging_2581/klagomålsmail/A 52643-2025 FSC-klagomål mail.docx", "A 52643-2025")</f>
        <v/>
      </c>
      <c r="AA48">
        <f>HYPERLINK("https://klasma.github.io/Logging_2581/tillsyn/A 52643-2025 tillsynsbegäran.docx", "A 52643-2025")</f>
        <v/>
      </c>
      <c r="AB48">
        <f>HYPERLINK("https://klasma.github.io/Logging_2581/tillsynsmail/A 52643-2025 tillsynsbegäran mail.docx", "A 52643-2025")</f>
        <v/>
      </c>
      <c r="AC48">
        <f>HYPERLINK("https://klasma.github.io/Logging_2581/fåglar/A 52643-2025 prioriterade fågelarter.docx", "A 52643-2025")</f>
        <v/>
      </c>
    </row>
    <row r="49" ht="15" customHeight="1">
      <c r="A49" t="inlineStr">
        <is>
          <t>A 18052-2025</t>
        </is>
      </c>
      <c r="B49" t="inlineStr">
        <is>
          <t>avverkningsanmälan</t>
        </is>
      </c>
      <c r="C49" t="inlineStr">
        <is>
          <t>Föryngringsavverkning</t>
        </is>
      </c>
      <c r="D49" s="1" t="n">
        <v>45761</v>
      </c>
      <c r="E49" s="1" t="n">
        <v>46219</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s="2" t="inlineStr">
        <is>
          <t>Luddfingersvamp
Tallticka</t>
        </is>
      </c>
      <c r="V49">
        <f>HYPERLINK("https://klasma.github.io/Logging_2581/artfynd/A 18052-2025 artfynd.xlsx", "A 18052-2025")</f>
        <v/>
      </c>
      <c r="W49">
        <f>HYPERLINK("https://klasma.github.io/Logging_2581/kartor/A 18052-2025 karta.png", "A 18052-2025")</f>
        <v/>
      </c>
      <c r="Y49">
        <f>HYPERLINK("https://klasma.github.io/Logging_2581/klagomål/A 18052-2025 FSC-klagomål.docx", "A 18052-2025")</f>
        <v/>
      </c>
      <c r="Z49">
        <f>HYPERLINK("https://klasma.github.io/Logging_2581/klagomålsmail/A 18052-2025 FSC-klagomål mail.docx", "A 18052-2025")</f>
        <v/>
      </c>
      <c r="AA49">
        <f>HYPERLINK("https://klasma.github.io/Logging_2581/tillsyn/A 18052-2025 tillsynsbegäran.docx", "A 18052-2025")</f>
        <v/>
      </c>
      <c r="AB49">
        <f>HYPERLINK("https://klasma.github.io/Logging_2581/tillsynsmail/A 18052-2025 tillsynsbegäran mail.docx", "A 18052-2025")</f>
        <v/>
      </c>
    </row>
    <row r="50" ht="15" customHeight="1">
      <c r="A50" t="inlineStr">
        <is>
          <t>A 5524-2024</t>
        </is>
      </c>
      <c r="B50" t="inlineStr">
        <is>
          <t>avverkningsanmälan</t>
        </is>
      </c>
      <c r="C50" t="inlineStr">
        <is>
          <t>Föryngringsavverkning</t>
        </is>
      </c>
      <c r="D50" s="1" t="n">
        <v>45334</v>
      </c>
      <c r="E50" s="1" t="n">
        <v>46219</v>
      </c>
      <c r="F50" t="inlineStr">
        <is>
          <t>NORRBOTTENS LÄN</t>
        </is>
      </c>
      <c r="G50" t="inlineStr">
        <is>
          <t>PITEÅ</t>
        </is>
      </c>
      <c r="I50" t="n">
        <v>3.1</v>
      </c>
      <c r="J50" t="n">
        <v>2</v>
      </c>
      <c r="K50" t="n">
        <v>0</v>
      </c>
      <c r="L50" t="n">
        <v>0</v>
      </c>
      <c r="M50" t="n">
        <v>0</v>
      </c>
      <c r="N50" t="n">
        <v>0</v>
      </c>
      <c r="O50" t="n">
        <v>0</v>
      </c>
      <c r="P50" t="n">
        <v>0</v>
      </c>
      <c r="Q50" t="n">
        <v>0</v>
      </c>
      <c r="R50" t="n">
        <v>0</v>
      </c>
      <c r="S50" t="n">
        <v>2</v>
      </c>
      <c r="T50" t="n">
        <v>2</v>
      </c>
      <c r="U50" s="2" t="inlineStr">
        <is>
          <t>Järpe
Sångsvan</t>
        </is>
      </c>
      <c r="V50">
        <f>HYPERLINK("https://klasma.github.io/Logging_2581/artfynd/A 5524-2024 artfynd.xlsx", "A 5524-2024")</f>
        <v/>
      </c>
      <c r="W50">
        <f>HYPERLINK("https://klasma.github.io/Logging_2581/kartor/A 5524-2024 karta.png", "A 5524-2024")</f>
        <v/>
      </c>
      <c r="Y50">
        <f>HYPERLINK("https://klasma.github.io/Logging_2581/klagomål/A 5524-2024 FSC-klagomål.docx", "A 5524-2024")</f>
        <v/>
      </c>
      <c r="Z50">
        <f>HYPERLINK("https://klasma.github.io/Logging_2581/klagomålsmail/A 5524-2024 FSC-klagomål mail.docx", "A 5524-2024")</f>
        <v/>
      </c>
      <c r="AA50">
        <f>HYPERLINK("https://klasma.github.io/Logging_2581/tillsyn/A 5524-2024 tillsynsbegäran.docx", "A 5524-2024")</f>
        <v/>
      </c>
      <c r="AB50">
        <f>HYPERLINK("https://klasma.github.io/Logging_2581/tillsynsmail/A 5524-2024 tillsynsbegäran mail.docx", "A 5524-2024")</f>
        <v/>
      </c>
      <c r="AC50">
        <f>HYPERLINK("https://klasma.github.io/Logging_2581/fåglar/A 5524-2024 prioriterade fågelarter.docx", "A 5524-2024")</f>
        <v/>
      </c>
    </row>
    <row r="51" ht="15" customHeight="1">
      <c r="A51" t="inlineStr">
        <is>
          <t>A 4470-2026</t>
        </is>
      </c>
      <c r="B51" t="inlineStr">
        <is>
          <t>avverkningsanmälan</t>
        </is>
      </c>
      <c r="C51" t="inlineStr">
        <is>
          <t>Föryngringsavverkning</t>
        </is>
      </c>
      <c r="D51" s="1" t="n">
        <v>46045</v>
      </c>
      <c r="E51" s="1" t="n">
        <v>46219</v>
      </c>
      <c r="F51" t="inlineStr">
        <is>
          <t>NORRBOTTENS LÄN</t>
        </is>
      </c>
      <c r="G51" t="inlineStr">
        <is>
          <t>PITEÅ</t>
        </is>
      </c>
      <c r="H51" t="inlineStr">
        <is>
          <t>SCA</t>
        </is>
      </c>
      <c r="I51" t="n">
        <v>2.5</v>
      </c>
      <c r="J51" t="n">
        <v>1</v>
      </c>
      <c r="K51" t="n">
        <v>0</v>
      </c>
      <c r="L51" t="n">
        <v>2</v>
      </c>
      <c r="M51" t="n">
        <v>0</v>
      </c>
      <c r="N51" t="n">
        <v>0</v>
      </c>
      <c r="O51" t="n">
        <v>0</v>
      </c>
      <c r="P51" t="n">
        <v>0</v>
      </c>
      <c r="Q51" t="n">
        <v>2</v>
      </c>
      <c r="R51" t="n">
        <v>0</v>
      </c>
      <c r="S51" t="n">
        <v>2</v>
      </c>
      <c r="T51" t="n">
        <v>2</v>
      </c>
      <c r="U51" s="2" t="inlineStr">
        <is>
          <t>Lavskrika
Lunglav</t>
        </is>
      </c>
      <c r="V51">
        <f>HYPERLINK("https://klasma.github.io/Logging_2581/artfynd/A 4470-2026 artfynd.xlsx", "A 4470-2026")</f>
        <v/>
      </c>
      <c r="W51">
        <f>HYPERLINK("https://klasma.github.io/Logging_2581/kartor/A 4470-2026 karta.png", "A 4470-2026")</f>
        <v/>
      </c>
      <c r="Y51">
        <f>HYPERLINK("https://klasma.github.io/Logging_2581/klagomål/A 4470-2026 FSC-klagomål.docx", "A 4470-2026")</f>
        <v/>
      </c>
      <c r="Z51">
        <f>HYPERLINK("https://klasma.github.io/Logging_2581/klagomålsmail/A 4470-2026 FSC-klagomål mail.docx", "A 4470-2026")</f>
        <v/>
      </c>
      <c r="AA51">
        <f>HYPERLINK("https://klasma.github.io/Logging_2581/tillsyn/A 4470-2026 tillsynsbegäran.docx", "A 4470-2026")</f>
        <v/>
      </c>
      <c r="AB51">
        <f>HYPERLINK("https://klasma.github.io/Logging_2581/tillsynsmail/A 4470-2026 tillsynsbegäran mail.docx", "A 4470-2026")</f>
        <v/>
      </c>
      <c r="AC51">
        <f>HYPERLINK("https://klasma.github.io/Logging_2581/fåglar/A 4470-2026 prioriterade fågelarter.docx", "A 4470-2026")</f>
        <v/>
      </c>
    </row>
    <row r="52" ht="15" customHeight="1">
      <c r="A52" t="inlineStr">
        <is>
          <t>A 8227-2026</t>
        </is>
      </c>
      <c r="B52" t="inlineStr">
        <is>
          <t>avverkningsanmälan</t>
        </is>
      </c>
      <c r="C52" t="inlineStr">
        <is>
          <t>Föryngringsavverkning</t>
        </is>
      </c>
      <c r="D52" s="1" t="n">
        <v>46064</v>
      </c>
      <c r="E52" s="1" t="n">
        <v>46219</v>
      </c>
      <c r="F52" t="inlineStr">
        <is>
          <t>NORRBOTTENS LÄN</t>
        </is>
      </c>
      <c r="G52" t="inlineStr">
        <is>
          <t>PITEÅ</t>
        </is>
      </c>
      <c r="I52" t="n">
        <v>6.3</v>
      </c>
      <c r="J52" t="n">
        <v>1</v>
      </c>
      <c r="K52" t="n">
        <v>0</v>
      </c>
      <c r="L52" t="n">
        <v>1</v>
      </c>
      <c r="M52" t="n">
        <v>0</v>
      </c>
      <c r="N52" t="n">
        <v>0</v>
      </c>
      <c r="O52" t="n">
        <v>0</v>
      </c>
      <c r="P52" t="n">
        <v>0</v>
      </c>
      <c r="Q52" t="n">
        <v>1</v>
      </c>
      <c r="R52" t="n">
        <v>0</v>
      </c>
      <c r="S52" t="n">
        <v>2</v>
      </c>
      <c r="T52" t="n">
        <v>2</v>
      </c>
      <c r="U52" s="2" t="inlineStr">
        <is>
          <t>Dropptaggsvamp
Revlummer</t>
        </is>
      </c>
      <c r="V52">
        <f>HYPERLINK("https://klasma.github.io/Logging_2581/artfynd/A 8227-2026 artfynd.xlsx", "A 8227-2026")</f>
        <v/>
      </c>
      <c r="W52">
        <f>HYPERLINK("https://klasma.github.io/Logging_2581/kartor/A 8227-2026 karta.png", "A 8227-2026")</f>
        <v/>
      </c>
      <c r="Y52">
        <f>HYPERLINK("https://klasma.github.io/Logging_2581/klagomål/A 8227-2026 FSC-klagomål.docx", "A 8227-2026")</f>
        <v/>
      </c>
      <c r="Z52">
        <f>HYPERLINK("https://klasma.github.io/Logging_2581/klagomålsmail/A 8227-2026 FSC-klagomål mail.docx", "A 8227-2026")</f>
        <v/>
      </c>
      <c r="AA52">
        <f>HYPERLINK("https://klasma.github.io/Logging_2581/tillsyn/A 8227-2026 tillsynsbegäran.docx", "A 8227-2026")</f>
        <v/>
      </c>
      <c r="AB52">
        <f>HYPERLINK("https://klasma.github.io/Logging_2581/tillsynsmail/A 8227-2026 tillsynsbegäran mail.docx", "A 8227-2026")</f>
        <v/>
      </c>
    </row>
    <row r="53" ht="15" customHeight="1">
      <c r="A53" t="inlineStr">
        <is>
          <t>A 48688-2023</t>
        </is>
      </c>
      <c r="B53" t="inlineStr">
        <is>
          <t>avverkningsanmälan</t>
        </is>
      </c>
      <c r="C53" t="inlineStr">
        <is>
          <t>Föryngringsavverkning</t>
        </is>
      </c>
      <c r="D53" s="1" t="n">
        <v>45202</v>
      </c>
      <c r="E53" s="1" t="n">
        <v>46219</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Y53">
        <f>HYPERLINK("https://klasma.github.io/Logging_2581/klagomål/A 48688-2023 FSC-klagomål.docx", "A 48688-2023")</f>
        <v/>
      </c>
      <c r="Z53">
        <f>HYPERLINK("https://klasma.github.io/Logging_2581/klagomålsmail/A 48688-2023 FSC-klagomål mail.docx", "A 48688-2023")</f>
        <v/>
      </c>
      <c r="AA53">
        <f>HYPERLINK("https://klasma.github.io/Logging_2581/tillsyn/A 48688-2023 tillsynsbegäran.docx", "A 48688-2023")</f>
        <v/>
      </c>
      <c r="AB53">
        <f>HYPERLINK("https://klasma.github.io/Logging_2581/tillsynsmail/A 48688-2023 tillsynsbegäran mail.docx", "A 48688-2023")</f>
        <v/>
      </c>
      <c r="AC53">
        <f>HYPERLINK("https://klasma.github.io/Logging_2581/fåglar/A 48688-2023 prioriterade fågelarter.docx", "A 48688-2023")</f>
        <v/>
      </c>
    </row>
    <row r="54" ht="15" customHeight="1">
      <c r="A54" t="inlineStr">
        <is>
          <t>A 15530-2025</t>
        </is>
      </c>
      <c r="B54" t="inlineStr">
        <is>
          <t>avverkningsanmälan</t>
        </is>
      </c>
      <c r="C54" t="inlineStr">
        <is>
          <t>Föryngringsavverkning</t>
        </is>
      </c>
      <c r="D54" s="1" t="n">
        <v>45747</v>
      </c>
      <c r="E54" s="1" t="n">
        <v>46219</v>
      </c>
      <c r="F54" t="inlineStr">
        <is>
          <t>NORRBOTTENS LÄN</t>
        </is>
      </c>
      <c r="G54" t="inlineStr">
        <is>
          <t>PITEÅ</t>
        </is>
      </c>
      <c r="I54" t="n">
        <v>5.5</v>
      </c>
      <c r="J54" t="n">
        <v>1</v>
      </c>
      <c r="K54" t="n">
        <v>0</v>
      </c>
      <c r="L54" t="n">
        <v>1</v>
      </c>
      <c r="M54" t="n">
        <v>1</v>
      </c>
      <c r="N54" t="n">
        <v>0</v>
      </c>
      <c r="O54" t="n">
        <v>0</v>
      </c>
      <c r="P54" t="n">
        <v>0</v>
      </c>
      <c r="Q54" t="n">
        <v>2</v>
      </c>
      <c r="R54" t="n">
        <v>1</v>
      </c>
      <c r="S54" t="n">
        <v>2</v>
      </c>
      <c r="T54" t="n">
        <v>2</v>
      </c>
      <c r="U54" s="2" t="inlineStr">
        <is>
          <t>Knärot
Lunglav</t>
        </is>
      </c>
      <c r="V54">
        <f>HYPERLINK("https://klasma.github.io/Logging_2581/artfynd/A 15530-2025 artfynd.xlsx", "A 15530-2025")</f>
        <v/>
      </c>
      <c r="W54">
        <f>HYPERLINK("https://klasma.github.io/Logging_2581/kartor/A 15530-2025 karta.png", "A 15530-2025")</f>
        <v/>
      </c>
      <c r="X54">
        <f>HYPERLINK("https://klasma.github.io/Logging_2581/knärot/A 15530-2025 karta knärot.png", "A 15530-2025")</f>
        <v/>
      </c>
      <c r="Y54">
        <f>HYPERLINK("https://klasma.github.io/Logging_2581/klagomål/A 15530-2025 FSC-klagomål.docx", "A 15530-2025")</f>
        <v/>
      </c>
      <c r="Z54">
        <f>HYPERLINK("https://klasma.github.io/Logging_2581/klagomålsmail/A 15530-2025 FSC-klagomål mail.docx", "A 15530-2025")</f>
        <v/>
      </c>
      <c r="AA54">
        <f>HYPERLINK("https://klasma.github.io/Logging_2581/tillsyn/A 15530-2025 tillsynsbegäran.docx", "A 15530-2025")</f>
        <v/>
      </c>
      <c r="AB54">
        <f>HYPERLINK("https://klasma.github.io/Logging_2581/tillsynsmail/A 15530-2025 tillsynsbegäran mail.docx", "A 15530-2025")</f>
        <v/>
      </c>
    </row>
    <row r="55" ht="15" customHeight="1">
      <c r="A55" t="inlineStr">
        <is>
          <t>A 34361-2025</t>
        </is>
      </c>
      <c r="B55" t="inlineStr">
        <is>
          <t>avverkningsanmälan</t>
        </is>
      </c>
      <c r="C55" t="inlineStr">
        <is>
          <t>Föryngringsavverkning</t>
        </is>
      </c>
      <c r="D55" s="1" t="n">
        <v>45846</v>
      </c>
      <c r="E55" s="1" t="n">
        <v>46219</v>
      </c>
      <c r="F55" t="inlineStr">
        <is>
          <t>NORRBOTTENS LÄN</t>
        </is>
      </c>
      <c r="G55" t="inlineStr">
        <is>
          <t>PITEÅ</t>
        </is>
      </c>
      <c r="H55" t="inlineStr">
        <is>
          <t>Övriga statliga verk och myndigheter</t>
        </is>
      </c>
      <c r="I55" t="n">
        <v>2.7</v>
      </c>
      <c r="J55" t="n">
        <v>2</v>
      </c>
      <c r="K55" t="n">
        <v>0</v>
      </c>
      <c r="L55" t="n">
        <v>0</v>
      </c>
      <c r="M55" t="n">
        <v>0</v>
      </c>
      <c r="N55" t="n">
        <v>0</v>
      </c>
      <c r="O55" t="n">
        <v>0</v>
      </c>
      <c r="P55" t="n">
        <v>0</v>
      </c>
      <c r="Q55" t="n">
        <v>0</v>
      </c>
      <c r="R55" t="n">
        <v>0</v>
      </c>
      <c r="S55" t="n">
        <v>2</v>
      </c>
      <c r="T55" t="n">
        <v>2</v>
      </c>
      <c r="U55" s="2" t="inlineStr">
        <is>
          <t>Spillkråka
Revlummer</t>
        </is>
      </c>
      <c r="V55">
        <f>HYPERLINK("https://klasma.github.io/Logging_2581/artfynd/A 34361-2025 artfynd.xlsx", "A 34361-2025")</f>
        <v/>
      </c>
      <c r="W55">
        <f>HYPERLINK("https://klasma.github.io/Logging_2581/kartor/A 34361-2025 karta.png", "A 34361-2025")</f>
        <v/>
      </c>
      <c r="Y55">
        <f>HYPERLINK("https://klasma.github.io/Logging_2581/klagomål/A 34361-2025 FSC-klagomål.docx", "A 34361-2025")</f>
        <v/>
      </c>
      <c r="Z55">
        <f>HYPERLINK("https://klasma.github.io/Logging_2581/klagomålsmail/A 34361-2025 FSC-klagomål mail.docx", "A 34361-2025")</f>
        <v/>
      </c>
      <c r="AA55">
        <f>HYPERLINK("https://klasma.github.io/Logging_2581/tillsyn/A 34361-2025 tillsynsbegäran.docx", "A 34361-2025")</f>
        <v/>
      </c>
      <c r="AB55">
        <f>HYPERLINK("https://klasma.github.io/Logging_2581/tillsynsmail/A 34361-2025 tillsynsbegäran mail.docx", "A 34361-2025")</f>
        <v/>
      </c>
      <c r="AC55">
        <f>HYPERLINK("https://klasma.github.io/Logging_2581/fåglar/A 34361-2025 prioriterade fågelarter.docx", "A 34361-2025")</f>
        <v/>
      </c>
    </row>
    <row r="56" ht="15" customHeight="1">
      <c r="A56" t="inlineStr">
        <is>
          <t>A 38570-2024</t>
        </is>
      </c>
      <c r="B56" t="inlineStr">
        <is>
          <t>avverkningsanmälan</t>
        </is>
      </c>
      <c r="C56" t="inlineStr">
        <is>
          <t>Föryngringsavverkning</t>
        </is>
      </c>
      <c r="D56" s="1" t="n">
        <v>45546</v>
      </c>
      <c r="E56" s="1" t="n">
        <v>46219</v>
      </c>
      <c r="F56" t="inlineStr">
        <is>
          <t>NORRBOTTENS LÄN</t>
        </is>
      </c>
      <c r="G56" t="inlineStr">
        <is>
          <t>PITEÅ</t>
        </is>
      </c>
      <c r="I56" t="n">
        <v>13.9</v>
      </c>
      <c r="J56" t="n">
        <v>0</v>
      </c>
      <c r="K56" t="n">
        <v>1</v>
      </c>
      <c r="L56" t="n">
        <v>1</v>
      </c>
      <c r="M56" t="n">
        <v>0</v>
      </c>
      <c r="N56" t="n">
        <v>0</v>
      </c>
      <c r="O56" t="n">
        <v>0</v>
      </c>
      <c r="P56" t="n">
        <v>0</v>
      </c>
      <c r="Q56" t="n">
        <v>1</v>
      </c>
      <c r="R56" t="n">
        <v>0</v>
      </c>
      <c r="S56" t="n">
        <v>2</v>
      </c>
      <c r="T56" t="n">
        <v>5</v>
      </c>
      <c r="U56" s="2" t="inlineStr">
        <is>
          <t>Lunglav
Ögonpyrola</t>
        </is>
      </c>
      <c r="V56">
        <f>HYPERLINK("https://klasma.github.io/Logging_2581/artfynd/A 38570-2024 artfynd.xlsx", "A 38570-2024")</f>
        <v/>
      </c>
      <c r="W56">
        <f>HYPERLINK("https://klasma.github.io/Logging_2581/kartor/A 38570-2024 karta.png", "A 38570-2024")</f>
        <v/>
      </c>
      <c r="Y56">
        <f>HYPERLINK("https://klasma.github.io/Logging_2581/klagomål/A 38570-2024 FSC-klagomål.docx", "A 38570-2024")</f>
        <v/>
      </c>
      <c r="Z56">
        <f>HYPERLINK("https://klasma.github.io/Logging_2581/klagomålsmail/A 38570-2024 FSC-klagomål mail.docx", "A 38570-2024")</f>
        <v/>
      </c>
      <c r="AA56">
        <f>HYPERLINK("https://klasma.github.io/Logging_2581/tillsyn/A 38570-2024 tillsynsbegäran.docx", "A 38570-2024")</f>
        <v/>
      </c>
      <c r="AB56">
        <f>HYPERLINK("https://klasma.github.io/Logging_2581/tillsynsmail/A 38570-2024 tillsynsbegäran mail.docx", "A 38570-2024")</f>
        <v/>
      </c>
    </row>
    <row r="57" ht="15" customHeight="1">
      <c r="A57" t="inlineStr">
        <is>
          <t>A 26710-2026</t>
        </is>
      </c>
      <c r="B57" t="inlineStr">
        <is>
          <t>avverkningsanmälan</t>
        </is>
      </c>
      <c r="C57" t="inlineStr">
        <is>
          <t>Föryngringsavverkning</t>
        </is>
      </c>
      <c r="D57" s="1" t="n">
        <v>46184</v>
      </c>
      <c r="E57" s="1" t="n">
        <v>46219</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Y57">
        <f>HYPERLINK("https://klasma.github.io/Logging_2581/klagomål/A 26710-2026 FSC-klagomål.docx", "A 26710-2026")</f>
        <v/>
      </c>
      <c r="Z57">
        <f>HYPERLINK("https://klasma.github.io/Logging_2581/klagomålsmail/A 26710-2026 FSC-klagomål mail.docx", "A 26710-2026")</f>
        <v/>
      </c>
      <c r="AA57">
        <f>HYPERLINK("https://klasma.github.io/Logging_2581/tillsyn/A 26710-2026 tillsynsbegäran.docx", "A 26710-2026")</f>
        <v/>
      </c>
      <c r="AB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46219</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46219</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46219</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32153-2023</t>
        </is>
      </c>
      <c r="B61" t="inlineStr">
        <is>
          <t>avverkningsanmälan</t>
        </is>
      </c>
      <c r="C61" t="inlineStr">
        <is>
          <t>Föryngringsavverkning</t>
        </is>
      </c>
      <c r="D61" s="1" t="n">
        <v>45119</v>
      </c>
      <c r="E61" s="1" t="n">
        <v>46219</v>
      </c>
      <c r="F61" t="inlineStr">
        <is>
          <t>NORRBOTTENS LÄN</t>
        </is>
      </c>
      <c r="G61" t="inlineStr">
        <is>
          <t>PITEÅ</t>
        </is>
      </c>
      <c r="H61" t="inlineStr">
        <is>
          <t>Sveaskog</t>
        </is>
      </c>
      <c r="I61" t="n">
        <v>18.5</v>
      </c>
      <c r="J61" t="n">
        <v>0</v>
      </c>
      <c r="K61" t="n">
        <v>0</v>
      </c>
      <c r="L61" t="n">
        <v>1</v>
      </c>
      <c r="M61" t="n">
        <v>0</v>
      </c>
      <c r="N61" t="n">
        <v>0</v>
      </c>
      <c r="O61" t="n">
        <v>0</v>
      </c>
      <c r="P61" t="n">
        <v>0</v>
      </c>
      <c r="Q61" t="n">
        <v>1</v>
      </c>
      <c r="R61" t="n">
        <v>0</v>
      </c>
      <c r="S61" t="n">
        <v>1</v>
      </c>
      <c r="T61" t="n">
        <v>3</v>
      </c>
      <c r="U61" s="2" t="inlineStr">
        <is>
          <t>Lunglav</t>
        </is>
      </c>
      <c r="V61">
        <f>HYPERLINK("https://klasma.github.io/Logging_2581/artfynd/A 32153-2023 artfynd.xlsx", "A 32153-2023")</f>
        <v/>
      </c>
      <c r="W61">
        <f>HYPERLINK("https://klasma.github.io/Logging_2581/kartor/A 32153-2023 karta.png", "A 32153-2023")</f>
        <v/>
      </c>
      <c r="Y61">
        <f>HYPERLINK("https://klasma.github.io/Logging_2581/klagomål/A 32153-2023 FSC-klagomål.docx", "A 32153-2023")</f>
        <v/>
      </c>
      <c r="Z61">
        <f>HYPERLINK("https://klasma.github.io/Logging_2581/klagomålsmail/A 32153-2023 FSC-klagomål mail.docx", "A 32153-2023")</f>
        <v/>
      </c>
      <c r="AA61">
        <f>HYPERLINK("https://klasma.github.io/Logging_2581/tillsyn/A 32153-2023 tillsynsbegäran.docx", "A 32153-2023")</f>
        <v/>
      </c>
      <c r="AB61">
        <f>HYPERLINK("https://klasma.github.io/Logging_2581/tillsynsmail/A 32153-2023 tillsynsbegäran mail.docx", "A 32153-2023")</f>
        <v/>
      </c>
    </row>
    <row r="62" ht="15" customHeight="1">
      <c r="A62" t="inlineStr">
        <is>
          <t>A 71278-2021</t>
        </is>
      </c>
      <c r="B62" t="inlineStr">
        <is>
          <t>avverkningsanmälan</t>
        </is>
      </c>
      <c r="C62" t="inlineStr">
        <is>
          <t>Föryngringsavverkning</t>
        </is>
      </c>
      <c r="D62" s="1" t="n">
        <v>44538</v>
      </c>
      <c r="E62" s="1" t="n">
        <v>46219</v>
      </c>
      <c r="F62" t="inlineStr">
        <is>
          <t>NORRBOTTENS LÄN</t>
        </is>
      </c>
      <c r="G62" t="inlineStr">
        <is>
          <t>PITEÅ</t>
        </is>
      </c>
      <c r="I62" t="n">
        <v>12.6</v>
      </c>
      <c r="J62" t="n">
        <v>0</v>
      </c>
      <c r="K62" t="n">
        <v>0</v>
      </c>
      <c r="L62" t="n">
        <v>1</v>
      </c>
      <c r="M62" t="n">
        <v>0</v>
      </c>
      <c r="N62" t="n">
        <v>0</v>
      </c>
      <c r="O62" t="n">
        <v>0</v>
      </c>
      <c r="P62" t="n">
        <v>0</v>
      </c>
      <c r="Q62" t="n">
        <v>1</v>
      </c>
      <c r="R62" t="n">
        <v>0</v>
      </c>
      <c r="S62" t="n">
        <v>1</v>
      </c>
      <c r="T62" t="n">
        <v>1</v>
      </c>
      <c r="U62" s="2" t="inlineStr">
        <is>
          <t>Turkos blåvinge</t>
        </is>
      </c>
      <c r="V62">
        <f>HYPERLINK("https://klasma.github.io/Logging_2581/artfynd/A 71278-2021 artfynd.xlsx", "A 71278-2021")</f>
        <v/>
      </c>
      <c r="W62">
        <f>HYPERLINK("https://klasma.github.io/Logging_2581/kartor/A 71278-2021 karta.png", "A 71278-2021")</f>
        <v/>
      </c>
      <c r="Y62">
        <f>HYPERLINK("https://klasma.github.io/Logging_2581/klagomål/A 71278-2021 FSC-klagomål.docx", "A 71278-2021")</f>
        <v/>
      </c>
      <c r="Z62">
        <f>HYPERLINK("https://klasma.github.io/Logging_2581/klagomålsmail/A 71278-2021 FSC-klagomål mail.docx", "A 71278-2021")</f>
        <v/>
      </c>
      <c r="AA62">
        <f>HYPERLINK("https://klasma.github.io/Logging_2581/tillsyn/A 71278-2021 tillsynsbegäran.docx", "A 71278-2021")</f>
        <v/>
      </c>
      <c r="AB62">
        <f>HYPERLINK("https://klasma.github.io/Logging_2581/tillsynsmail/A 71278-2021 tillsynsbegäran mail.docx", "A 71278-2021")</f>
        <v/>
      </c>
    </row>
    <row r="63" ht="15" customHeight="1">
      <c r="A63" t="inlineStr">
        <is>
          <t>A 50015-2021</t>
        </is>
      </c>
      <c r="B63" t="inlineStr">
        <is>
          <t>avverkningsanmälan</t>
        </is>
      </c>
      <c r="C63" t="inlineStr">
        <is>
          <t>Föryngringsavverkning</t>
        </is>
      </c>
      <c r="D63" s="1" t="n">
        <v>44454</v>
      </c>
      <c r="E63" s="1" t="n">
        <v>46219</v>
      </c>
      <c r="F63" t="inlineStr">
        <is>
          <t>NORRBOTTENS LÄN</t>
        </is>
      </c>
      <c r="G63" t="inlineStr">
        <is>
          <t>PITEÅ</t>
        </is>
      </c>
      <c r="I63" t="n">
        <v>7.1</v>
      </c>
      <c r="J63" t="n">
        <v>1</v>
      </c>
      <c r="K63" t="n">
        <v>0</v>
      </c>
      <c r="L63" t="n">
        <v>0</v>
      </c>
      <c r="M63" t="n">
        <v>0</v>
      </c>
      <c r="N63" t="n">
        <v>0</v>
      </c>
      <c r="O63" t="n">
        <v>0</v>
      </c>
      <c r="P63" t="n">
        <v>0</v>
      </c>
      <c r="Q63" t="n">
        <v>0</v>
      </c>
      <c r="R63" t="n">
        <v>0</v>
      </c>
      <c r="S63" t="n">
        <v>1</v>
      </c>
      <c r="T63" t="n">
        <v>1</v>
      </c>
      <c r="U63" s="2" t="inlineStr">
        <is>
          <t>Vanlig groda</t>
        </is>
      </c>
      <c r="V63">
        <f>HYPERLINK("https://klasma.github.io/Logging_2581/artfynd/A 50015-2021 artfynd.xlsx", "A 50015-2021")</f>
        <v/>
      </c>
      <c r="W63">
        <f>HYPERLINK("https://klasma.github.io/Logging_2581/kartor/A 50015-2021 karta.png", "A 50015-2021")</f>
        <v/>
      </c>
      <c r="Y63">
        <f>HYPERLINK("https://klasma.github.io/Logging_2581/klagomål/A 50015-2021 FSC-klagomål.docx", "A 50015-2021")</f>
        <v/>
      </c>
      <c r="Z63">
        <f>HYPERLINK("https://klasma.github.io/Logging_2581/klagomålsmail/A 50015-2021 FSC-klagomål mail.docx", "A 50015-2021")</f>
        <v/>
      </c>
      <c r="AA63">
        <f>HYPERLINK("https://klasma.github.io/Logging_2581/tillsyn/A 50015-2021 tillsynsbegäran.docx", "A 50015-2021")</f>
        <v/>
      </c>
      <c r="AB63">
        <f>HYPERLINK("https://klasma.github.io/Logging_2581/tillsynsmail/A 50015-2021 tillsynsbegäran mail.docx", "A 50015-2021")</f>
        <v/>
      </c>
    </row>
    <row r="64" ht="15" customHeight="1">
      <c r="A64" t="inlineStr">
        <is>
          <t>A 50080-2024</t>
        </is>
      </c>
      <c r="B64" t="inlineStr">
        <is>
          <t>avverkningsanmälan</t>
        </is>
      </c>
      <c r="C64" t="inlineStr">
        <is>
          <t>Föryngringsavverkning</t>
        </is>
      </c>
      <c r="D64" s="1" t="n">
        <v>45600</v>
      </c>
      <c r="E64" s="1" t="n">
        <v>46219</v>
      </c>
      <c r="F64" t="inlineStr">
        <is>
          <t>NORRBOTTENS LÄN</t>
        </is>
      </c>
      <c r="G64" t="inlineStr">
        <is>
          <t>PITEÅ</t>
        </is>
      </c>
      <c r="H64" t="inlineStr">
        <is>
          <t>Sveaskog</t>
        </is>
      </c>
      <c r="I64" t="n">
        <v>8.800000000000001</v>
      </c>
      <c r="J64" t="n">
        <v>0</v>
      </c>
      <c r="K64" t="n">
        <v>1</v>
      </c>
      <c r="L64" t="n">
        <v>0</v>
      </c>
      <c r="M64" t="n">
        <v>0</v>
      </c>
      <c r="N64" t="n">
        <v>0</v>
      </c>
      <c r="O64" t="n">
        <v>0</v>
      </c>
      <c r="P64" t="n">
        <v>0</v>
      </c>
      <c r="Q64" t="n">
        <v>0</v>
      </c>
      <c r="R64" t="n">
        <v>0</v>
      </c>
      <c r="S64" t="n">
        <v>1</v>
      </c>
      <c r="T64" t="n">
        <v>1</v>
      </c>
      <c r="U64" s="2" t="inlineStr">
        <is>
          <t>Blodticka</t>
        </is>
      </c>
      <c r="V64">
        <f>HYPERLINK("https://klasma.github.io/Logging_2581/artfynd/A 50080-2024 artfynd.xlsx", "A 50080-2024")</f>
        <v/>
      </c>
      <c r="W64">
        <f>HYPERLINK("https://klasma.github.io/Logging_2581/kartor/A 50080-2024 karta.png", "A 50080-2024")</f>
        <v/>
      </c>
      <c r="Y64">
        <f>HYPERLINK("https://klasma.github.io/Logging_2581/klagomål/A 50080-2024 FSC-klagomål.docx", "A 50080-2024")</f>
        <v/>
      </c>
      <c r="Z64">
        <f>HYPERLINK("https://klasma.github.io/Logging_2581/klagomålsmail/A 50080-2024 FSC-klagomål mail.docx", "A 50080-2024")</f>
        <v/>
      </c>
      <c r="AA64">
        <f>HYPERLINK("https://klasma.github.io/Logging_2581/tillsyn/A 50080-2024 tillsynsbegäran.docx", "A 50080-2024")</f>
        <v/>
      </c>
      <c r="AB64">
        <f>HYPERLINK("https://klasma.github.io/Logging_2581/tillsynsmail/A 50080-2024 tillsynsbegäran mail.docx", "A 50080-2024")</f>
        <v/>
      </c>
    </row>
    <row r="65" ht="15" customHeight="1">
      <c r="A65" t="inlineStr">
        <is>
          <t>A 56501-2023</t>
        </is>
      </c>
      <c r="B65" t="inlineStr">
        <is>
          <t>avverkningsanmälan</t>
        </is>
      </c>
      <c r="C65" t="inlineStr">
        <is>
          <t>Föryngringsavverkning</t>
        </is>
      </c>
      <c r="D65" s="1" t="n">
        <v>45243</v>
      </c>
      <c r="E65" s="1" t="n">
        <v>46219</v>
      </c>
      <c r="F65" t="inlineStr">
        <is>
          <t>NORRBOTTENS LÄN</t>
        </is>
      </c>
      <c r="G65" t="inlineStr">
        <is>
          <t>PITEÅ</t>
        </is>
      </c>
      <c r="H65" t="inlineStr">
        <is>
          <t>Sveaskog</t>
        </is>
      </c>
      <c r="I65" t="n">
        <v>1.1</v>
      </c>
      <c r="J65" t="n">
        <v>0</v>
      </c>
      <c r="K65" t="n">
        <v>1</v>
      </c>
      <c r="L65" t="n">
        <v>0</v>
      </c>
      <c r="M65" t="n">
        <v>0</v>
      </c>
      <c r="N65" t="n">
        <v>0</v>
      </c>
      <c r="O65" t="n">
        <v>0</v>
      </c>
      <c r="P65" t="n">
        <v>0</v>
      </c>
      <c r="Q65" t="n">
        <v>0</v>
      </c>
      <c r="R65" t="n">
        <v>0</v>
      </c>
      <c r="S65" t="n">
        <v>1</v>
      </c>
      <c r="T65" t="n">
        <v>1</v>
      </c>
      <c r="U65" s="2" t="inlineStr">
        <is>
          <t>Vedticka</t>
        </is>
      </c>
      <c r="V65">
        <f>HYPERLINK("https://klasma.github.io/Logging_2581/artfynd/A 56501-2023 artfynd.xlsx", "A 56501-2023")</f>
        <v/>
      </c>
      <c r="W65">
        <f>HYPERLINK("https://klasma.github.io/Logging_2581/kartor/A 56501-2023 karta.png", "A 56501-2023")</f>
        <v/>
      </c>
      <c r="Y65">
        <f>HYPERLINK("https://klasma.github.io/Logging_2581/klagomål/A 56501-2023 FSC-klagomål.docx", "A 56501-2023")</f>
        <v/>
      </c>
      <c r="Z65">
        <f>HYPERLINK("https://klasma.github.io/Logging_2581/klagomålsmail/A 56501-2023 FSC-klagomål mail.docx", "A 56501-2023")</f>
        <v/>
      </c>
      <c r="AA65">
        <f>HYPERLINK("https://klasma.github.io/Logging_2581/tillsyn/A 56501-2023 tillsynsbegäran.docx", "A 56501-2023")</f>
        <v/>
      </c>
      <c r="AB65">
        <f>HYPERLINK("https://klasma.github.io/Logging_2581/tillsynsmail/A 56501-2023 tillsynsbegäran mail.docx", "A 56501-2023")</f>
        <v/>
      </c>
    </row>
    <row r="66" ht="15" customHeight="1">
      <c r="A66" t="inlineStr">
        <is>
          <t>A 42379-2024</t>
        </is>
      </c>
      <c r="B66" t="inlineStr">
        <is>
          <t>avverkningsanmälan</t>
        </is>
      </c>
      <c r="C66" t="inlineStr">
        <is>
          <t>Föryngringsavverkning</t>
        </is>
      </c>
      <c r="D66" s="1" t="n">
        <v>45564</v>
      </c>
      <c r="E66" s="1" t="n">
        <v>46219</v>
      </c>
      <c r="F66" t="inlineStr">
        <is>
          <t>NORRBOTTENS LÄN</t>
        </is>
      </c>
      <c r="G66" t="inlineStr">
        <is>
          <t>PITEÅ</t>
        </is>
      </c>
      <c r="I66" t="n">
        <v>21.6</v>
      </c>
      <c r="J66" t="n">
        <v>0</v>
      </c>
      <c r="K66" t="n">
        <v>0</v>
      </c>
      <c r="L66" t="n">
        <v>0</v>
      </c>
      <c r="M66" t="n">
        <v>0</v>
      </c>
      <c r="N66" t="n">
        <v>1</v>
      </c>
      <c r="O66" t="n">
        <v>0</v>
      </c>
      <c r="P66" t="n">
        <v>0</v>
      </c>
      <c r="Q66" t="n">
        <v>1</v>
      </c>
      <c r="R66" t="n">
        <v>1</v>
      </c>
      <c r="S66" t="n">
        <v>1</v>
      </c>
      <c r="T66" t="n">
        <v>1</v>
      </c>
      <c r="U66" s="2" t="inlineStr">
        <is>
          <t>Flodpärlmussla</t>
        </is>
      </c>
      <c r="V66">
        <f>HYPERLINK("https://klasma.github.io/Logging_2581/artfynd/A 42379-2024 artfynd.xlsx", "A 42379-2024")</f>
        <v/>
      </c>
      <c r="W66">
        <f>HYPERLINK("https://klasma.github.io/Logging_2581/kartor/A 42379-2024 karta.png", "A 42379-2024")</f>
        <v/>
      </c>
      <c r="Y66">
        <f>HYPERLINK("https://klasma.github.io/Logging_2581/klagomål/A 42379-2024 FSC-klagomål.docx", "A 42379-2024")</f>
        <v/>
      </c>
      <c r="Z66">
        <f>HYPERLINK("https://klasma.github.io/Logging_2581/klagomålsmail/A 42379-2024 FSC-klagomål mail.docx", "A 42379-2024")</f>
        <v/>
      </c>
      <c r="AA66">
        <f>HYPERLINK("https://klasma.github.io/Logging_2581/tillsyn/A 42379-2024 tillsynsbegäran.docx", "A 42379-2024")</f>
        <v/>
      </c>
      <c r="AB66">
        <f>HYPERLINK("https://klasma.github.io/Logging_2581/tillsynsmail/A 42379-2024 tillsynsbegäran mail.docx", "A 42379-2024")</f>
        <v/>
      </c>
    </row>
    <row r="67" ht="15" customHeight="1">
      <c r="A67" t="inlineStr">
        <is>
          <t>A 41703-2025</t>
        </is>
      </c>
      <c r="B67" t="inlineStr">
        <is>
          <t>avverkningsanmälan</t>
        </is>
      </c>
      <c r="C67" t="inlineStr">
        <is>
          <t>Föryngringsavverkning</t>
        </is>
      </c>
      <c r="D67" s="1" t="n">
        <v>45902</v>
      </c>
      <c r="E67" s="1" t="n">
        <v>46219</v>
      </c>
      <c r="F67" t="inlineStr">
        <is>
          <t>NORRBOTTENS LÄN</t>
        </is>
      </c>
      <c r="G67" t="inlineStr">
        <is>
          <t>PITEÅ</t>
        </is>
      </c>
      <c r="I67" t="n">
        <v>3.2</v>
      </c>
      <c r="J67" t="n">
        <v>0</v>
      </c>
      <c r="K67" t="n">
        <v>1</v>
      </c>
      <c r="L67" t="n">
        <v>0</v>
      </c>
      <c r="M67" t="n">
        <v>0</v>
      </c>
      <c r="N67" t="n">
        <v>0</v>
      </c>
      <c r="O67" t="n">
        <v>0</v>
      </c>
      <c r="P67" t="n">
        <v>0</v>
      </c>
      <c r="Q67" t="n">
        <v>0</v>
      </c>
      <c r="R67" t="n">
        <v>0</v>
      </c>
      <c r="S67" t="n">
        <v>1</v>
      </c>
      <c r="T67" t="n">
        <v>1</v>
      </c>
      <c r="U67" s="2" t="inlineStr">
        <is>
          <t>Skinnlav</t>
        </is>
      </c>
      <c r="V67">
        <f>HYPERLINK("https://klasma.github.io/Logging_2581/artfynd/A 41703-2025 artfynd.xlsx", "A 41703-2025")</f>
        <v/>
      </c>
      <c r="W67">
        <f>HYPERLINK("https://klasma.github.io/Logging_2581/kartor/A 41703-2025 karta.png", "A 41703-2025")</f>
        <v/>
      </c>
      <c r="Y67">
        <f>HYPERLINK("https://klasma.github.io/Logging_2581/klagomål/A 41703-2025 FSC-klagomål.docx", "A 41703-2025")</f>
        <v/>
      </c>
      <c r="Z67">
        <f>HYPERLINK("https://klasma.github.io/Logging_2581/klagomålsmail/A 41703-2025 FSC-klagomål mail.docx", "A 41703-2025")</f>
        <v/>
      </c>
      <c r="AA67">
        <f>HYPERLINK("https://klasma.github.io/Logging_2581/tillsyn/A 41703-2025 tillsynsbegäran.docx", "A 41703-2025")</f>
        <v/>
      </c>
      <c r="AB67">
        <f>HYPERLINK("https://klasma.github.io/Logging_2581/tillsynsmail/A 41703-2025 tillsynsbegäran mail.docx", "A 41703-2025")</f>
        <v/>
      </c>
    </row>
    <row r="68" ht="15" customHeight="1">
      <c r="A68" t="inlineStr">
        <is>
          <t>A 43147-2025</t>
        </is>
      </c>
      <c r="B68" t="inlineStr">
        <is>
          <t>avverkningsanmälan</t>
        </is>
      </c>
      <c r="C68" t="inlineStr">
        <is>
          <t>Föryngringsavverkning</t>
        </is>
      </c>
      <c r="D68" s="1" t="n">
        <v>45910</v>
      </c>
      <c r="E68" s="1" t="n">
        <v>46219</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s="2" t="inlineStr">
        <is>
          <t>Gammelgransskål</t>
        </is>
      </c>
      <c r="V68">
        <f>HYPERLINK("https://klasma.github.io/Logging_2581/artfynd/A 43147-2025 artfynd.xlsx", "A 43147-2025")</f>
        <v/>
      </c>
      <c r="W68">
        <f>HYPERLINK("https://klasma.github.io/Logging_2581/kartor/A 43147-2025 karta.png", "A 43147-2025")</f>
        <v/>
      </c>
      <c r="Y68">
        <f>HYPERLINK("https://klasma.github.io/Logging_2581/klagomål/A 43147-2025 FSC-klagomål.docx", "A 43147-2025")</f>
        <v/>
      </c>
      <c r="Z68">
        <f>HYPERLINK("https://klasma.github.io/Logging_2581/klagomålsmail/A 43147-2025 FSC-klagomål mail.docx", "A 43147-2025")</f>
        <v/>
      </c>
      <c r="AA68">
        <f>HYPERLINK("https://klasma.github.io/Logging_2581/tillsyn/A 43147-2025 tillsynsbegäran.docx", "A 43147-2025")</f>
        <v/>
      </c>
      <c r="AB68">
        <f>HYPERLINK("https://klasma.github.io/Logging_2581/tillsynsmail/A 43147-2025 tillsynsbegäran mail.docx", "A 43147-2025")</f>
        <v/>
      </c>
    </row>
    <row r="69" ht="15" customHeight="1">
      <c r="A69" t="inlineStr">
        <is>
          <t>A 44447-2025</t>
        </is>
      </c>
      <c r="B69" t="inlineStr">
        <is>
          <t>avverkningsanmälan</t>
        </is>
      </c>
      <c r="C69" t="inlineStr">
        <is>
          <t>Föryngringsavverkning</t>
        </is>
      </c>
      <c r="D69" s="1" t="n">
        <v>45916</v>
      </c>
      <c r="E69" s="1" t="n">
        <v>46219</v>
      </c>
      <c r="F69" t="inlineStr">
        <is>
          <t>NORRBOTTENS LÄN</t>
        </is>
      </c>
      <c r="G69" t="inlineStr">
        <is>
          <t>PITEÅ</t>
        </is>
      </c>
      <c r="H69" t="inlineStr">
        <is>
          <t>Sveaskog</t>
        </is>
      </c>
      <c r="I69" t="n">
        <v>35.9</v>
      </c>
      <c r="J69" t="n">
        <v>0</v>
      </c>
      <c r="K69" t="n">
        <v>0</v>
      </c>
      <c r="L69" t="n">
        <v>1</v>
      </c>
      <c r="M69" t="n">
        <v>0</v>
      </c>
      <c r="N69" t="n">
        <v>0</v>
      </c>
      <c r="O69" t="n">
        <v>0</v>
      </c>
      <c r="P69" t="n">
        <v>0</v>
      </c>
      <c r="Q69" t="n">
        <v>1</v>
      </c>
      <c r="R69" t="n">
        <v>0</v>
      </c>
      <c r="S69" t="n">
        <v>1</v>
      </c>
      <c r="T69" t="n">
        <v>1</v>
      </c>
      <c r="U69" s="2" t="inlineStr">
        <is>
          <t>Gammelgransskål</t>
        </is>
      </c>
      <c r="V69">
        <f>HYPERLINK("https://klasma.github.io/Logging_2581/artfynd/A 44447-2025 artfynd.xlsx", "A 44447-2025")</f>
        <v/>
      </c>
      <c r="W69">
        <f>HYPERLINK("https://klasma.github.io/Logging_2581/kartor/A 44447-2025 karta.png", "A 44447-2025")</f>
        <v/>
      </c>
      <c r="Y69">
        <f>HYPERLINK("https://klasma.github.io/Logging_2581/klagomål/A 44447-2025 FSC-klagomål.docx", "A 44447-2025")</f>
        <v/>
      </c>
      <c r="Z69">
        <f>HYPERLINK("https://klasma.github.io/Logging_2581/klagomålsmail/A 44447-2025 FSC-klagomål mail.docx", "A 44447-2025")</f>
        <v/>
      </c>
      <c r="AA69">
        <f>HYPERLINK("https://klasma.github.io/Logging_2581/tillsyn/A 44447-2025 tillsynsbegäran.docx", "A 44447-2025")</f>
        <v/>
      </c>
      <c r="AB69">
        <f>HYPERLINK("https://klasma.github.io/Logging_2581/tillsynsmail/A 44447-2025 tillsynsbegäran mail.docx", "A 44447-2025")</f>
        <v/>
      </c>
    </row>
    <row r="70" ht="15" customHeight="1">
      <c r="A70" t="inlineStr">
        <is>
          <t>A 44858-2025</t>
        </is>
      </c>
      <c r="B70" t="inlineStr">
        <is>
          <t>avverkningsanmälan</t>
        </is>
      </c>
      <c r="C70" t="inlineStr">
        <is>
          <t>Föryngringsavverkning</t>
        </is>
      </c>
      <c r="D70" s="1" t="n">
        <v>45918</v>
      </c>
      <c r="E70" s="1" t="n">
        <v>46219</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s="2" t="inlineStr">
        <is>
          <t>Talltita</t>
        </is>
      </c>
      <c r="V70">
        <f>HYPERLINK("https://klasma.github.io/Logging_2581/artfynd/A 44858-2025 artfynd.xlsx", "A 44858-2025")</f>
        <v/>
      </c>
      <c r="W70">
        <f>HYPERLINK("https://klasma.github.io/Logging_2581/kartor/A 44858-2025 karta.png", "A 44858-2025")</f>
        <v/>
      </c>
      <c r="Y70">
        <f>HYPERLINK("https://klasma.github.io/Logging_2581/klagomål/A 44858-2025 FSC-klagomål.docx", "A 44858-2025")</f>
        <v/>
      </c>
      <c r="Z70">
        <f>HYPERLINK("https://klasma.github.io/Logging_2581/klagomålsmail/A 44858-2025 FSC-klagomål mail.docx", "A 44858-2025")</f>
        <v/>
      </c>
      <c r="AA70">
        <f>HYPERLINK("https://klasma.github.io/Logging_2581/tillsyn/A 44858-2025 tillsynsbegäran.docx", "A 44858-2025")</f>
        <v/>
      </c>
      <c r="AB70">
        <f>HYPERLINK("https://klasma.github.io/Logging_2581/tillsynsmail/A 44858-2025 tillsynsbegäran mail.docx", "A 44858-2025")</f>
        <v/>
      </c>
      <c r="AC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46219</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s="2" t="inlineStr">
        <is>
          <t>Garnlav</t>
        </is>
      </c>
      <c r="V71">
        <f>HYPERLINK("https://klasma.github.io/Logging_2581/artfynd/A 45629-2025 artfynd.xlsx", "A 45629-2025")</f>
        <v/>
      </c>
      <c r="W71">
        <f>HYPERLINK("https://klasma.github.io/Logging_2581/kartor/A 45629-2025 karta.png", "A 45629-2025")</f>
        <v/>
      </c>
      <c r="Y71">
        <f>HYPERLINK("https://klasma.github.io/Logging_2581/klagomål/A 45629-2025 FSC-klagomål.docx", "A 45629-2025")</f>
        <v/>
      </c>
      <c r="Z71">
        <f>HYPERLINK("https://klasma.github.io/Logging_2581/klagomålsmail/A 45629-2025 FSC-klagomål mail.docx", "A 45629-2025")</f>
        <v/>
      </c>
      <c r="AA71">
        <f>HYPERLINK("https://klasma.github.io/Logging_2581/tillsyn/A 45629-2025 tillsynsbegäran.docx", "A 45629-2025")</f>
        <v/>
      </c>
      <c r="AB71">
        <f>HYPERLINK("https://klasma.github.io/Logging_2581/tillsynsmail/A 45629-2025 tillsynsbegäran mail.docx", "A 45629-2025")</f>
        <v/>
      </c>
    </row>
    <row r="72" ht="15" customHeight="1">
      <c r="A72" t="inlineStr">
        <is>
          <t>A 67917-2021</t>
        </is>
      </c>
      <c r="B72" t="inlineStr">
        <is>
          <t>avverkningsanmälan</t>
        </is>
      </c>
      <c r="C72" t="inlineStr">
        <is>
          <t>Avverkning för att bevara och utveckla /försöksver</t>
        </is>
      </c>
      <c r="D72" s="1" t="n">
        <v>44525</v>
      </c>
      <c r="E72" s="1" t="n">
        <v>46219</v>
      </c>
      <c r="F72" t="inlineStr">
        <is>
          <t>NORRBOTTENS LÄN</t>
        </is>
      </c>
      <c r="G72" t="inlineStr">
        <is>
          <t>PITEÅ</t>
        </is>
      </c>
      <c r="H72" t="inlineStr">
        <is>
          <t>Sveaskog</t>
        </is>
      </c>
      <c r="I72" t="n">
        <v>4.2</v>
      </c>
      <c r="J72" t="n">
        <v>0</v>
      </c>
      <c r="K72" t="n">
        <v>1</v>
      </c>
      <c r="L72" t="n">
        <v>0</v>
      </c>
      <c r="M72" t="n">
        <v>0</v>
      </c>
      <c r="N72" t="n">
        <v>0</v>
      </c>
      <c r="O72" t="n">
        <v>0</v>
      </c>
      <c r="P72" t="n">
        <v>0</v>
      </c>
      <c r="Q72" t="n">
        <v>0</v>
      </c>
      <c r="R72" t="n">
        <v>0</v>
      </c>
      <c r="S72" t="n">
        <v>1</v>
      </c>
      <c r="T72" t="n">
        <v>1</v>
      </c>
      <c r="U72" s="2" t="inlineStr">
        <is>
          <t>Stor aspticka</t>
        </is>
      </c>
      <c r="V72">
        <f>HYPERLINK("https://klasma.github.io/Logging_2581/artfynd/A 67917-2021 artfynd.xlsx", "A 67917-2021")</f>
        <v/>
      </c>
      <c r="W72">
        <f>HYPERLINK("https://klasma.github.io/Logging_2581/kartor/A 67917-2021 karta.png", "A 67917-2021")</f>
        <v/>
      </c>
      <c r="Y72">
        <f>HYPERLINK("https://klasma.github.io/Logging_2581/klagomål/A 67917-2021 FSC-klagomål.docx", "A 67917-2021")</f>
        <v/>
      </c>
      <c r="Z72">
        <f>HYPERLINK("https://klasma.github.io/Logging_2581/klagomålsmail/A 67917-2021 FSC-klagomål mail.docx", "A 67917-2021")</f>
        <v/>
      </c>
      <c r="AA72">
        <f>HYPERLINK("https://klasma.github.io/Logging_2581/tillsyn/A 67917-2021 tillsynsbegäran.docx", "A 67917-2021")</f>
        <v/>
      </c>
      <c r="AB72">
        <f>HYPERLINK("https://klasma.github.io/Logging_2581/tillsynsmail/A 67917-2021 tillsynsbegäran mail.docx", "A 67917-2021")</f>
        <v/>
      </c>
    </row>
    <row r="73" ht="15" customHeight="1">
      <c r="A73" t="inlineStr">
        <is>
          <t>A 50486-2025</t>
        </is>
      </c>
      <c r="B73" t="inlineStr">
        <is>
          <t>avverkningsanmälan</t>
        </is>
      </c>
      <c r="C73" t="inlineStr">
        <is>
          <t>Föryngringsavverkning</t>
        </is>
      </c>
      <c r="D73" s="1" t="n">
        <v>45945</v>
      </c>
      <c r="E73" s="1" t="n">
        <v>46219</v>
      </c>
      <c r="F73" t="inlineStr">
        <is>
          <t>NORRBOTTENS LÄN</t>
        </is>
      </c>
      <c r="G73" t="inlineStr">
        <is>
          <t>PITEÅ</t>
        </is>
      </c>
      <c r="I73" t="n">
        <v>4.2</v>
      </c>
      <c r="J73" t="n">
        <v>1</v>
      </c>
      <c r="K73" t="n">
        <v>0</v>
      </c>
      <c r="L73" t="n">
        <v>0</v>
      </c>
      <c r="M73" t="n">
        <v>0</v>
      </c>
      <c r="N73" t="n">
        <v>0</v>
      </c>
      <c r="O73" t="n">
        <v>0</v>
      </c>
      <c r="P73" t="n">
        <v>0</v>
      </c>
      <c r="Q73" t="n">
        <v>0</v>
      </c>
      <c r="R73" t="n">
        <v>0</v>
      </c>
      <c r="S73" t="n">
        <v>1</v>
      </c>
      <c r="T73" t="n">
        <v>2</v>
      </c>
      <c r="U73" s="2" t="inlineStr">
        <is>
          <t>Fläcknycklar</t>
        </is>
      </c>
      <c r="V73">
        <f>HYPERLINK("https://klasma.github.io/Logging_2581/artfynd/A 50486-2025 artfynd.xlsx", "A 50486-2025")</f>
        <v/>
      </c>
      <c r="W73">
        <f>HYPERLINK("https://klasma.github.io/Logging_2581/kartor/A 50486-2025 karta.png", "A 50486-2025")</f>
        <v/>
      </c>
      <c r="Y73">
        <f>HYPERLINK("https://klasma.github.io/Logging_2581/klagomål/A 50486-2025 FSC-klagomål.docx", "A 50486-2025")</f>
        <v/>
      </c>
      <c r="Z73">
        <f>HYPERLINK("https://klasma.github.io/Logging_2581/klagomålsmail/A 50486-2025 FSC-klagomål mail.docx", "A 50486-2025")</f>
        <v/>
      </c>
      <c r="AA73">
        <f>HYPERLINK("https://klasma.github.io/Logging_2581/tillsyn/A 50486-2025 tillsynsbegäran.docx", "A 50486-2025")</f>
        <v/>
      </c>
      <c r="AB73">
        <f>HYPERLINK("https://klasma.github.io/Logging_2581/tillsynsmail/A 50486-2025 tillsynsbegäran mail.docx", "A 50486-2025")</f>
        <v/>
      </c>
    </row>
    <row r="74" ht="15" customHeight="1">
      <c r="A74" t="inlineStr">
        <is>
          <t>A 50447-2025</t>
        </is>
      </c>
      <c r="B74" t="inlineStr">
        <is>
          <t>avverkningsanmälan</t>
        </is>
      </c>
      <c r="C74" t="inlineStr">
        <is>
          <t>Föryngringsavverkning</t>
        </is>
      </c>
      <c r="D74" s="1" t="n">
        <v>45945</v>
      </c>
      <c r="E74" s="1" t="n">
        <v>46219</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s="2" t="inlineStr">
        <is>
          <t>Doftticka</t>
        </is>
      </c>
      <c r="V74">
        <f>HYPERLINK("https://klasma.github.io/Logging_2581/artfynd/A 50447-2025 artfynd.xlsx", "A 50447-2025")</f>
        <v/>
      </c>
      <c r="W74">
        <f>HYPERLINK("https://klasma.github.io/Logging_2581/kartor/A 50447-2025 karta.png", "A 50447-2025")</f>
        <v/>
      </c>
      <c r="Y74">
        <f>HYPERLINK("https://klasma.github.io/Logging_2581/klagomål/A 50447-2025 FSC-klagomål.docx", "A 50447-2025")</f>
        <v/>
      </c>
      <c r="Z74">
        <f>HYPERLINK("https://klasma.github.io/Logging_2581/klagomålsmail/A 50447-2025 FSC-klagomål mail.docx", "A 50447-2025")</f>
        <v/>
      </c>
      <c r="AA74">
        <f>HYPERLINK("https://klasma.github.io/Logging_2581/tillsyn/A 50447-2025 tillsynsbegäran.docx", "A 50447-2025")</f>
        <v/>
      </c>
      <c r="AB74">
        <f>HYPERLINK("https://klasma.github.io/Logging_2581/tillsynsmail/A 50447-2025 tillsynsbegäran mail.docx", "A 50447-2025")</f>
        <v/>
      </c>
    </row>
    <row r="75" ht="15" customHeight="1">
      <c r="A75" t="inlineStr">
        <is>
          <t>A 31488-2023</t>
        </is>
      </c>
      <c r="B75" t="inlineStr">
        <is>
          <t>avverkningsanmälan</t>
        </is>
      </c>
      <c r="C75" t="inlineStr">
        <is>
          <t>Föryngringsavverkning</t>
        </is>
      </c>
      <c r="D75" s="1" t="n">
        <v>45114</v>
      </c>
      <c r="E75" s="1" t="n">
        <v>46219</v>
      </c>
      <c r="F75" t="inlineStr">
        <is>
          <t>NORRBOTTENS LÄN</t>
        </is>
      </c>
      <c r="G75" t="inlineStr">
        <is>
          <t>PITEÅ</t>
        </is>
      </c>
      <c r="I75" t="n">
        <v>5.2</v>
      </c>
      <c r="J75" t="n">
        <v>0</v>
      </c>
      <c r="K75" t="n">
        <v>0</v>
      </c>
      <c r="L75" t="n">
        <v>1</v>
      </c>
      <c r="M75" t="n">
        <v>0</v>
      </c>
      <c r="N75" t="n">
        <v>0</v>
      </c>
      <c r="O75" t="n">
        <v>0</v>
      </c>
      <c r="P75" t="n">
        <v>0</v>
      </c>
      <c r="Q75" t="n">
        <v>1</v>
      </c>
      <c r="R75" t="n">
        <v>0</v>
      </c>
      <c r="S75" t="n">
        <v>1</v>
      </c>
      <c r="T75" t="n">
        <v>1</v>
      </c>
      <c r="U75" s="2" t="inlineStr">
        <is>
          <t>Motaggsvamp</t>
        </is>
      </c>
      <c r="V75">
        <f>HYPERLINK("https://klasma.github.io/Logging_2581/artfynd/A 31488-2023 artfynd.xlsx", "A 31488-2023")</f>
        <v/>
      </c>
      <c r="W75">
        <f>HYPERLINK("https://klasma.github.io/Logging_2581/kartor/A 31488-2023 karta.png", "A 31488-2023")</f>
        <v/>
      </c>
      <c r="Y75">
        <f>HYPERLINK("https://klasma.github.io/Logging_2581/klagomål/A 31488-2023 FSC-klagomål.docx", "A 31488-2023")</f>
        <v/>
      </c>
      <c r="Z75">
        <f>HYPERLINK("https://klasma.github.io/Logging_2581/klagomålsmail/A 31488-2023 FSC-klagomål mail.docx", "A 31488-2023")</f>
        <v/>
      </c>
      <c r="AA75">
        <f>HYPERLINK("https://klasma.github.io/Logging_2581/tillsyn/A 31488-2023 tillsynsbegäran.docx", "A 31488-2023")</f>
        <v/>
      </c>
      <c r="AB75">
        <f>HYPERLINK("https://klasma.github.io/Logging_2581/tillsynsmail/A 31488-2023 tillsynsbegäran mail.docx", "A 31488-2023")</f>
        <v/>
      </c>
    </row>
    <row r="76" ht="15" customHeight="1">
      <c r="A76" t="inlineStr">
        <is>
          <t>A 23727-2026</t>
        </is>
      </c>
      <c r="B76" t="inlineStr">
        <is>
          <t>avverkningsanmälan</t>
        </is>
      </c>
      <c r="C76" t="inlineStr">
        <is>
          <t>Föryngringsavverkning</t>
        </is>
      </c>
      <c r="D76" s="1" t="n">
        <v>46164</v>
      </c>
      <c r="E76" s="1" t="n">
        <v>46219</v>
      </c>
      <c r="F76" t="inlineStr">
        <is>
          <t>NORRBOTTENS LÄN</t>
        </is>
      </c>
      <c r="G76" t="inlineStr">
        <is>
          <t>PITEÅ</t>
        </is>
      </c>
      <c r="H76" t="inlineStr">
        <is>
          <t>Sveaskog</t>
        </is>
      </c>
      <c r="I76" t="n">
        <v>4.2</v>
      </c>
      <c r="J76" t="n">
        <v>0</v>
      </c>
      <c r="K76" t="n">
        <v>0</v>
      </c>
      <c r="L76" t="n">
        <v>1</v>
      </c>
      <c r="M76" t="n">
        <v>0</v>
      </c>
      <c r="N76" t="n">
        <v>0</v>
      </c>
      <c r="O76" t="n">
        <v>0</v>
      </c>
      <c r="P76" t="n">
        <v>0</v>
      </c>
      <c r="Q76" t="n">
        <v>1</v>
      </c>
      <c r="R76" t="n">
        <v>0</v>
      </c>
      <c r="S76" t="n">
        <v>1</v>
      </c>
      <c r="T76" t="n">
        <v>1</v>
      </c>
      <c r="U76" s="2" t="inlineStr">
        <is>
          <t>Dropptaggsvamp</t>
        </is>
      </c>
      <c r="V76">
        <f>HYPERLINK("https://klasma.github.io/Logging_2581/artfynd/A 23727-2026 artfynd.xlsx", "A 23727-2026")</f>
        <v/>
      </c>
      <c r="W76">
        <f>HYPERLINK("https://klasma.github.io/Logging_2581/kartor/A 23727-2026 karta.png", "A 23727-2026")</f>
        <v/>
      </c>
      <c r="Y76">
        <f>HYPERLINK("https://klasma.github.io/Logging_2581/klagomål/A 23727-2026 FSC-klagomål.docx", "A 23727-2026")</f>
        <v/>
      </c>
      <c r="Z76">
        <f>HYPERLINK("https://klasma.github.io/Logging_2581/klagomålsmail/A 23727-2026 FSC-klagomål mail.docx", "A 23727-2026")</f>
        <v/>
      </c>
      <c r="AA76">
        <f>HYPERLINK("https://klasma.github.io/Logging_2581/tillsyn/A 23727-2026 tillsynsbegäran.docx", "A 23727-2026")</f>
        <v/>
      </c>
      <c r="AB76">
        <f>HYPERLINK("https://klasma.github.io/Logging_2581/tillsynsmail/A 23727-2026 tillsynsbegäran mail.docx", "A 23727-2026")</f>
        <v/>
      </c>
    </row>
    <row r="77" ht="15" customHeight="1">
      <c r="A77" t="inlineStr">
        <is>
          <t>A 30012-2026</t>
        </is>
      </c>
      <c r="B77" t="inlineStr">
        <is>
          <t>avverkningsanmälan</t>
        </is>
      </c>
      <c r="C77" t="inlineStr">
        <is>
          <t>Avverkning för annat ändamål</t>
        </is>
      </c>
      <c r="D77" s="1" t="n">
        <v>46206</v>
      </c>
      <c r="E77" s="1" t="n">
        <v>46219</v>
      </c>
      <c r="F77" t="inlineStr">
        <is>
          <t>NORRBOTTENS LÄN</t>
        </is>
      </c>
      <c r="G77" t="inlineStr">
        <is>
          <t>PITEÅ</t>
        </is>
      </c>
      <c r="H77" t="inlineStr">
        <is>
          <t>Sveaskog</t>
        </is>
      </c>
      <c r="I77" t="n">
        <v>2.1</v>
      </c>
      <c r="J77" t="n">
        <v>1</v>
      </c>
      <c r="K77" t="n">
        <v>0</v>
      </c>
      <c r="L77" t="n">
        <v>0</v>
      </c>
      <c r="M77" t="n">
        <v>0</v>
      </c>
      <c r="N77" t="n">
        <v>0</v>
      </c>
      <c r="O77" t="n">
        <v>0</v>
      </c>
      <c r="P77" t="n">
        <v>0</v>
      </c>
      <c r="Q77" t="n">
        <v>0</v>
      </c>
      <c r="R77" t="n">
        <v>0</v>
      </c>
      <c r="S77" t="n">
        <v>1</v>
      </c>
      <c r="T77" t="n">
        <v>1</v>
      </c>
      <c r="U77" s="2" t="inlineStr">
        <is>
          <t>Revlummer</t>
        </is>
      </c>
      <c r="V77">
        <f>HYPERLINK("https://klasma.github.io/Logging_2581/artfynd/A 30012-2026 artfynd.xlsx", "A 30012-2026")</f>
        <v/>
      </c>
      <c r="W77">
        <f>HYPERLINK("https://klasma.github.io/Logging_2581/kartor/A 30012-2026 karta.png", "A 30012-2026")</f>
        <v/>
      </c>
      <c r="Y77">
        <f>HYPERLINK("https://klasma.github.io/Logging_2581/klagomål/A 30012-2026 FSC-klagomål.docx", "A 30012-2026")</f>
        <v/>
      </c>
      <c r="Z77">
        <f>HYPERLINK("https://klasma.github.io/Logging_2581/klagomålsmail/A 30012-2026 FSC-klagomål mail.docx", "A 30012-2026")</f>
        <v/>
      </c>
      <c r="AA77">
        <f>HYPERLINK("https://klasma.github.io/Logging_2581/tillsyn/A 30012-2026 tillsynsbegäran.docx", "A 30012-2026")</f>
        <v/>
      </c>
      <c r="AB77">
        <f>HYPERLINK("https://klasma.github.io/Logging_2581/tillsynsmail/A 30012-2026 tillsynsbegäran mail.docx", "A 30012-2026")</f>
        <v/>
      </c>
    </row>
    <row r="78" ht="15" customHeight="1">
      <c r="A78" t="inlineStr">
        <is>
          <t>A 30497-2026</t>
        </is>
      </c>
      <c r="B78" t="inlineStr">
        <is>
          <t>avverkningsanmälan</t>
        </is>
      </c>
      <c r="C78" t="inlineStr">
        <is>
          <t>Föryngringsavverkning</t>
        </is>
      </c>
      <c r="D78" s="1" t="n">
        <v>46210</v>
      </c>
      <c r="E78" s="1" t="n">
        <v>46219</v>
      </c>
      <c r="F78" t="inlineStr">
        <is>
          <t>NORRBOTTENS LÄN</t>
        </is>
      </c>
      <c r="G78" t="inlineStr">
        <is>
          <t>PITEÅ</t>
        </is>
      </c>
      <c r="H78" t="inlineStr">
        <is>
          <t>Sveaskog</t>
        </is>
      </c>
      <c r="I78" t="n">
        <v>36.2</v>
      </c>
      <c r="J78" t="n">
        <v>0</v>
      </c>
      <c r="K78" t="n">
        <v>0</v>
      </c>
      <c r="L78" t="n">
        <v>1</v>
      </c>
      <c r="M78" t="n">
        <v>0</v>
      </c>
      <c r="N78" t="n">
        <v>0</v>
      </c>
      <c r="O78" t="n">
        <v>0</v>
      </c>
      <c r="P78" t="n">
        <v>0</v>
      </c>
      <c r="Q78" t="n">
        <v>1</v>
      </c>
      <c r="R78" t="n">
        <v>0</v>
      </c>
      <c r="S78" t="n">
        <v>1</v>
      </c>
      <c r="T78" t="n">
        <v>1</v>
      </c>
      <c r="U78" s="2" t="inlineStr">
        <is>
          <t>Lunglav</t>
        </is>
      </c>
      <c r="V78">
        <f>HYPERLINK("https://klasma.github.io/Logging_2581/artfynd/A 30497-2026 artfynd.xlsx", "A 30497-2026")</f>
        <v/>
      </c>
      <c r="W78">
        <f>HYPERLINK("https://klasma.github.io/Logging_2581/kartor/A 30497-2026 karta.png", "A 30497-2026")</f>
        <v/>
      </c>
      <c r="Y78">
        <f>HYPERLINK("https://klasma.github.io/Logging_2581/klagomål/A 30497-2026 FSC-klagomål.docx", "A 30497-2026")</f>
        <v/>
      </c>
      <c r="Z78">
        <f>HYPERLINK("https://klasma.github.io/Logging_2581/klagomålsmail/A 30497-2026 FSC-klagomål mail.docx", "A 30497-2026")</f>
        <v/>
      </c>
      <c r="AA78">
        <f>HYPERLINK("https://klasma.github.io/Logging_2581/tillsyn/A 30497-2026 tillsynsbegäran.docx", "A 30497-2026")</f>
        <v/>
      </c>
      <c r="AB78">
        <f>HYPERLINK("https://klasma.github.io/Logging_2581/tillsynsmail/A 30497-2026 tillsynsbegäran mail.docx", "A 30497-2026")</f>
        <v/>
      </c>
    </row>
    <row r="79" ht="15" customHeight="1">
      <c r="A79" t="inlineStr">
        <is>
          <t>A 23944-2026</t>
        </is>
      </c>
      <c r="B79" t="inlineStr">
        <is>
          <t>avverkningsanmälan</t>
        </is>
      </c>
      <c r="C79" t="inlineStr">
        <is>
          <t>Föryngringsavverkning</t>
        </is>
      </c>
      <c r="D79" s="1" t="n">
        <v>46167</v>
      </c>
      <c r="E79" s="1" t="n">
        <v>46219</v>
      </c>
      <c r="F79" t="inlineStr">
        <is>
          <t>NORRBOTTENS LÄN</t>
        </is>
      </c>
      <c r="G79" t="inlineStr">
        <is>
          <t>PITEÅ</t>
        </is>
      </c>
      <c r="H79" t="inlineStr">
        <is>
          <t>Sveaskog</t>
        </is>
      </c>
      <c r="I79" t="n">
        <v>6</v>
      </c>
      <c r="J79" t="n">
        <v>0</v>
      </c>
      <c r="K79" t="n">
        <v>0</v>
      </c>
      <c r="L79" t="n">
        <v>1</v>
      </c>
      <c r="M79" t="n">
        <v>0</v>
      </c>
      <c r="N79" t="n">
        <v>0</v>
      </c>
      <c r="O79" t="n">
        <v>0</v>
      </c>
      <c r="P79" t="n">
        <v>0</v>
      </c>
      <c r="Q79" t="n">
        <v>1</v>
      </c>
      <c r="R79" t="n">
        <v>0</v>
      </c>
      <c r="S79" t="n">
        <v>1</v>
      </c>
      <c r="T79" t="n">
        <v>1</v>
      </c>
      <c r="U79" s="2" t="inlineStr">
        <is>
          <t>Lunglav</t>
        </is>
      </c>
      <c r="V79">
        <f>HYPERLINK("https://klasma.github.io/Logging_2581/artfynd/A 23944-2026 artfynd.xlsx", "A 23944-2026")</f>
        <v/>
      </c>
      <c r="W79">
        <f>HYPERLINK("https://klasma.github.io/Logging_2581/kartor/A 23944-2026 karta.png", "A 23944-2026")</f>
        <v/>
      </c>
      <c r="Y79">
        <f>HYPERLINK("https://klasma.github.io/Logging_2581/klagomål/A 23944-2026 FSC-klagomål.docx", "A 23944-2026")</f>
        <v/>
      </c>
      <c r="Z79">
        <f>HYPERLINK("https://klasma.github.io/Logging_2581/klagomålsmail/A 23944-2026 FSC-klagomål mail.docx", "A 23944-2026")</f>
        <v/>
      </c>
      <c r="AA79">
        <f>HYPERLINK("https://klasma.github.io/Logging_2581/tillsyn/A 23944-2026 tillsynsbegäran.docx", "A 23944-2026")</f>
        <v/>
      </c>
      <c r="AB79">
        <f>HYPERLINK("https://klasma.github.io/Logging_2581/tillsynsmail/A 23944-2026 tillsynsbegäran mail.docx", "A 23944-2026")</f>
        <v/>
      </c>
    </row>
    <row r="80" ht="15" customHeight="1">
      <c r="A80" t="inlineStr">
        <is>
          <t>A 55338-2025</t>
        </is>
      </c>
      <c r="B80" t="inlineStr">
        <is>
          <t>avverkningsanmälan</t>
        </is>
      </c>
      <c r="C80" t="inlineStr">
        <is>
          <t>Föryngringsavverkning</t>
        </is>
      </c>
      <c r="D80" s="1" t="n">
        <v>45971</v>
      </c>
      <c r="E80" s="1" t="n">
        <v>46219</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s="2" t="inlineStr">
        <is>
          <t>Tallticka</t>
        </is>
      </c>
      <c r="V80">
        <f>HYPERLINK("https://klasma.github.io/Logging_2581/artfynd/A 55338-2025 artfynd.xlsx", "A 55338-2025")</f>
        <v/>
      </c>
      <c r="W80">
        <f>HYPERLINK("https://klasma.github.io/Logging_2581/kartor/A 55338-2025 karta.png", "A 55338-2025")</f>
        <v/>
      </c>
      <c r="Y80">
        <f>HYPERLINK("https://klasma.github.io/Logging_2581/klagomål/A 55338-2025 FSC-klagomål.docx", "A 55338-2025")</f>
        <v/>
      </c>
      <c r="Z80">
        <f>HYPERLINK("https://klasma.github.io/Logging_2581/klagomålsmail/A 55338-2025 FSC-klagomål mail.docx", "A 55338-2025")</f>
        <v/>
      </c>
      <c r="AA80">
        <f>HYPERLINK("https://klasma.github.io/Logging_2581/tillsyn/A 55338-2025 tillsynsbegäran.docx", "A 55338-2025")</f>
        <v/>
      </c>
      <c r="AB80">
        <f>HYPERLINK("https://klasma.github.io/Logging_2581/tillsynsmail/A 55338-2025 tillsynsbegäran mail.docx", "A 55338-2025")</f>
        <v/>
      </c>
    </row>
    <row r="81" ht="15" customHeight="1">
      <c r="A81" t="inlineStr">
        <is>
          <t>A 23075-2024</t>
        </is>
      </c>
      <c r="B81" t="inlineStr">
        <is>
          <t>avverkningsanmälan</t>
        </is>
      </c>
      <c r="C81" t="inlineStr">
        <is>
          <t>Föryngringsavverkning</t>
        </is>
      </c>
      <c r="D81" s="1" t="n">
        <v>45450</v>
      </c>
      <c r="E81" s="1" t="n">
        <v>46219</v>
      </c>
      <c r="F81" t="inlineStr">
        <is>
          <t>NORRBOTTENS LÄN</t>
        </is>
      </c>
      <c r="G81" t="inlineStr">
        <is>
          <t>PITEÅ</t>
        </is>
      </c>
      <c r="H81" t="inlineStr">
        <is>
          <t>Sveaskog</t>
        </is>
      </c>
      <c r="I81" t="n">
        <v>21.7</v>
      </c>
      <c r="J81" t="n">
        <v>0</v>
      </c>
      <c r="K81" t="n">
        <v>0</v>
      </c>
      <c r="L81" t="n">
        <v>1</v>
      </c>
      <c r="M81" t="n">
        <v>0</v>
      </c>
      <c r="N81" t="n">
        <v>0</v>
      </c>
      <c r="O81" t="n">
        <v>0</v>
      </c>
      <c r="P81" t="n">
        <v>0</v>
      </c>
      <c r="Q81" t="n">
        <v>1</v>
      </c>
      <c r="R81" t="n">
        <v>0</v>
      </c>
      <c r="S81" t="n">
        <v>1</v>
      </c>
      <c r="T81" t="n">
        <v>1</v>
      </c>
      <c r="U81" s="2" t="inlineStr">
        <is>
          <t>Violmussling</t>
        </is>
      </c>
      <c r="V81">
        <f>HYPERLINK("https://klasma.github.io/Logging_2581/artfynd/A 23075-2024 artfynd.xlsx", "A 23075-2024")</f>
        <v/>
      </c>
      <c r="W81">
        <f>HYPERLINK("https://klasma.github.io/Logging_2581/kartor/A 23075-2024 karta.png", "A 23075-2024")</f>
        <v/>
      </c>
      <c r="Y81">
        <f>HYPERLINK("https://klasma.github.io/Logging_2581/klagomål/A 23075-2024 FSC-klagomål.docx", "A 23075-2024")</f>
        <v/>
      </c>
      <c r="Z81">
        <f>HYPERLINK("https://klasma.github.io/Logging_2581/klagomålsmail/A 23075-2024 FSC-klagomål mail.docx", "A 23075-2024")</f>
        <v/>
      </c>
      <c r="AA81">
        <f>HYPERLINK("https://klasma.github.io/Logging_2581/tillsyn/A 23075-2024 tillsynsbegäran.docx", "A 23075-2024")</f>
        <v/>
      </c>
      <c r="AB81">
        <f>HYPERLINK("https://klasma.github.io/Logging_2581/tillsynsmail/A 23075-2024 tillsynsbegäran mail.docx", "A 23075-2024")</f>
        <v/>
      </c>
    </row>
    <row r="82" ht="15" customHeight="1">
      <c r="A82" t="inlineStr">
        <is>
          <t>A 59828-2025</t>
        </is>
      </c>
      <c r="B82" t="inlineStr">
        <is>
          <t>avverkningsanmälan</t>
        </is>
      </c>
      <c r="C82" t="inlineStr">
        <is>
          <t>Föryngringsavverkning</t>
        </is>
      </c>
      <c r="D82" s="1" t="n">
        <v>45992</v>
      </c>
      <c r="E82" s="1" t="n">
        <v>46219</v>
      </c>
      <c r="F82" t="inlineStr">
        <is>
          <t>NORRBOTTENS LÄN</t>
        </is>
      </c>
      <c r="G82" t="inlineStr">
        <is>
          <t>PITEÅ</t>
        </is>
      </c>
      <c r="H82" t="inlineStr">
        <is>
          <t>Sveaskog</t>
        </is>
      </c>
      <c r="I82" t="n">
        <v>6.7</v>
      </c>
      <c r="J82" t="n">
        <v>1</v>
      </c>
      <c r="K82" t="n">
        <v>0</v>
      </c>
      <c r="L82" t="n">
        <v>0</v>
      </c>
      <c r="M82" t="n">
        <v>1</v>
      </c>
      <c r="N82" t="n">
        <v>0</v>
      </c>
      <c r="O82" t="n">
        <v>0</v>
      </c>
      <c r="P82" t="n">
        <v>0</v>
      </c>
      <c r="Q82" t="n">
        <v>1</v>
      </c>
      <c r="R82" t="n">
        <v>1</v>
      </c>
      <c r="S82" t="n">
        <v>1</v>
      </c>
      <c r="T82" t="n">
        <v>1</v>
      </c>
      <c r="U82" s="2" t="inlineStr">
        <is>
          <t>Doftticka</t>
        </is>
      </c>
      <c r="V82">
        <f>HYPERLINK("https://klasma.github.io/Logging_2581/artfynd/A 59828-2025 artfynd.xlsx", "A 59828-2025")</f>
        <v/>
      </c>
      <c r="W82">
        <f>HYPERLINK("https://klasma.github.io/Logging_2581/kartor/A 59828-2025 karta.png", "A 59828-2025")</f>
        <v/>
      </c>
      <c r="Y82">
        <f>HYPERLINK("https://klasma.github.io/Logging_2581/klagomål/A 59828-2025 FSC-klagomål.docx", "A 59828-2025")</f>
        <v/>
      </c>
      <c r="Z82">
        <f>HYPERLINK("https://klasma.github.io/Logging_2581/klagomålsmail/A 59828-2025 FSC-klagomål mail.docx", "A 59828-2025")</f>
        <v/>
      </c>
      <c r="AA82">
        <f>HYPERLINK("https://klasma.github.io/Logging_2581/tillsyn/A 59828-2025 tillsynsbegäran.docx", "A 59828-2025")</f>
        <v/>
      </c>
      <c r="AB82">
        <f>HYPERLINK("https://klasma.github.io/Logging_2581/tillsynsmail/A 59828-2025 tillsynsbegäran mail.docx", "A 59828-2025")</f>
        <v/>
      </c>
    </row>
    <row r="83" ht="15" customHeight="1">
      <c r="A83" t="inlineStr">
        <is>
          <t>A 59422-2025</t>
        </is>
      </c>
      <c r="B83" t="inlineStr">
        <is>
          <t>avverkningsanmälan</t>
        </is>
      </c>
      <c r="C83" t="inlineStr">
        <is>
          <t>Föryngringsavverkning</t>
        </is>
      </c>
      <c r="D83" s="1" t="n">
        <v>45989</v>
      </c>
      <c r="E83" s="1" t="n">
        <v>46219</v>
      </c>
      <c r="F83" t="inlineStr">
        <is>
          <t>NORRBOTTENS LÄN</t>
        </is>
      </c>
      <c r="G83" t="inlineStr">
        <is>
          <t>PITEÅ</t>
        </is>
      </c>
      <c r="I83" t="n">
        <v>0.5</v>
      </c>
      <c r="J83" t="n">
        <v>0</v>
      </c>
      <c r="K83" t="n">
        <v>1</v>
      </c>
      <c r="L83" t="n">
        <v>0</v>
      </c>
      <c r="M83" t="n">
        <v>0</v>
      </c>
      <c r="N83" t="n">
        <v>0</v>
      </c>
      <c r="O83" t="n">
        <v>0</v>
      </c>
      <c r="P83" t="n">
        <v>0</v>
      </c>
      <c r="Q83" t="n">
        <v>0</v>
      </c>
      <c r="R83" t="n">
        <v>0</v>
      </c>
      <c r="S83" t="n">
        <v>1</v>
      </c>
      <c r="T83" t="n">
        <v>1</v>
      </c>
      <c r="U83" s="2" t="inlineStr">
        <is>
          <t>Större aspvedbock</t>
        </is>
      </c>
      <c r="V83">
        <f>HYPERLINK("https://klasma.github.io/Logging_2581/artfynd/A 59422-2025 artfynd.xlsx", "A 59422-2025")</f>
        <v/>
      </c>
      <c r="W83">
        <f>HYPERLINK("https://klasma.github.io/Logging_2581/kartor/A 59422-2025 karta.png", "A 59422-2025")</f>
        <v/>
      </c>
      <c r="Y83">
        <f>HYPERLINK("https://klasma.github.io/Logging_2581/klagomål/A 59422-2025 FSC-klagomål.docx", "A 59422-2025")</f>
        <v/>
      </c>
      <c r="Z83">
        <f>HYPERLINK("https://klasma.github.io/Logging_2581/klagomålsmail/A 59422-2025 FSC-klagomål mail.docx", "A 59422-2025")</f>
        <v/>
      </c>
      <c r="AA83">
        <f>HYPERLINK("https://klasma.github.io/Logging_2581/tillsyn/A 59422-2025 tillsynsbegäran.docx", "A 59422-2025")</f>
        <v/>
      </c>
      <c r="AB83">
        <f>HYPERLINK("https://klasma.github.io/Logging_2581/tillsynsmail/A 59422-2025 tillsynsbegäran mail.docx", "A 59422-2025")</f>
        <v/>
      </c>
    </row>
    <row r="84" ht="15" customHeight="1">
      <c r="A84" t="inlineStr">
        <is>
          <t>A 25114-2026</t>
        </is>
      </c>
      <c r="B84" t="inlineStr">
        <is>
          <t>avverkningsanmälan</t>
        </is>
      </c>
      <c r="C84" t="inlineStr">
        <is>
          <t>Föryngringsavverkning</t>
        </is>
      </c>
      <c r="D84" s="1" t="n">
        <v>46175</v>
      </c>
      <c r="E84" s="1" t="n">
        <v>46219</v>
      </c>
      <c r="F84" t="inlineStr">
        <is>
          <t>NORRBOTTENS LÄN</t>
        </is>
      </c>
      <c r="G84" t="inlineStr">
        <is>
          <t>PITEÅ</t>
        </is>
      </c>
      <c r="H84" t="inlineStr">
        <is>
          <t>SCA</t>
        </is>
      </c>
      <c r="I84" t="n">
        <v>8.300000000000001</v>
      </c>
      <c r="J84" t="n">
        <v>0</v>
      </c>
      <c r="K84" t="n">
        <v>0</v>
      </c>
      <c r="L84" t="n">
        <v>1</v>
      </c>
      <c r="M84" t="n">
        <v>0</v>
      </c>
      <c r="N84" t="n">
        <v>0</v>
      </c>
      <c r="O84" t="n">
        <v>0</v>
      </c>
      <c r="P84" t="n">
        <v>0</v>
      </c>
      <c r="Q84" t="n">
        <v>1</v>
      </c>
      <c r="R84" t="n">
        <v>0</v>
      </c>
      <c r="S84" t="n">
        <v>1</v>
      </c>
      <c r="T84" t="n">
        <v>1</v>
      </c>
      <c r="U84" s="2" t="inlineStr">
        <is>
          <t>Tallticka</t>
        </is>
      </c>
      <c r="V84">
        <f>HYPERLINK("https://klasma.github.io/Logging_2581/artfynd/A 25114-2026 artfynd.xlsx", "A 25114-2026")</f>
        <v/>
      </c>
      <c r="W84">
        <f>HYPERLINK("https://klasma.github.io/Logging_2581/kartor/A 25114-2026 karta.png", "A 25114-2026")</f>
        <v/>
      </c>
      <c r="Y84">
        <f>HYPERLINK("https://klasma.github.io/Logging_2581/klagomål/A 25114-2026 FSC-klagomål.docx", "A 25114-2026")</f>
        <v/>
      </c>
      <c r="Z84">
        <f>HYPERLINK("https://klasma.github.io/Logging_2581/klagomålsmail/A 25114-2026 FSC-klagomål mail.docx", "A 25114-2026")</f>
        <v/>
      </c>
      <c r="AA84">
        <f>HYPERLINK("https://klasma.github.io/Logging_2581/tillsyn/A 25114-2026 tillsynsbegäran.docx", "A 25114-2026")</f>
        <v/>
      </c>
      <c r="AB84">
        <f>HYPERLINK("https://klasma.github.io/Logging_2581/tillsynsmail/A 25114-2026 tillsynsbegäran mail.docx", "A 25114-2026")</f>
        <v/>
      </c>
    </row>
    <row r="85" ht="15" customHeight="1">
      <c r="A85" t="inlineStr">
        <is>
          <t>A 60686-2024</t>
        </is>
      </c>
      <c r="B85" t="inlineStr">
        <is>
          <t>avverkningsanmälan</t>
        </is>
      </c>
      <c r="C85" t="inlineStr">
        <is>
          <t>Föryngringsavverkning</t>
        </is>
      </c>
      <c r="D85" s="1" t="n">
        <v>45644</v>
      </c>
      <c r="E85" s="1" t="n">
        <v>46219</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s="2" t="inlineStr">
        <is>
          <t>Norrlandslav</t>
        </is>
      </c>
      <c r="V85">
        <f>HYPERLINK("https://klasma.github.io/Logging_2581/artfynd/A 60686-2024 artfynd.xlsx", "A 60686-2024")</f>
        <v/>
      </c>
      <c r="W85">
        <f>HYPERLINK("https://klasma.github.io/Logging_2581/kartor/A 60686-2024 karta.png", "A 60686-2024")</f>
        <v/>
      </c>
      <c r="Y85">
        <f>HYPERLINK("https://klasma.github.io/Logging_2581/klagomål/A 60686-2024 FSC-klagomål.docx", "A 60686-2024")</f>
        <v/>
      </c>
      <c r="Z85">
        <f>HYPERLINK("https://klasma.github.io/Logging_2581/klagomålsmail/A 60686-2024 FSC-klagomål mail.docx", "A 60686-2024")</f>
        <v/>
      </c>
      <c r="AA85">
        <f>HYPERLINK("https://klasma.github.io/Logging_2581/tillsyn/A 60686-2024 tillsynsbegäran.docx", "A 60686-2024")</f>
        <v/>
      </c>
      <c r="AB85">
        <f>HYPERLINK("https://klasma.github.io/Logging_2581/tillsynsmail/A 60686-2024 tillsynsbegäran mail.docx", "A 60686-2024")</f>
        <v/>
      </c>
    </row>
    <row r="86" ht="15" customHeight="1">
      <c r="A86" t="inlineStr">
        <is>
          <t>A 67902-2021</t>
        </is>
      </c>
      <c r="B86" t="inlineStr">
        <is>
          <t>avverkningsanmälan</t>
        </is>
      </c>
      <c r="C86" t="inlineStr">
        <is>
          <t>Avverkning för att bevara och utveckla /försöksver</t>
        </is>
      </c>
      <c r="D86" s="1" t="n">
        <v>44525</v>
      </c>
      <c r="E86" s="1" t="n">
        <v>46219</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s="2" t="inlineStr">
        <is>
          <t>Stor aspticka</t>
        </is>
      </c>
      <c r="V86">
        <f>HYPERLINK("https://klasma.github.io/Logging_2581/artfynd/A 67902-2021 artfynd.xlsx", "A 67902-2021")</f>
        <v/>
      </c>
      <c r="W86">
        <f>HYPERLINK("https://klasma.github.io/Logging_2581/kartor/A 67902-2021 karta.png", "A 67902-2021")</f>
        <v/>
      </c>
      <c r="Y86">
        <f>HYPERLINK("https://klasma.github.io/Logging_2581/klagomål/A 67902-2021 FSC-klagomål.docx", "A 67902-2021")</f>
        <v/>
      </c>
      <c r="Z86">
        <f>HYPERLINK("https://klasma.github.io/Logging_2581/klagomålsmail/A 67902-2021 FSC-klagomål mail.docx", "A 67902-2021")</f>
        <v/>
      </c>
      <c r="AA86">
        <f>HYPERLINK("https://klasma.github.io/Logging_2581/tillsyn/A 67902-2021 tillsynsbegäran.docx", "A 67902-2021")</f>
        <v/>
      </c>
      <c r="AB86">
        <f>HYPERLINK("https://klasma.github.io/Logging_2581/tillsynsmail/A 67902-2021 tillsynsbegäran mail.docx", "A 67902-2021")</f>
        <v/>
      </c>
    </row>
    <row r="87" ht="15" customHeight="1">
      <c r="A87" t="inlineStr">
        <is>
          <t>A 62725-2025</t>
        </is>
      </c>
      <c r="B87" t="inlineStr">
        <is>
          <t>avverkningsanmälan</t>
        </is>
      </c>
      <c r="C87" t="inlineStr">
        <is>
          <t>Föryngringsavverkning</t>
        </is>
      </c>
      <c r="D87" s="1" t="n">
        <v>46008</v>
      </c>
      <c r="E87" s="1" t="n">
        <v>46219</v>
      </c>
      <c r="F87" t="inlineStr">
        <is>
          <t>NORRBOTTENS LÄN</t>
        </is>
      </c>
      <c r="G87" t="inlineStr">
        <is>
          <t>PITEÅ</t>
        </is>
      </c>
      <c r="I87" t="n">
        <v>11.3</v>
      </c>
      <c r="J87" t="n">
        <v>1</v>
      </c>
      <c r="K87" t="n">
        <v>0</v>
      </c>
      <c r="L87" t="n">
        <v>0</v>
      </c>
      <c r="M87" t="n">
        <v>0</v>
      </c>
      <c r="N87" t="n">
        <v>0</v>
      </c>
      <c r="O87" t="n">
        <v>0</v>
      </c>
      <c r="P87" t="n">
        <v>0</v>
      </c>
      <c r="Q87" t="n">
        <v>0</v>
      </c>
      <c r="R87" t="n">
        <v>0</v>
      </c>
      <c r="S87" t="n">
        <v>1</v>
      </c>
      <c r="T87" t="n">
        <v>1</v>
      </c>
      <c r="U87" s="2" t="inlineStr">
        <is>
          <t>Vanlig groda</t>
        </is>
      </c>
      <c r="V87">
        <f>HYPERLINK("https://klasma.github.io/Logging_2581/artfynd/A 62725-2025 artfynd.xlsx", "A 62725-2025")</f>
        <v/>
      </c>
      <c r="W87">
        <f>HYPERLINK("https://klasma.github.io/Logging_2581/kartor/A 62725-2025 karta.png", "A 62725-2025")</f>
        <v/>
      </c>
      <c r="Y87">
        <f>HYPERLINK("https://klasma.github.io/Logging_2581/klagomål/A 62725-2025 FSC-klagomål.docx", "A 62725-2025")</f>
        <v/>
      </c>
      <c r="Z87">
        <f>HYPERLINK("https://klasma.github.io/Logging_2581/klagomålsmail/A 62725-2025 FSC-klagomål mail.docx", "A 62725-2025")</f>
        <v/>
      </c>
      <c r="AA87">
        <f>HYPERLINK("https://klasma.github.io/Logging_2581/tillsyn/A 62725-2025 tillsynsbegäran.docx", "A 62725-2025")</f>
        <v/>
      </c>
      <c r="AB87">
        <f>HYPERLINK("https://klasma.github.io/Logging_2581/tillsynsmail/A 62725-2025 tillsynsbegäran mail.docx", "A 62725-2025")</f>
        <v/>
      </c>
    </row>
    <row r="88" ht="15" customHeight="1">
      <c r="A88" t="inlineStr">
        <is>
          <t>A 56518-2024</t>
        </is>
      </c>
      <c r="B88" t="inlineStr">
        <is>
          <t>avverkningsanmälan</t>
        </is>
      </c>
      <c r="C88" t="inlineStr">
        <is>
          <t>Föryngringsavverkning</t>
        </is>
      </c>
      <c r="D88" s="1" t="n">
        <v>45625</v>
      </c>
      <c r="E88" s="1" t="n">
        <v>46219</v>
      </c>
      <c r="F88" t="inlineStr">
        <is>
          <t>NORRBOTTENS LÄN</t>
        </is>
      </c>
      <c r="G88" t="inlineStr">
        <is>
          <t>PITEÅ</t>
        </is>
      </c>
      <c r="I88" t="n">
        <v>2.6</v>
      </c>
      <c r="J88" t="n">
        <v>1</v>
      </c>
      <c r="K88" t="n">
        <v>0</v>
      </c>
      <c r="L88" t="n">
        <v>0</v>
      </c>
      <c r="M88" t="n">
        <v>0</v>
      </c>
      <c r="N88" t="n">
        <v>0</v>
      </c>
      <c r="O88" t="n">
        <v>0</v>
      </c>
      <c r="P88" t="n">
        <v>0</v>
      </c>
      <c r="Q88" t="n">
        <v>0</v>
      </c>
      <c r="R88" t="n">
        <v>0</v>
      </c>
      <c r="S88" t="n">
        <v>1</v>
      </c>
      <c r="T88" t="n">
        <v>2</v>
      </c>
      <c r="U88" s="2" t="inlineStr">
        <is>
          <t>Nattviol</t>
        </is>
      </c>
      <c r="V88">
        <f>HYPERLINK("https://klasma.github.io/Logging_2581/artfynd/A 56518-2024 artfynd.xlsx", "A 56518-2024")</f>
        <v/>
      </c>
      <c r="W88">
        <f>HYPERLINK("https://klasma.github.io/Logging_2581/kartor/A 56518-2024 karta.png", "A 56518-2024")</f>
        <v/>
      </c>
      <c r="Y88">
        <f>HYPERLINK("https://klasma.github.io/Logging_2581/klagomål/A 56518-2024 FSC-klagomål.docx", "A 56518-2024")</f>
        <v/>
      </c>
      <c r="Z88">
        <f>HYPERLINK("https://klasma.github.io/Logging_2581/klagomålsmail/A 56518-2024 FSC-klagomål mail.docx", "A 56518-2024")</f>
        <v/>
      </c>
      <c r="AA88">
        <f>HYPERLINK("https://klasma.github.io/Logging_2581/tillsyn/A 56518-2024 tillsynsbegäran.docx", "A 56518-2024")</f>
        <v/>
      </c>
      <c r="AB88">
        <f>HYPERLINK("https://klasma.github.io/Logging_2581/tillsynsmail/A 56518-2024 tillsynsbegäran mail.docx", "A 56518-2024")</f>
        <v/>
      </c>
    </row>
    <row r="89" ht="15" customHeight="1">
      <c r="A89" t="inlineStr">
        <is>
          <t>A 52268-2023</t>
        </is>
      </c>
      <c r="B89" t="inlineStr">
        <is>
          <t>avverkningsanmälan</t>
        </is>
      </c>
      <c r="C89" t="inlineStr">
        <is>
          <t>Föryngringsavverkning</t>
        </is>
      </c>
      <c r="D89" s="1" t="n">
        <v>45224</v>
      </c>
      <c r="E89" s="1" t="n">
        <v>46219</v>
      </c>
      <c r="F89" t="inlineStr">
        <is>
          <t>NORRBOTTENS LÄN</t>
        </is>
      </c>
      <c r="G89" t="inlineStr">
        <is>
          <t>PITEÅ</t>
        </is>
      </c>
      <c r="I89" t="n">
        <v>4</v>
      </c>
      <c r="J89" t="n">
        <v>1</v>
      </c>
      <c r="K89" t="n">
        <v>0</v>
      </c>
      <c r="L89" t="n">
        <v>0</v>
      </c>
      <c r="M89" t="n">
        <v>0</v>
      </c>
      <c r="N89" t="n">
        <v>0</v>
      </c>
      <c r="O89" t="n">
        <v>0</v>
      </c>
      <c r="P89" t="n">
        <v>0</v>
      </c>
      <c r="Q89" t="n">
        <v>0</v>
      </c>
      <c r="R89" t="n">
        <v>0</v>
      </c>
      <c r="S89" t="n">
        <v>1</v>
      </c>
      <c r="T89" t="n">
        <v>1</v>
      </c>
      <c r="U89" s="2" t="inlineStr">
        <is>
          <t>Revlummer</t>
        </is>
      </c>
      <c r="V89">
        <f>HYPERLINK("https://klasma.github.io/Logging_2581/artfynd/A 52268-2023 artfynd.xlsx", "A 52268-2023")</f>
        <v/>
      </c>
      <c r="W89">
        <f>HYPERLINK("https://klasma.github.io/Logging_2581/kartor/A 52268-2023 karta.png", "A 52268-2023")</f>
        <v/>
      </c>
      <c r="Y89">
        <f>HYPERLINK("https://klasma.github.io/Logging_2581/klagomål/A 52268-2023 FSC-klagomål.docx", "A 52268-2023")</f>
        <v/>
      </c>
      <c r="Z89">
        <f>HYPERLINK("https://klasma.github.io/Logging_2581/klagomålsmail/A 52268-2023 FSC-klagomål mail.docx", "A 52268-2023")</f>
        <v/>
      </c>
      <c r="AA89">
        <f>HYPERLINK("https://klasma.github.io/Logging_2581/tillsyn/A 52268-2023 tillsynsbegäran.docx", "A 52268-2023")</f>
        <v/>
      </c>
      <c r="AB89">
        <f>HYPERLINK("https://klasma.github.io/Logging_2581/tillsynsmail/A 52268-2023 tillsynsbegäran mail.docx", "A 52268-2023")</f>
        <v/>
      </c>
    </row>
    <row r="90" ht="15" customHeight="1">
      <c r="A90" t="inlineStr">
        <is>
          <t>A 21102-2024</t>
        </is>
      </c>
      <c r="B90" t="inlineStr">
        <is>
          <t>avverkningsanmälan</t>
        </is>
      </c>
      <c r="C90" t="inlineStr">
        <is>
          <t>Föryngringsavverkning</t>
        </is>
      </c>
      <c r="D90" s="1" t="n">
        <v>45439</v>
      </c>
      <c r="E90" s="1" t="n">
        <v>46219</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s="2" t="inlineStr">
        <is>
          <t>Tibast</t>
        </is>
      </c>
      <c r="V90">
        <f>HYPERLINK("https://klasma.github.io/Logging_2581/artfynd/A 21102-2024 artfynd.xlsx", "A 21102-2024")</f>
        <v/>
      </c>
      <c r="W90">
        <f>HYPERLINK("https://klasma.github.io/Logging_2581/kartor/A 21102-2024 karta.png", "A 21102-2024")</f>
        <v/>
      </c>
      <c r="Y90">
        <f>HYPERLINK("https://klasma.github.io/Logging_2581/klagomål/A 21102-2024 FSC-klagomål.docx", "A 21102-2024")</f>
        <v/>
      </c>
      <c r="Z90">
        <f>HYPERLINK("https://klasma.github.io/Logging_2581/klagomålsmail/A 21102-2024 FSC-klagomål mail.docx", "A 21102-2024")</f>
        <v/>
      </c>
      <c r="AA90">
        <f>HYPERLINK("https://klasma.github.io/Logging_2581/tillsyn/A 21102-2024 tillsynsbegäran.docx", "A 21102-2024")</f>
        <v/>
      </c>
      <c r="AB90">
        <f>HYPERLINK("https://klasma.github.io/Logging_2581/tillsynsmail/A 21102-2024 tillsynsbegäran mail.docx", "A 21102-2024")</f>
        <v/>
      </c>
    </row>
    <row r="91" ht="15" customHeight="1">
      <c r="A91" t="inlineStr">
        <is>
          <t>A 5113-2026</t>
        </is>
      </c>
      <c r="B91" t="inlineStr">
        <is>
          <t>avverkningsanmälan</t>
        </is>
      </c>
      <c r="C91" t="inlineStr">
        <is>
          <t>Föryngringsavverkning</t>
        </is>
      </c>
      <c r="D91" s="1" t="n">
        <v>46049</v>
      </c>
      <c r="E91" s="1" t="n">
        <v>46219</v>
      </c>
      <c r="F91" t="inlineStr">
        <is>
          <t>NORRBOTTENS LÄN</t>
        </is>
      </c>
      <c r="G91" t="inlineStr">
        <is>
          <t>PITEÅ</t>
        </is>
      </c>
      <c r="I91" t="n">
        <v>4.6</v>
      </c>
      <c r="J91" t="n">
        <v>0</v>
      </c>
      <c r="K91" t="n">
        <v>0</v>
      </c>
      <c r="L91" t="n">
        <v>0</v>
      </c>
      <c r="M91" t="n">
        <v>1</v>
      </c>
      <c r="N91" t="n">
        <v>0</v>
      </c>
      <c r="O91" t="n">
        <v>0</v>
      </c>
      <c r="P91" t="n">
        <v>0</v>
      </c>
      <c r="Q91" t="n">
        <v>1</v>
      </c>
      <c r="R91" t="n">
        <v>1</v>
      </c>
      <c r="S91" t="n">
        <v>1</v>
      </c>
      <c r="T91" t="n">
        <v>1</v>
      </c>
      <c r="U91" s="2" t="inlineStr">
        <is>
          <t>Garnlav</t>
        </is>
      </c>
      <c r="V91">
        <f>HYPERLINK("https://klasma.github.io/Logging_2581/artfynd/A 5113-2026 artfynd.xlsx", "A 5113-2026")</f>
        <v/>
      </c>
      <c r="W91">
        <f>HYPERLINK("https://klasma.github.io/Logging_2581/kartor/A 5113-2026 karta.png", "A 5113-2026")</f>
        <v/>
      </c>
      <c r="Y91">
        <f>HYPERLINK("https://klasma.github.io/Logging_2581/klagomål/A 5113-2026 FSC-klagomål.docx", "A 5113-2026")</f>
        <v/>
      </c>
      <c r="Z91">
        <f>HYPERLINK("https://klasma.github.io/Logging_2581/klagomålsmail/A 5113-2026 FSC-klagomål mail.docx", "A 5113-2026")</f>
        <v/>
      </c>
      <c r="AA91">
        <f>HYPERLINK("https://klasma.github.io/Logging_2581/tillsyn/A 5113-2026 tillsynsbegäran.docx", "A 5113-2026")</f>
        <v/>
      </c>
      <c r="AB91">
        <f>HYPERLINK("https://klasma.github.io/Logging_2581/tillsynsmail/A 5113-2026 tillsynsbegäran mail.docx", "A 5113-2026")</f>
        <v/>
      </c>
    </row>
    <row r="92" ht="15" customHeight="1">
      <c r="A92" t="inlineStr">
        <is>
          <t>A 30454-2024</t>
        </is>
      </c>
      <c r="B92" t="inlineStr">
        <is>
          <t>avverkningsanmälan</t>
        </is>
      </c>
      <c r="C92" t="inlineStr">
        <is>
          <t>Föryngringsavverkning</t>
        </is>
      </c>
      <c r="D92" s="1" t="n">
        <v>45491</v>
      </c>
      <c r="E92" s="1" t="n">
        <v>46219</v>
      </c>
      <c r="F92" t="inlineStr">
        <is>
          <t>NORRBOTTENS LÄN</t>
        </is>
      </c>
      <c r="G92" t="inlineStr">
        <is>
          <t>PITEÅ</t>
        </is>
      </c>
      <c r="I92" t="n">
        <v>1.6</v>
      </c>
      <c r="J92" t="n">
        <v>1</v>
      </c>
      <c r="K92" t="n">
        <v>0</v>
      </c>
      <c r="L92" t="n">
        <v>1</v>
      </c>
      <c r="M92" t="n">
        <v>0</v>
      </c>
      <c r="N92" t="n">
        <v>0</v>
      </c>
      <c r="O92" t="n">
        <v>0</v>
      </c>
      <c r="P92" t="n">
        <v>0</v>
      </c>
      <c r="Q92" t="n">
        <v>1</v>
      </c>
      <c r="R92" t="n">
        <v>0</v>
      </c>
      <c r="S92" t="n">
        <v>1</v>
      </c>
      <c r="T92" t="n">
        <v>1</v>
      </c>
      <c r="U92" s="2" t="inlineStr">
        <is>
          <t>Tretåig hackspett</t>
        </is>
      </c>
      <c r="V92">
        <f>HYPERLINK("https://klasma.github.io/Logging_2581/artfynd/A 30454-2024 artfynd.xlsx", "A 30454-2024")</f>
        <v/>
      </c>
      <c r="W92">
        <f>HYPERLINK("https://klasma.github.io/Logging_2581/kartor/A 30454-2024 karta.png", "A 30454-2024")</f>
        <v/>
      </c>
      <c r="Y92">
        <f>HYPERLINK("https://klasma.github.io/Logging_2581/klagomål/A 30454-2024 FSC-klagomål.docx", "A 30454-2024")</f>
        <v/>
      </c>
      <c r="Z92">
        <f>HYPERLINK("https://klasma.github.io/Logging_2581/klagomålsmail/A 30454-2024 FSC-klagomål mail.docx", "A 30454-2024")</f>
        <v/>
      </c>
      <c r="AA92">
        <f>HYPERLINK("https://klasma.github.io/Logging_2581/tillsyn/A 30454-2024 tillsynsbegäran.docx", "A 30454-2024")</f>
        <v/>
      </c>
      <c r="AB92">
        <f>HYPERLINK("https://klasma.github.io/Logging_2581/tillsynsmail/A 30454-2024 tillsynsbegäran mail.docx", "A 30454-2024")</f>
        <v/>
      </c>
      <c r="AC92">
        <f>HYPERLINK("https://klasma.github.io/Logging_2581/fåglar/A 30454-2024 prioriterade fågelarter.docx", "A 30454-2024")</f>
        <v/>
      </c>
    </row>
    <row r="93" ht="15" customHeight="1">
      <c r="A93" t="inlineStr">
        <is>
          <t>A 6217-2026</t>
        </is>
      </c>
      <c r="B93" t="inlineStr">
        <is>
          <t>avverkningsanmälan</t>
        </is>
      </c>
      <c r="C93" t="inlineStr">
        <is>
          <t>Föryngringsavverkning</t>
        </is>
      </c>
      <c r="D93" s="1" t="n">
        <v>46055</v>
      </c>
      <c r="E93" s="1" t="n">
        <v>46219</v>
      </c>
      <c r="F93" t="inlineStr">
        <is>
          <t>NORRBOTTENS LÄN</t>
        </is>
      </c>
      <c r="G93" t="inlineStr">
        <is>
          <t>PITEÅ</t>
        </is>
      </c>
      <c r="I93" t="n">
        <v>1.2</v>
      </c>
      <c r="J93" t="n">
        <v>1</v>
      </c>
      <c r="K93" t="n">
        <v>0</v>
      </c>
      <c r="L93" t="n">
        <v>0</v>
      </c>
      <c r="M93" t="n">
        <v>0</v>
      </c>
      <c r="N93" t="n">
        <v>0</v>
      </c>
      <c r="O93" t="n">
        <v>0</v>
      </c>
      <c r="P93" t="n">
        <v>0</v>
      </c>
      <c r="Q93" t="n">
        <v>0</v>
      </c>
      <c r="R93" t="n">
        <v>0</v>
      </c>
      <c r="S93" t="n">
        <v>1</v>
      </c>
      <c r="T93" t="n">
        <v>1</v>
      </c>
      <c r="U93" s="2" t="inlineStr">
        <is>
          <t>Fläcknycklar</t>
        </is>
      </c>
      <c r="V93">
        <f>HYPERLINK("https://klasma.github.io/Logging_2581/artfynd/A 6217-2026 artfynd.xlsx", "A 6217-2026")</f>
        <v/>
      </c>
      <c r="W93">
        <f>HYPERLINK("https://klasma.github.io/Logging_2581/kartor/A 6217-2026 karta.png", "A 6217-2026")</f>
        <v/>
      </c>
      <c r="Y93">
        <f>HYPERLINK("https://klasma.github.io/Logging_2581/klagomål/A 6217-2026 FSC-klagomål.docx", "A 6217-2026")</f>
        <v/>
      </c>
      <c r="Z93">
        <f>HYPERLINK("https://klasma.github.io/Logging_2581/klagomålsmail/A 6217-2026 FSC-klagomål mail.docx", "A 6217-2026")</f>
        <v/>
      </c>
      <c r="AA93">
        <f>HYPERLINK("https://klasma.github.io/Logging_2581/tillsyn/A 6217-2026 tillsynsbegäran.docx", "A 6217-2026")</f>
        <v/>
      </c>
      <c r="AB93">
        <f>HYPERLINK("https://klasma.github.io/Logging_2581/tillsynsmail/A 6217-2026 tillsynsbegäran mail.docx", "A 6217-2026")</f>
        <v/>
      </c>
    </row>
    <row r="94" ht="15" customHeight="1">
      <c r="A94" t="inlineStr">
        <is>
          <t>A 9007-2024</t>
        </is>
      </c>
      <c r="B94" t="inlineStr">
        <is>
          <t>avverkningsanmälan</t>
        </is>
      </c>
      <c r="C94" t="inlineStr">
        <is>
          <t>Föryngringsavverkning</t>
        </is>
      </c>
      <c r="D94" s="1" t="n">
        <v>45356</v>
      </c>
      <c r="E94" s="1" t="n">
        <v>46219</v>
      </c>
      <c r="F94" t="inlineStr">
        <is>
          <t>NORRBOTTENS LÄN</t>
        </is>
      </c>
      <c r="G94" t="inlineStr">
        <is>
          <t>PITEÅ</t>
        </is>
      </c>
      <c r="I94" t="n">
        <v>1.6</v>
      </c>
      <c r="J94" t="n">
        <v>1</v>
      </c>
      <c r="K94" t="n">
        <v>0</v>
      </c>
      <c r="L94" t="n">
        <v>0</v>
      </c>
      <c r="M94" t="n">
        <v>1</v>
      </c>
      <c r="N94" t="n">
        <v>0</v>
      </c>
      <c r="O94" t="n">
        <v>0</v>
      </c>
      <c r="P94" t="n">
        <v>0</v>
      </c>
      <c r="Q94" t="n">
        <v>1</v>
      </c>
      <c r="R94" t="n">
        <v>1</v>
      </c>
      <c r="S94" t="n">
        <v>1</v>
      </c>
      <c r="T94" t="n">
        <v>1</v>
      </c>
      <c r="U94" s="2" t="inlineStr">
        <is>
          <t>Norna</t>
        </is>
      </c>
      <c r="V94">
        <f>HYPERLINK("https://klasma.github.io/Logging_2581/artfynd/A 9007-2024 artfynd.xlsx", "A 9007-2024")</f>
        <v/>
      </c>
      <c r="W94">
        <f>HYPERLINK("https://klasma.github.io/Logging_2581/kartor/A 9007-2024 karta.png", "A 9007-2024")</f>
        <v/>
      </c>
      <c r="Y94">
        <f>HYPERLINK("https://klasma.github.io/Logging_2581/klagomål/A 9007-2024 FSC-klagomål.docx", "A 9007-2024")</f>
        <v/>
      </c>
      <c r="Z94">
        <f>HYPERLINK("https://klasma.github.io/Logging_2581/klagomålsmail/A 9007-2024 FSC-klagomål mail.docx", "A 9007-2024")</f>
        <v/>
      </c>
      <c r="AA94">
        <f>HYPERLINK("https://klasma.github.io/Logging_2581/tillsyn/A 9007-2024 tillsynsbegäran.docx", "A 9007-2024")</f>
        <v/>
      </c>
      <c r="AB94">
        <f>HYPERLINK("https://klasma.github.io/Logging_2581/tillsynsmail/A 9007-2024 tillsynsbegäran mail.docx", "A 9007-2024")</f>
        <v/>
      </c>
    </row>
    <row r="95" ht="15" customHeight="1">
      <c r="A95" t="inlineStr">
        <is>
          <t>A 30602-2025</t>
        </is>
      </c>
      <c r="B95" t="inlineStr">
        <is>
          <t>avverkningsanmälan</t>
        </is>
      </c>
      <c r="C95" t="inlineStr">
        <is>
          <t>Föryngringsavverkning</t>
        </is>
      </c>
      <c r="D95" s="1" t="n">
        <v>45831</v>
      </c>
      <c r="E95" s="1" t="n">
        <v>46219</v>
      </c>
      <c r="F95" t="inlineStr">
        <is>
          <t>NORRBOTTENS LÄN</t>
        </is>
      </c>
      <c r="G95" t="inlineStr">
        <is>
          <t>PITEÅ</t>
        </is>
      </c>
      <c r="H95" t="inlineStr">
        <is>
          <t>Sveaskog</t>
        </is>
      </c>
      <c r="I95" t="n">
        <v>7.8</v>
      </c>
      <c r="J95" t="n">
        <v>0</v>
      </c>
      <c r="K95" t="n">
        <v>0</v>
      </c>
      <c r="L95" t="n">
        <v>1</v>
      </c>
      <c r="M95" t="n">
        <v>0</v>
      </c>
      <c r="N95" t="n">
        <v>0</v>
      </c>
      <c r="O95" t="n">
        <v>0</v>
      </c>
      <c r="P95" t="n">
        <v>0</v>
      </c>
      <c r="Q95" t="n">
        <v>1</v>
      </c>
      <c r="R95" t="n">
        <v>0</v>
      </c>
      <c r="S95" t="n">
        <v>1</v>
      </c>
      <c r="T95" t="n">
        <v>1</v>
      </c>
      <c r="U95" s="2" t="inlineStr">
        <is>
          <t>Lunglav</t>
        </is>
      </c>
      <c r="V95">
        <f>HYPERLINK("https://klasma.github.io/Logging_2581/artfynd/A 30602-2025 artfynd.xlsx", "A 30602-2025")</f>
        <v/>
      </c>
      <c r="W95">
        <f>HYPERLINK("https://klasma.github.io/Logging_2581/kartor/A 30602-2025 karta.png", "A 30602-2025")</f>
        <v/>
      </c>
      <c r="Y95">
        <f>HYPERLINK("https://klasma.github.io/Logging_2581/klagomål/A 30602-2025 FSC-klagomål.docx", "A 30602-2025")</f>
        <v/>
      </c>
      <c r="Z95">
        <f>HYPERLINK("https://klasma.github.io/Logging_2581/klagomålsmail/A 30602-2025 FSC-klagomål mail.docx", "A 30602-2025")</f>
        <v/>
      </c>
      <c r="AA95">
        <f>HYPERLINK("https://klasma.github.io/Logging_2581/tillsyn/A 30602-2025 tillsynsbegäran.docx", "A 30602-2025")</f>
        <v/>
      </c>
      <c r="AB95">
        <f>HYPERLINK("https://klasma.github.io/Logging_2581/tillsynsmail/A 30602-2025 tillsynsbegäran mail.docx", "A 30602-2025")</f>
        <v/>
      </c>
    </row>
    <row r="96" ht="15" customHeight="1">
      <c r="A96" t="inlineStr">
        <is>
          <t>A 30408-2025</t>
        </is>
      </c>
      <c r="B96" t="inlineStr">
        <is>
          <t>avverkningsanmälan</t>
        </is>
      </c>
      <c r="C96" t="inlineStr">
        <is>
          <t>Föryngringsavverkning</t>
        </is>
      </c>
      <c r="D96" s="1" t="n">
        <v>45827</v>
      </c>
      <c r="E96" s="1" t="n">
        <v>46219</v>
      </c>
      <c r="F96" t="inlineStr">
        <is>
          <t>NORRBOTTENS LÄN</t>
        </is>
      </c>
      <c r="G96" t="inlineStr">
        <is>
          <t>PITEÅ</t>
        </is>
      </c>
      <c r="I96" t="n">
        <v>3.2</v>
      </c>
      <c r="J96" t="n">
        <v>1</v>
      </c>
      <c r="K96" t="n">
        <v>0</v>
      </c>
      <c r="L96" t="n">
        <v>0</v>
      </c>
      <c r="M96" t="n">
        <v>0</v>
      </c>
      <c r="N96" t="n">
        <v>0</v>
      </c>
      <c r="O96" t="n">
        <v>0</v>
      </c>
      <c r="P96" t="n">
        <v>0</v>
      </c>
      <c r="Q96" t="n">
        <v>0</v>
      </c>
      <c r="R96" t="n">
        <v>0</v>
      </c>
      <c r="S96" t="n">
        <v>1</v>
      </c>
      <c r="T96" t="n">
        <v>1</v>
      </c>
      <c r="U96" s="2" t="inlineStr">
        <is>
          <t>Spillkråka</t>
        </is>
      </c>
      <c r="V96">
        <f>HYPERLINK("https://klasma.github.io/Logging_2581/artfynd/A 30408-2025 artfynd.xlsx", "A 30408-2025")</f>
        <v/>
      </c>
      <c r="W96">
        <f>HYPERLINK("https://klasma.github.io/Logging_2581/kartor/A 30408-2025 karta.png", "A 30408-2025")</f>
        <v/>
      </c>
      <c r="Y96">
        <f>HYPERLINK("https://klasma.github.io/Logging_2581/klagomål/A 30408-2025 FSC-klagomål.docx", "A 30408-2025")</f>
        <v/>
      </c>
      <c r="Z96">
        <f>HYPERLINK("https://klasma.github.io/Logging_2581/klagomålsmail/A 30408-2025 FSC-klagomål mail.docx", "A 30408-2025")</f>
        <v/>
      </c>
      <c r="AA96">
        <f>HYPERLINK("https://klasma.github.io/Logging_2581/tillsyn/A 30408-2025 tillsynsbegäran.docx", "A 30408-2025")</f>
        <v/>
      </c>
      <c r="AB96">
        <f>HYPERLINK("https://klasma.github.io/Logging_2581/tillsynsmail/A 30408-2025 tillsynsbegäran mail.docx", "A 30408-2025")</f>
        <v/>
      </c>
      <c r="AC96">
        <f>HYPERLINK("https://klasma.github.io/Logging_2581/fåglar/A 30408-2025 prioriterade fågelarter.docx", "A 30408-2025")</f>
        <v/>
      </c>
    </row>
    <row r="97" ht="15" customHeight="1">
      <c r="A97" t="inlineStr">
        <is>
          <t>A 37818-2024</t>
        </is>
      </c>
      <c r="B97" t="inlineStr">
        <is>
          <t>avverkningsanmälan</t>
        </is>
      </c>
      <c r="C97" t="inlineStr">
        <is>
          <t>Föryngringsavverkning</t>
        </is>
      </c>
      <c r="D97" s="1" t="n">
        <v>45544</v>
      </c>
      <c r="E97" s="1" t="n">
        <v>46219</v>
      </c>
      <c r="F97" t="inlineStr">
        <is>
          <t>NORRBOTTENS LÄN</t>
        </is>
      </c>
      <c r="G97" t="inlineStr">
        <is>
          <t>PITEÅ</t>
        </is>
      </c>
      <c r="I97" t="n">
        <v>3.1</v>
      </c>
      <c r="J97" t="n">
        <v>0</v>
      </c>
      <c r="K97" t="n">
        <v>0</v>
      </c>
      <c r="L97" t="n">
        <v>1</v>
      </c>
      <c r="M97" t="n">
        <v>0</v>
      </c>
      <c r="N97" t="n">
        <v>0</v>
      </c>
      <c r="O97" t="n">
        <v>0</v>
      </c>
      <c r="P97" t="n">
        <v>0</v>
      </c>
      <c r="Q97" t="n">
        <v>1</v>
      </c>
      <c r="R97" t="n">
        <v>0</v>
      </c>
      <c r="S97" t="n">
        <v>1</v>
      </c>
      <c r="T97" t="n">
        <v>1</v>
      </c>
      <c r="U97" s="2" t="inlineStr">
        <is>
          <t>Kolflarnlav</t>
        </is>
      </c>
      <c r="V97">
        <f>HYPERLINK("https://klasma.github.io/Logging_2581/artfynd/A 37818-2024 artfynd.xlsx", "A 37818-2024")</f>
        <v/>
      </c>
      <c r="W97">
        <f>HYPERLINK("https://klasma.github.io/Logging_2581/kartor/A 37818-2024 karta.png", "A 37818-2024")</f>
        <v/>
      </c>
      <c r="Y97">
        <f>HYPERLINK("https://klasma.github.io/Logging_2581/klagomål/A 37818-2024 FSC-klagomål.docx", "A 37818-2024")</f>
        <v/>
      </c>
      <c r="Z97">
        <f>HYPERLINK("https://klasma.github.io/Logging_2581/klagomålsmail/A 37818-2024 FSC-klagomål mail.docx", "A 37818-2024")</f>
        <v/>
      </c>
      <c r="AA97">
        <f>HYPERLINK("https://klasma.github.io/Logging_2581/tillsyn/A 37818-2024 tillsynsbegäran.docx", "A 37818-2024")</f>
        <v/>
      </c>
      <c r="AB97">
        <f>HYPERLINK("https://klasma.github.io/Logging_2581/tillsynsmail/A 37818-2024 tillsynsbegäran mail.docx", "A 37818-2024")</f>
        <v/>
      </c>
    </row>
    <row r="98" ht="15" customHeight="1">
      <c r="A98" t="inlineStr">
        <is>
          <t>A 27818-2026</t>
        </is>
      </c>
      <c r="B98" t="inlineStr">
        <is>
          <t>avverkningsanmälan</t>
        </is>
      </c>
      <c r="C98" t="inlineStr">
        <is>
          <t>Föryngringsavverkning</t>
        </is>
      </c>
      <c r="D98" s="1" t="n">
        <v>46191</v>
      </c>
      <c r="E98" s="1" t="n">
        <v>46219</v>
      </c>
      <c r="F98" t="inlineStr">
        <is>
          <t>NORRBOTTENS LÄN</t>
        </is>
      </c>
      <c r="G98" t="inlineStr">
        <is>
          <t>PITEÅ</t>
        </is>
      </c>
      <c r="H98" t="inlineStr">
        <is>
          <t>Sveaskog</t>
        </is>
      </c>
      <c r="I98" t="n">
        <v>16.7</v>
      </c>
      <c r="J98" t="n">
        <v>0</v>
      </c>
      <c r="K98" t="n">
        <v>0</v>
      </c>
      <c r="L98" t="n">
        <v>1</v>
      </c>
      <c r="M98" t="n">
        <v>0</v>
      </c>
      <c r="N98" t="n">
        <v>0</v>
      </c>
      <c r="O98" t="n">
        <v>0</v>
      </c>
      <c r="P98" t="n">
        <v>0</v>
      </c>
      <c r="Q98" t="n">
        <v>1</v>
      </c>
      <c r="R98" t="n">
        <v>0</v>
      </c>
      <c r="S98" t="n">
        <v>1</v>
      </c>
      <c r="T98" t="n">
        <v>1</v>
      </c>
      <c r="U98" s="2" t="inlineStr">
        <is>
          <t>Tallticka</t>
        </is>
      </c>
      <c r="V98">
        <f>HYPERLINK("https://klasma.github.io/Logging_2581/artfynd/A 27818-2026 artfynd.xlsx", "A 27818-2026")</f>
        <v/>
      </c>
      <c r="W98">
        <f>HYPERLINK("https://klasma.github.io/Logging_2581/kartor/A 27818-2026 karta.png", "A 27818-2026")</f>
        <v/>
      </c>
      <c r="Y98">
        <f>HYPERLINK("https://klasma.github.io/Logging_2581/klagomål/A 27818-2026 FSC-klagomål.docx", "A 27818-2026")</f>
        <v/>
      </c>
      <c r="Z98">
        <f>HYPERLINK("https://klasma.github.io/Logging_2581/klagomålsmail/A 27818-2026 FSC-klagomål mail.docx", "A 27818-2026")</f>
        <v/>
      </c>
      <c r="AA98">
        <f>HYPERLINK("https://klasma.github.io/Logging_2581/tillsyn/A 27818-2026 tillsynsbegäran.docx", "A 27818-2026")</f>
        <v/>
      </c>
      <c r="AB98">
        <f>HYPERLINK("https://klasma.github.io/Logging_2581/tillsynsmail/A 27818-2026 tillsynsbegäran mail.docx", "A 27818-2026")</f>
        <v/>
      </c>
    </row>
    <row r="99" ht="15" customHeight="1">
      <c r="A99" t="inlineStr">
        <is>
          <t>S 1470-2022</t>
        </is>
      </c>
      <c r="B99" t="inlineStr">
        <is>
          <t>samrådsanmälan</t>
        </is>
      </c>
      <c r="C99" t="inlineStr">
        <is>
          <t>Skogsbilväg</t>
        </is>
      </c>
      <c r="D99" s="1" t="n">
        <v>44636</v>
      </c>
      <c r="E99" s="1" t="n">
        <v>46219</v>
      </c>
      <c r="F99" t="inlineStr">
        <is>
          <t>NORRBOTTENS LÄN</t>
        </is>
      </c>
      <c r="G99" t="inlineStr">
        <is>
          <t>PITEÅ</t>
        </is>
      </c>
      <c r="H99" t="inlineStr">
        <is>
          <t>Kyrkan</t>
        </is>
      </c>
      <c r="I99" t="n">
        <v>5.1</v>
      </c>
      <c r="J99" t="n">
        <v>1</v>
      </c>
      <c r="K99" t="n">
        <v>0</v>
      </c>
      <c r="L99" t="n">
        <v>1</v>
      </c>
      <c r="M99" t="n">
        <v>0</v>
      </c>
      <c r="N99" t="n">
        <v>0</v>
      </c>
      <c r="O99" t="n">
        <v>0</v>
      </c>
      <c r="P99" t="n">
        <v>0</v>
      </c>
      <c r="Q99" t="n">
        <v>1</v>
      </c>
      <c r="R99" t="n">
        <v>0</v>
      </c>
      <c r="S99" t="n">
        <v>1</v>
      </c>
      <c r="T99" t="n">
        <v>1</v>
      </c>
      <c r="U99" s="2" t="inlineStr">
        <is>
          <t>Tretåig hackspett</t>
        </is>
      </c>
      <c r="V99">
        <f>HYPERLINK("https://klasma.github.io/Logging_2581/artfynd/S 1470-2022 artfynd.xlsx", "S 1470-2022")</f>
        <v/>
      </c>
      <c r="W99">
        <f>HYPERLINK("https://klasma.github.io/Logging_2581/kartor/S 1470-2022 karta.png", "S 1470-2022")</f>
        <v/>
      </c>
      <c r="Y99">
        <f>HYPERLINK("https://klasma.github.io/Logging_2581/klagomål/S 1470-2022 FSC-klagomål.docx", "S 1470-2022")</f>
        <v/>
      </c>
      <c r="Z99">
        <f>HYPERLINK("https://klasma.github.io/Logging_2581/klagomålsmail/S 1470-2022 FSC-klagomål mail.docx", "S 1470-2022")</f>
        <v/>
      </c>
      <c r="AA99">
        <f>HYPERLINK("https://klasma.github.io/Logging_2581/tillsyn/S 1470-2022 tillsynsbegäran.docx", "S 1470-2022")</f>
        <v/>
      </c>
      <c r="AB99">
        <f>HYPERLINK("https://klasma.github.io/Logging_2581/tillsynsmail/S 1470-2022 tillsynsbegäran mail.docx", "S 1470-2022")</f>
        <v/>
      </c>
      <c r="AC99">
        <f>HYPERLINK("https://klasma.github.io/Logging_2581/fåglar/S 1470-2022 prioriterade fågelarter.docx", "S 1470-2022")</f>
        <v/>
      </c>
    </row>
    <row r="100" ht="15" customHeight="1">
      <c r="A100" t="inlineStr">
        <is>
          <t>S 193-2023</t>
        </is>
      </c>
      <c r="B100" t="inlineStr">
        <is>
          <t>samrådsanmälan</t>
        </is>
      </c>
      <c r="C100" t="inlineStr">
        <is>
          <t>Skogsgödsling</t>
        </is>
      </c>
      <c r="D100" s="1" t="n">
        <v>44945</v>
      </c>
      <c r="E100" s="1" t="n">
        <v>46219</v>
      </c>
      <c r="F100" t="inlineStr">
        <is>
          <t>NORRBOTTENS LÄN</t>
        </is>
      </c>
      <c r="G100" t="inlineStr">
        <is>
          <t>PITEÅ</t>
        </is>
      </c>
      <c r="H100" t="inlineStr">
        <is>
          <t>SCA</t>
        </is>
      </c>
      <c r="I100" t="n">
        <v>181.7</v>
      </c>
      <c r="J100" t="n">
        <v>0</v>
      </c>
      <c r="K100" t="n">
        <v>0</v>
      </c>
      <c r="L100" t="n">
        <v>1</v>
      </c>
      <c r="M100" t="n">
        <v>0</v>
      </c>
      <c r="N100" t="n">
        <v>0</v>
      </c>
      <c r="O100" t="n">
        <v>0</v>
      </c>
      <c r="P100" t="n">
        <v>0</v>
      </c>
      <c r="Q100" t="n">
        <v>1</v>
      </c>
      <c r="R100" t="n">
        <v>0</v>
      </c>
      <c r="S100" t="n">
        <v>1</v>
      </c>
      <c r="T100" t="n">
        <v>1</v>
      </c>
      <c r="U100" s="2" t="inlineStr">
        <is>
          <t>Gammelgransskål</t>
        </is>
      </c>
      <c r="V100">
        <f>HYPERLINK("https://klasma.github.io/Logging_2581/artfynd/S 193-2023 artfynd.xlsx", "S 193-2023")</f>
        <v/>
      </c>
      <c r="W100">
        <f>HYPERLINK("https://klasma.github.io/Logging_2581/kartor/S 193-2023 karta.png", "S 193-2023")</f>
        <v/>
      </c>
      <c r="Y100">
        <f>HYPERLINK("https://klasma.github.io/Logging_2581/klagomål/S 193-2023 FSC-klagomål.docx", "S 193-2023")</f>
        <v/>
      </c>
      <c r="Z100">
        <f>HYPERLINK("https://klasma.github.io/Logging_2581/klagomålsmail/S 193-2023 FSC-klagomål mail.docx", "S 193-2023")</f>
        <v/>
      </c>
      <c r="AA100">
        <f>HYPERLINK("https://klasma.github.io/Logging_2581/tillsyn/S 193-2023 tillsynsbegäran.docx", "S 193-2023")</f>
        <v/>
      </c>
      <c r="AB100">
        <f>HYPERLINK("https://klasma.github.io/Logging_2581/tillsynsmail/S 193-2023 tillsynsbegäran mail.docx", "S 193-2023")</f>
        <v/>
      </c>
    </row>
    <row r="101" ht="15" customHeight="1">
      <c r="A101" t="inlineStr">
        <is>
          <t>S 1285-2025</t>
        </is>
      </c>
      <c r="B101" t="inlineStr">
        <is>
          <t>samrådsanmälan</t>
        </is>
      </c>
      <c r="C101" t="inlineStr">
        <is>
          <t>Annan skogsbruksåtgärd</t>
        </is>
      </c>
      <c r="D101" s="1" t="n">
        <v>45768</v>
      </c>
      <c r="E101" s="1" t="n">
        <v>46219</v>
      </c>
      <c r="F101" t="inlineStr">
        <is>
          <t>NORRBOTTENS LÄN</t>
        </is>
      </c>
      <c r="G101" t="inlineStr">
        <is>
          <t>PITEÅ</t>
        </is>
      </c>
      <c r="I101" t="n">
        <v>62.2</v>
      </c>
      <c r="J101" t="n">
        <v>0</v>
      </c>
      <c r="K101" t="n">
        <v>0</v>
      </c>
      <c r="L101" t="n">
        <v>1</v>
      </c>
      <c r="M101" t="n">
        <v>0</v>
      </c>
      <c r="N101" t="n">
        <v>0</v>
      </c>
      <c r="O101" t="n">
        <v>0</v>
      </c>
      <c r="P101" t="n">
        <v>0</v>
      </c>
      <c r="Q101" t="n">
        <v>1</v>
      </c>
      <c r="R101" t="n">
        <v>0</v>
      </c>
      <c r="S101" t="n">
        <v>1</v>
      </c>
      <c r="T101" t="n">
        <v>1</v>
      </c>
      <c r="U101" s="2" t="inlineStr">
        <is>
          <t>Blanksvart spiklav</t>
        </is>
      </c>
      <c r="V101">
        <f>HYPERLINK("https://klasma.github.io/Logging_2581/artfynd/S 1285-2025 artfynd.xlsx", "S 1285-2025")</f>
        <v/>
      </c>
      <c r="W101">
        <f>HYPERLINK("https://klasma.github.io/Logging_2581/kartor/S 1285-2025 karta.png", "S 1285-2025")</f>
        <v/>
      </c>
      <c r="Y101">
        <f>HYPERLINK("https://klasma.github.io/Logging_2581/klagomål/S 1285-2025 FSC-klagomål.docx", "S 1285-2025")</f>
        <v/>
      </c>
      <c r="Z101">
        <f>HYPERLINK("https://klasma.github.io/Logging_2581/klagomålsmail/S 1285-2025 FSC-klagomål mail.docx", "S 1285-2025")</f>
        <v/>
      </c>
      <c r="AA101">
        <f>HYPERLINK("https://klasma.github.io/Logging_2581/tillsyn/S 1285-2025 tillsynsbegäran.docx", "S 1285-2025")</f>
        <v/>
      </c>
      <c r="AB101">
        <f>HYPERLINK("https://klasma.github.io/Logging_2581/tillsynsmail/S 1285-2025 tillsynsbegäran mail.docx", "S 1285-2025")</f>
        <v/>
      </c>
    </row>
    <row r="102" ht="15" customHeight="1">
      <c r="A102" t="inlineStr">
        <is>
          <t>S 3310-2025</t>
        </is>
      </c>
      <c r="B102" t="inlineStr">
        <is>
          <t>samrådsanmälan</t>
        </is>
      </c>
      <c r="C102" t="inlineStr">
        <is>
          <t>Annan skogsbruksåtgärd</t>
        </is>
      </c>
      <c r="D102" s="1" t="n">
        <v>45987</v>
      </c>
      <c r="E102" s="1" t="n">
        <v>46219</v>
      </c>
      <c r="F102" t="inlineStr">
        <is>
          <t>NORRBOTTENS LÄN</t>
        </is>
      </c>
      <c r="G102" t="inlineStr">
        <is>
          <t>PITEÅ</t>
        </is>
      </c>
      <c r="H102" t="inlineStr">
        <is>
          <t>Övriga statliga verk och myndigheter</t>
        </is>
      </c>
      <c r="I102" t="n">
        <v>8</v>
      </c>
      <c r="J102" t="n">
        <v>1</v>
      </c>
      <c r="K102" t="n">
        <v>0</v>
      </c>
      <c r="L102" t="n">
        <v>1</v>
      </c>
      <c r="M102" t="n">
        <v>0</v>
      </c>
      <c r="N102" t="n">
        <v>0</v>
      </c>
      <c r="O102" t="n">
        <v>0</v>
      </c>
      <c r="P102" t="n">
        <v>0</v>
      </c>
      <c r="Q102" t="n">
        <v>1</v>
      </c>
      <c r="R102" t="n">
        <v>0</v>
      </c>
      <c r="S102" t="n">
        <v>1</v>
      </c>
      <c r="T102" t="n">
        <v>1</v>
      </c>
      <c r="U102" s="2" t="inlineStr">
        <is>
          <t>Talltita</t>
        </is>
      </c>
      <c r="V102">
        <f>HYPERLINK("https://klasma.github.io/Logging_2581/artfynd/S 3310-2025 artfynd.xlsx", "S 3310-2025")</f>
        <v/>
      </c>
      <c r="W102">
        <f>HYPERLINK("https://klasma.github.io/Logging_2581/kartor/S 3310-2025 karta.png", "S 3310-2025")</f>
        <v/>
      </c>
      <c r="Y102">
        <f>HYPERLINK("https://klasma.github.io/Logging_2581/klagomål/S 3310-2025 FSC-klagomål.docx", "S 3310-2025")</f>
        <v/>
      </c>
      <c r="Z102">
        <f>HYPERLINK("https://klasma.github.io/Logging_2581/klagomålsmail/S 3310-2025 FSC-klagomål mail.docx", "S 3310-2025")</f>
        <v/>
      </c>
      <c r="AA102">
        <f>HYPERLINK("https://klasma.github.io/Logging_2581/tillsyn/S 3310-2025 tillsynsbegäran.docx", "S 3310-2025")</f>
        <v/>
      </c>
      <c r="AB102">
        <f>HYPERLINK("https://klasma.github.io/Logging_2581/tillsynsmail/S 3310-2025 tillsynsbegäran mail.docx", "S 3310-2025")</f>
        <v/>
      </c>
      <c r="AC102">
        <f>HYPERLINK("https://klasma.github.io/Logging_2581/fåglar/S 3310-2025 prioriterade fågelarter.docx", "S 3310-2025")</f>
        <v/>
      </c>
    </row>
    <row r="103" ht="15" customHeight="1">
      <c r="A103" t="inlineStr">
        <is>
          <t>A 50644-2022</t>
        </is>
      </c>
      <c r="B103" t="inlineStr">
        <is>
          <t>avverkningsanmälan</t>
        </is>
      </c>
      <c r="C103" t="inlineStr">
        <is>
          <t>Föryngringsavverkning</t>
        </is>
      </c>
      <c r="D103" s="1" t="n">
        <v>44866</v>
      </c>
      <c r="E103" s="1" t="n">
        <v>46219</v>
      </c>
      <c r="F103" t="inlineStr">
        <is>
          <t>NORRBOTTENS LÄN</t>
        </is>
      </c>
      <c r="G103" t="inlineStr">
        <is>
          <t>PITEÅ</t>
        </is>
      </c>
      <c r="H103" t="inlineStr">
        <is>
          <t>SCA</t>
        </is>
      </c>
      <c r="I103" t="n">
        <v>17.6</v>
      </c>
      <c r="J103" t="n">
        <v>0</v>
      </c>
      <c r="K103" t="n">
        <v>0</v>
      </c>
      <c r="L103" t="n">
        <v>0</v>
      </c>
      <c r="M103" t="n">
        <v>0</v>
      </c>
      <c r="N103" t="n">
        <v>0</v>
      </c>
      <c r="O103" t="n">
        <v>0</v>
      </c>
      <c r="P103" t="n">
        <v>0</v>
      </c>
      <c r="Q103" t="n">
        <v>0</v>
      </c>
      <c r="R103" t="n">
        <v>0</v>
      </c>
      <c r="S103" t="n">
        <v>0</v>
      </c>
      <c r="T103" t="n">
        <v>0</v>
      </c>
      <c r="U103" s="2" t="inlineStr"/>
    </row>
    <row r="104" ht="15" customHeight="1">
      <c r="A104" t="inlineStr">
        <is>
          <t>A 52003-2021</t>
        </is>
      </c>
      <c r="B104" t="inlineStr">
        <is>
          <t>avverkningsanmälan</t>
        </is>
      </c>
      <c r="C104" t="inlineStr">
        <is>
          <t>Avverkning för annat ändamål</t>
        </is>
      </c>
      <c r="D104" s="1" t="n">
        <v>44463</v>
      </c>
      <c r="E104" s="1" t="n">
        <v>46219</v>
      </c>
      <c r="F104" t="inlineStr">
        <is>
          <t>NORRBOTTENS LÄN</t>
        </is>
      </c>
      <c r="G104" t="inlineStr">
        <is>
          <t>PITEÅ</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70706-2021</t>
        </is>
      </c>
      <c r="B105" t="inlineStr">
        <is>
          <t>avverkningsanmälan</t>
        </is>
      </c>
      <c r="C105" t="inlineStr">
        <is>
          <t>Föryngringsavverkning</t>
        </is>
      </c>
      <c r="D105" s="1" t="n">
        <v>44536</v>
      </c>
      <c r="E105" s="1" t="n">
        <v>46219</v>
      </c>
      <c r="F105" t="inlineStr">
        <is>
          <t>NORRBOTTENS LÄN</t>
        </is>
      </c>
      <c r="G105" t="inlineStr">
        <is>
          <t>PITEÅ</t>
        </is>
      </c>
      <c r="I105" t="n">
        <v>4.9</v>
      </c>
      <c r="J105" t="n">
        <v>0</v>
      </c>
      <c r="K105" t="n">
        <v>0</v>
      </c>
      <c r="L105" t="n">
        <v>0</v>
      </c>
      <c r="M105" t="n">
        <v>0</v>
      </c>
      <c r="N105" t="n">
        <v>0</v>
      </c>
      <c r="O105" t="n">
        <v>0</v>
      </c>
      <c r="P105" t="n">
        <v>0</v>
      </c>
      <c r="Q105" t="n">
        <v>0</v>
      </c>
      <c r="R105" t="n">
        <v>0</v>
      </c>
      <c r="S105" t="n">
        <v>0</v>
      </c>
      <c r="T105" t="n">
        <v>0</v>
      </c>
      <c r="U105" s="2" t="inlineStr"/>
    </row>
    <row r="106" ht="15" customHeight="1">
      <c r="A106" t="inlineStr">
        <is>
          <t>A 70093-2021</t>
        </is>
      </c>
      <c r="B106" t="inlineStr">
        <is>
          <t>avverkningsanmälan</t>
        </is>
      </c>
      <c r="C106" t="inlineStr">
        <is>
          <t>Föryngringsavverkning</t>
        </is>
      </c>
      <c r="D106" s="1" t="n">
        <v>44531</v>
      </c>
      <c r="E106" s="1" t="n">
        <v>46219</v>
      </c>
      <c r="F106" t="inlineStr">
        <is>
          <t>NORRBOTTENS LÄN</t>
        </is>
      </c>
      <c r="G106" t="inlineStr">
        <is>
          <t>PITEÅ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39410-2022</t>
        </is>
      </c>
      <c r="B107" t="inlineStr">
        <is>
          <t>avverkningsanmälan</t>
        </is>
      </c>
      <c r="C107" t="inlineStr">
        <is>
          <t>Föryngringsavverkning</t>
        </is>
      </c>
      <c r="D107" s="1" t="n">
        <v>44817</v>
      </c>
      <c r="E107" s="1" t="n">
        <v>46219</v>
      </c>
      <c r="F107" t="inlineStr">
        <is>
          <t>NORRBOTTENS LÄN</t>
        </is>
      </c>
      <c r="G107" t="inlineStr">
        <is>
          <t>PITEÅ</t>
        </is>
      </c>
      <c r="H107" t="inlineStr">
        <is>
          <t>SCA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71242-2021</t>
        </is>
      </c>
      <c r="B108" t="inlineStr">
        <is>
          <t>avverkningsanmälan</t>
        </is>
      </c>
      <c r="C108" t="inlineStr">
        <is>
          <t>Föryngringsavverkning</t>
        </is>
      </c>
      <c r="D108" s="1" t="n">
        <v>44538</v>
      </c>
      <c r="E108" s="1" t="n">
        <v>46219</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28488-2022</t>
        </is>
      </c>
      <c r="B109" t="inlineStr">
        <is>
          <t>avverkningsanmälan</t>
        </is>
      </c>
      <c r="C109" t="inlineStr">
        <is>
          <t>Föryngringsavverkning</t>
        </is>
      </c>
      <c r="D109" s="1" t="n">
        <v>44747</v>
      </c>
      <c r="E109" s="1" t="n">
        <v>46219</v>
      </c>
      <c r="F109" t="inlineStr">
        <is>
          <t>NORRBOTTENS LÄN</t>
        </is>
      </c>
      <c r="G109" t="inlineStr">
        <is>
          <t>PITEÅ</t>
        </is>
      </c>
      <c r="H109" t="inlineStr">
        <is>
          <t>SCA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39948-2021</t>
        </is>
      </c>
      <c r="B110" t="inlineStr">
        <is>
          <t>avverkningsanmälan</t>
        </is>
      </c>
      <c r="C110" t="inlineStr">
        <is>
          <t>Föryngringsavverkning</t>
        </is>
      </c>
      <c r="D110" s="1" t="n">
        <v>44417</v>
      </c>
      <c r="E110" s="1" t="n">
        <v>46219</v>
      </c>
      <c r="F110" t="inlineStr">
        <is>
          <t>NORRBOTTENS LÄN</t>
        </is>
      </c>
      <c r="G110" t="inlineStr">
        <is>
          <t>PITEÅ</t>
        </is>
      </c>
      <c r="H110" t="inlineStr">
        <is>
          <t>SCA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42787-2021</t>
        </is>
      </c>
      <c r="B111" t="inlineStr">
        <is>
          <t>avverkningsanmälan</t>
        </is>
      </c>
      <c r="C111" t="inlineStr">
        <is>
          <t>Föryngringsavverkning</t>
        </is>
      </c>
      <c r="D111" s="1" t="n">
        <v>44428</v>
      </c>
      <c r="E111" s="1" t="n">
        <v>46219</v>
      </c>
      <c r="F111" t="inlineStr">
        <is>
          <t>NORRBOTTENS LÄN</t>
        </is>
      </c>
      <c r="G111" t="inlineStr">
        <is>
          <t>PITEÅ</t>
        </is>
      </c>
      <c r="I111" t="n">
        <v>18.3</v>
      </c>
      <c r="J111" t="n">
        <v>0</v>
      </c>
      <c r="K111" t="n">
        <v>0</v>
      </c>
      <c r="L111" t="n">
        <v>0</v>
      </c>
      <c r="M111" t="n">
        <v>0</v>
      </c>
      <c r="N111" t="n">
        <v>0</v>
      </c>
      <c r="O111" t="n">
        <v>0</v>
      </c>
      <c r="P111" t="n">
        <v>0</v>
      </c>
      <c r="Q111" t="n">
        <v>0</v>
      </c>
      <c r="R111" t="n">
        <v>0</v>
      </c>
      <c r="S111" t="n">
        <v>0</v>
      </c>
      <c r="T111" t="n">
        <v>0</v>
      </c>
      <c r="U111" s="2" t="inlineStr"/>
    </row>
    <row r="112" ht="15" customHeight="1">
      <c r="A112" t="inlineStr">
        <is>
          <t>A 61112-2021</t>
        </is>
      </c>
      <c r="B112" t="inlineStr">
        <is>
          <t>avverkningsanmälan</t>
        </is>
      </c>
      <c r="C112" t="inlineStr">
        <is>
          <t>Föryngringsavverkning</t>
        </is>
      </c>
      <c r="D112" s="1" t="n">
        <v>44498</v>
      </c>
      <c r="E112" s="1" t="n">
        <v>46219</v>
      </c>
      <c r="F112" t="inlineStr">
        <is>
          <t>NORRBOTTENS LÄN</t>
        </is>
      </c>
      <c r="G112" t="inlineStr">
        <is>
          <t>PITEÅ</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48118-2022</t>
        </is>
      </c>
      <c r="B113" t="inlineStr">
        <is>
          <t>avverkningsanmälan</t>
        </is>
      </c>
      <c r="C113" t="inlineStr">
        <is>
          <t>Föryngringsavverkning</t>
        </is>
      </c>
      <c r="D113" s="1" t="n">
        <v>44857</v>
      </c>
      <c r="E113" s="1" t="n">
        <v>46219</v>
      </c>
      <c r="F113" t="inlineStr">
        <is>
          <t>NORRBOTTENS LÄN</t>
        </is>
      </c>
      <c r="G113" t="inlineStr">
        <is>
          <t>PITEÅ</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60797-2021</t>
        </is>
      </c>
      <c r="B114" t="inlineStr">
        <is>
          <t>avverkningsanmälan</t>
        </is>
      </c>
      <c r="C114" t="inlineStr">
        <is>
          <t>Föryngringsavverkning</t>
        </is>
      </c>
      <c r="D114" s="1" t="n">
        <v>44495</v>
      </c>
      <c r="E114" s="1" t="n">
        <v>46219</v>
      </c>
      <c r="F114" t="inlineStr">
        <is>
          <t>NORRBOTTENS LÄN</t>
        </is>
      </c>
      <c r="G114" t="inlineStr">
        <is>
          <t>PITEÅ</t>
        </is>
      </c>
      <c r="H114" t="inlineStr">
        <is>
          <t>Sveaskog</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31977-2022</t>
        </is>
      </c>
      <c r="B115" t="inlineStr">
        <is>
          <t>avverkningsanmälan</t>
        </is>
      </c>
      <c r="C115" t="inlineStr">
        <is>
          <t>Föryngringsavverkning</t>
        </is>
      </c>
      <c r="D115" s="1" t="n">
        <v>44777</v>
      </c>
      <c r="E115" s="1" t="n">
        <v>46219</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38902-2022</t>
        </is>
      </c>
      <c r="B116" t="inlineStr">
        <is>
          <t>avverkningsanmälan</t>
        </is>
      </c>
      <c r="C116" t="inlineStr">
        <is>
          <t>Föryngringsavverkning</t>
        </is>
      </c>
      <c r="D116" s="1" t="n">
        <v>44816</v>
      </c>
      <c r="E116" s="1" t="n">
        <v>46219</v>
      </c>
      <c r="F116" t="inlineStr">
        <is>
          <t>NORRBOTTENS LÄN</t>
        </is>
      </c>
      <c r="G116" t="inlineStr">
        <is>
          <t>PITEÅ</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46605-2022</t>
        </is>
      </c>
      <c r="B117" t="inlineStr">
        <is>
          <t>avverkningsanmälan</t>
        </is>
      </c>
      <c r="C117" t="inlineStr">
        <is>
          <t>Föryngringsavverkning</t>
        </is>
      </c>
      <c r="D117" s="1" t="n">
        <v>44848</v>
      </c>
      <c r="E117" s="1" t="n">
        <v>46219</v>
      </c>
      <c r="F117" t="inlineStr">
        <is>
          <t>NORRBOTTENS LÄN</t>
        </is>
      </c>
      <c r="G117" t="inlineStr">
        <is>
          <t>PITEÅ</t>
        </is>
      </c>
      <c r="H117" t="inlineStr">
        <is>
          <t>SCA</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3089-2022</t>
        </is>
      </c>
      <c r="B118" t="inlineStr">
        <is>
          <t>avverkningsanmälan</t>
        </is>
      </c>
      <c r="C118" t="inlineStr">
        <is>
          <t>Föryngringsavverkning</t>
        </is>
      </c>
      <c r="D118" s="1" t="n">
        <v>44582</v>
      </c>
      <c r="E118" s="1" t="n">
        <v>46219</v>
      </c>
      <c r="F118" t="inlineStr">
        <is>
          <t>NORRBOTTENS LÄN</t>
        </is>
      </c>
      <c r="G118" t="inlineStr">
        <is>
          <t>PITEÅ</t>
        </is>
      </c>
      <c r="I118" t="n">
        <v>43.8</v>
      </c>
      <c r="J118" t="n">
        <v>0</v>
      </c>
      <c r="K118" t="n">
        <v>0</v>
      </c>
      <c r="L118" t="n">
        <v>0</v>
      </c>
      <c r="M118" t="n">
        <v>0</v>
      </c>
      <c r="N118" t="n">
        <v>0</v>
      </c>
      <c r="O118" t="n">
        <v>0</v>
      </c>
      <c r="P118" t="n">
        <v>0</v>
      </c>
      <c r="Q118" t="n">
        <v>0</v>
      </c>
      <c r="R118" t="n">
        <v>0</v>
      </c>
      <c r="S118" t="n">
        <v>0</v>
      </c>
      <c r="T118" t="n">
        <v>0</v>
      </c>
      <c r="U118" s="2" t="inlineStr"/>
    </row>
    <row r="119" ht="15" customHeight="1">
      <c r="A119" t="inlineStr">
        <is>
          <t>A 3093-2022</t>
        </is>
      </c>
      <c r="B119" t="inlineStr">
        <is>
          <t>avverkningsanmälan</t>
        </is>
      </c>
      <c r="C119" t="inlineStr">
        <is>
          <t>Föryngringsavverkning</t>
        </is>
      </c>
      <c r="D119" s="1" t="n">
        <v>44582</v>
      </c>
      <c r="E119" s="1" t="n">
        <v>46219</v>
      </c>
      <c r="F119" t="inlineStr">
        <is>
          <t>NORRBOTTENS LÄN</t>
        </is>
      </c>
      <c r="G119" t="inlineStr">
        <is>
          <t>PITEÅ</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6110-2022</t>
        </is>
      </c>
      <c r="B120" t="inlineStr">
        <is>
          <t>avverkningsanmälan</t>
        </is>
      </c>
      <c r="C120" t="inlineStr">
        <is>
          <t>Avverkning för annat ändamål</t>
        </is>
      </c>
      <c r="D120" s="1" t="n">
        <v>44599</v>
      </c>
      <c r="E120" s="1" t="n">
        <v>46219</v>
      </c>
      <c r="F120" t="inlineStr">
        <is>
          <t>NORRBOTTENS LÄN</t>
        </is>
      </c>
      <c r="G120" t="inlineStr">
        <is>
          <t>PITEÅ</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56888-2021</t>
        </is>
      </c>
      <c r="B121" t="inlineStr">
        <is>
          <t>avverkningsanmälan</t>
        </is>
      </c>
      <c r="C121" t="inlineStr">
        <is>
          <t>Föryngringsavverkning</t>
        </is>
      </c>
      <c r="D121" s="1" t="n">
        <v>44481</v>
      </c>
      <c r="E121" s="1" t="n">
        <v>46219</v>
      </c>
      <c r="F121" t="inlineStr">
        <is>
          <t>NORRBOTTENS LÄN</t>
        </is>
      </c>
      <c r="G121" t="inlineStr">
        <is>
          <t>PITEÅ</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62115-2021</t>
        </is>
      </c>
      <c r="B122" t="inlineStr">
        <is>
          <t>avverkningsanmälan</t>
        </is>
      </c>
      <c r="C122" t="inlineStr">
        <is>
          <t>Föryngringsavverkning</t>
        </is>
      </c>
      <c r="D122" s="1" t="n">
        <v>44502</v>
      </c>
      <c r="E122" s="1" t="n">
        <v>46219</v>
      </c>
      <c r="F122" t="inlineStr">
        <is>
          <t>NORRBOTTENS LÄN</t>
        </is>
      </c>
      <c r="G122" t="inlineStr">
        <is>
          <t>PITEÅ</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58944-2021</t>
        </is>
      </c>
      <c r="B123" t="inlineStr">
        <is>
          <t>avverkningsanmälan</t>
        </is>
      </c>
      <c r="C123" t="inlineStr">
        <is>
          <t>Föryngringsavverkning</t>
        </is>
      </c>
      <c r="D123" s="1" t="n">
        <v>44489</v>
      </c>
      <c r="E123" s="1" t="n">
        <v>46219</v>
      </c>
      <c r="F123" t="inlineStr">
        <is>
          <t>NORRBOTTENS LÄN</t>
        </is>
      </c>
      <c r="G123" t="inlineStr">
        <is>
          <t>PITEÅ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49030-2021</t>
        </is>
      </c>
      <c r="B124" t="inlineStr">
        <is>
          <t>avverkningsanmälan</t>
        </is>
      </c>
      <c r="C124" t="inlineStr">
        <is>
          <t>Avverkning för annat ändamål</t>
        </is>
      </c>
      <c r="D124" s="1" t="n">
        <v>44453</v>
      </c>
      <c r="E124" s="1" t="n">
        <v>46219</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71270-2021</t>
        </is>
      </c>
      <c r="B125" t="inlineStr">
        <is>
          <t>avverkningsanmälan</t>
        </is>
      </c>
      <c r="C125" t="inlineStr">
        <is>
          <t>Föryngringsavverkning</t>
        </is>
      </c>
      <c r="D125" s="1" t="n">
        <v>44538</v>
      </c>
      <c r="E125" s="1" t="n">
        <v>46219</v>
      </c>
      <c r="F125" t="inlineStr">
        <is>
          <t>NORRBOTTENS LÄN</t>
        </is>
      </c>
      <c r="G125" t="inlineStr">
        <is>
          <t>PITEÅ</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71945-2021</t>
        </is>
      </c>
      <c r="B126" t="inlineStr">
        <is>
          <t>avverkningsanmälan</t>
        </is>
      </c>
      <c r="C126" t="inlineStr">
        <is>
          <t>Föryngringsavverkning</t>
        </is>
      </c>
      <c r="D126" s="1" t="n">
        <v>44543</v>
      </c>
      <c r="E126" s="1" t="n">
        <v>46219</v>
      </c>
      <c r="F126" t="inlineStr">
        <is>
          <t>NORRBOTTENS LÄN</t>
        </is>
      </c>
      <c r="G126" t="inlineStr">
        <is>
          <t>PITEÅ</t>
        </is>
      </c>
      <c r="H126" t="inlineStr">
        <is>
          <t>SCA</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46219</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27571-2022</t>
        </is>
      </c>
      <c r="B128" t="inlineStr">
        <is>
          <t>avverkningsanmälan</t>
        </is>
      </c>
      <c r="C128" t="inlineStr">
        <is>
          <t>Föryngringsavverkning</t>
        </is>
      </c>
      <c r="D128" s="1" t="n">
        <v>44742</v>
      </c>
      <c r="E128" s="1" t="n">
        <v>46219</v>
      </c>
      <c r="F128" t="inlineStr">
        <is>
          <t>NORRBOTTENS LÄN</t>
        </is>
      </c>
      <c r="G128" t="inlineStr">
        <is>
          <t>PITEÅ</t>
        </is>
      </c>
      <c r="H128" t="inlineStr">
        <is>
          <t>SCA</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21856-2022</t>
        </is>
      </c>
      <c r="B129" t="inlineStr">
        <is>
          <t>avverkningsanmälan</t>
        </is>
      </c>
      <c r="C129" t="inlineStr">
        <is>
          <t>Föryngringsavverkning</t>
        </is>
      </c>
      <c r="D129" s="1" t="n">
        <v>44708</v>
      </c>
      <c r="E129" s="1" t="n">
        <v>46219</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38896-2022</t>
        </is>
      </c>
      <c r="B130" t="inlineStr">
        <is>
          <t>avverkningsanmälan</t>
        </is>
      </c>
      <c r="C130" t="inlineStr">
        <is>
          <t>Föryngringsavverkning</t>
        </is>
      </c>
      <c r="D130" s="1" t="n">
        <v>44816</v>
      </c>
      <c r="E130" s="1" t="n">
        <v>46219</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38112-2022</t>
        </is>
      </c>
      <c r="B131" t="inlineStr">
        <is>
          <t>avverkningsanmälan</t>
        </is>
      </c>
      <c r="C131" t="inlineStr">
        <is>
          <t>Föryngringsavverkning</t>
        </is>
      </c>
      <c r="D131" s="1" t="n">
        <v>44811</v>
      </c>
      <c r="E131" s="1" t="n">
        <v>46219</v>
      </c>
      <c r="F131" t="inlineStr">
        <is>
          <t>NORRBOTTENS LÄN</t>
        </is>
      </c>
      <c r="G131" t="inlineStr">
        <is>
          <t>PITEÅ</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61370-2021</t>
        </is>
      </c>
      <c r="B132" t="inlineStr">
        <is>
          <t>avverkningsanmälan</t>
        </is>
      </c>
      <c r="C132" t="inlineStr">
        <is>
          <t>Föryngringsavverkning</t>
        </is>
      </c>
      <c r="D132" s="1" t="n">
        <v>44499</v>
      </c>
      <c r="E132" s="1" t="n">
        <v>46219</v>
      </c>
      <c r="F132" t="inlineStr">
        <is>
          <t>NORRBOTTENS LÄN</t>
        </is>
      </c>
      <c r="G132" t="inlineStr">
        <is>
          <t>PITEÅ</t>
        </is>
      </c>
      <c r="I132" t="n">
        <v>18.2</v>
      </c>
      <c r="J132" t="n">
        <v>0</v>
      </c>
      <c r="K132" t="n">
        <v>0</v>
      </c>
      <c r="L132" t="n">
        <v>0</v>
      </c>
      <c r="M132" t="n">
        <v>0</v>
      </c>
      <c r="N132" t="n">
        <v>0</v>
      </c>
      <c r="O132" t="n">
        <v>0</v>
      </c>
      <c r="P132" t="n">
        <v>0</v>
      </c>
      <c r="Q132" t="n">
        <v>0</v>
      </c>
      <c r="R132" t="n">
        <v>0</v>
      </c>
      <c r="S132" t="n">
        <v>0</v>
      </c>
      <c r="T132" t="n">
        <v>0</v>
      </c>
      <c r="U132" s="2" t="inlineStr"/>
    </row>
    <row r="133" ht="15" customHeight="1">
      <c r="A133" t="inlineStr">
        <is>
          <t>A 39409-2022</t>
        </is>
      </c>
      <c r="B133" t="inlineStr">
        <is>
          <t>avverkningsanmälan</t>
        </is>
      </c>
      <c r="C133" t="inlineStr">
        <is>
          <t>Föryngringsavverkning</t>
        </is>
      </c>
      <c r="D133" s="1" t="n">
        <v>44817</v>
      </c>
      <c r="E133" s="1" t="n">
        <v>46219</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60730-2021</t>
        </is>
      </c>
      <c r="B134" t="inlineStr">
        <is>
          <t>avverkningsanmälan</t>
        </is>
      </c>
      <c r="C134" t="inlineStr">
        <is>
          <t>Föryngringsavverkning</t>
        </is>
      </c>
      <c r="D134" s="1" t="n">
        <v>44496</v>
      </c>
      <c r="E134" s="1" t="n">
        <v>46219</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46219</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4536-2022</t>
        </is>
      </c>
      <c r="B136" t="inlineStr">
        <is>
          <t>avverkningsanmälan</t>
        </is>
      </c>
      <c r="C136" t="inlineStr">
        <is>
          <t>Avverkning för att bevara och utveckla /försöksver</t>
        </is>
      </c>
      <c r="D136" s="1" t="n">
        <v>44590</v>
      </c>
      <c r="E136" s="1" t="n">
        <v>46219</v>
      </c>
      <c r="F136" t="inlineStr">
        <is>
          <t>NORRBOTTENS LÄN</t>
        </is>
      </c>
      <c r="G136" t="inlineStr">
        <is>
          <t>PITEÅ</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46219</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52001-2021</t>
        </is>
      </c>
      <c r="B138" t="inlineStr">
        <is>
          <t>avverkningsanmälan</t>
        </is>
      </c>
      <c r="C138" t="inlineStr">
        <is>
          <t>Avverkning för annat ändamål</t>
        </is>
      </c>
      <c r="D138" s="1" t="n">
        <v>44463</v>
      </c>
      <c r="E138" s="1" t="n">
        <v>46219</v>
      </c>
      <c r="F138" t="inlineStr">
        <is>
          <t>NORRBOTTENS LÄN</t>
        </is>
      </c>
      <c r="G138" t="inlineStr">
        <is>
          <t>PITEÅ</t>
        </is>
      </c>
      <c r="H138" t="inlineStr">
        <is>
          <t>Sveaskog</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40713-2022</t>
        </is>
      </c>
      <c r="B139" t="inlineStr">
        <is>
          <t>avverkningsanmälan</t>
        </is>
      </c>
      <c r="C139" t="inlineStr">
        <is>
          <t>Avverkning för annat ändamål</t>
        </is>
      </c>
      <c r="D139" s="1" t="n">
        <v>44820</v>
      </c>
      <c r="E139" s="1" t="n">
        <v>46219</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62649-2021</t>
        </is>
      </c>
      <c r="B140" t="inlineStr">
        <is>
          <t>avverkningsanmälan</t>
        </is>
      </c>
      <c r="C140" t="inlineStr">
        <is>
          <t>Avverkning för annat ändamål</t>
        </is>
      </c>
      <c r="D140" s="1" t="n">
        <v>44503</v>
      </c>
      <c r="E140" s="1" t="n">
        <v>46219</v>
      </c>
      <c r="F140" t="inlineStr">
        <is>
          <t>NORRBOTTENS LÄN</t>
        </is>
      </c>
      <c r="G140" t="inlineStr">
        <is>
          <t>PITEÅ</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39005-2022</t>
        </is>
      </c>
      <c r="B141" t="inlineStr">
        <is>
          <t>avverkningsanmälan</t>
        </is>
      </c>
      <c r="C141" t="inlineStr">
        <is>
          <t>Föryngringsavverkning</t>
        </is>
      </c>
      <c r="D141" s="1" t="n">
        <v>44816</v>
      </c>
      <c r="E141" s="1" t="n">
        <v>46219</v>
      </c>
      <c r="F141" t="inlineStr">
        <is>
          <t>NORRBOTTENS LÄN</t>
        </is>
      </c>
      <c r="G141" t="inlineStr">
        <is>
          <t>PITEÅ</t>
        </is>
      </c>
      <c r="H141" t="inlineStr">
        <is>
          <t>SCA</t>
        </is>
      </c>
      <c r="I141" t="n">
        <v>23.9</v>
      </c>
      <c r="J141" t="n">
        <v>0</v>
      </c>
      <c r="K141" t="n">
        <v>0</v>
      </c>
      <c r="L141" t="n">
        <v>0</v>
      </c>
      <c r="M141" t="n">
        <v>0</v>
      </c>
      <c r="N141" t="n">
        <v>0</v>
      </c>
      <c r="O141" t="n">
        <v>0</v>
      </c>
      <c r="P141" t="n">
        <v>0</v>
      </c>
      <c r="Q141" t="n">
        <v>0</v>
      </c>
      <c r="R141" t="n">
        <v>0</v>
      </c>
      <c r="S141" t="n">
        <v>0</v>
      </c>
      <c r="T141" t="n">
        <v>0</v>
      </c>
      <c r="U141" s="2" t="inlineStr"/>
    </row>
    <row r="142" ht="15" customHeight="1">
      <c r="A142" t="inlineStr">
        <is>
          <t>A 55074-2022</t>
        </is>
      </c>
      <c r="B142" t="inlineStr">
        <is>
          <t>avverkningsanmälan</t>
        </is>
      </c>
      <c r="C142" t="inlineStr">
        <is>
          <t>Föryngringsavverkning</t>
        </is>
      </c>
      <c r="D142" s="1" t="n">
        <v>44886</v>
      </c>
      <c r="E142" s="1" t="n">
        <v>46219</v>
      </c>
      <c r="F142" t="inlineStr">
        <is>
          <t>NORRBOTTENS LÄN</t>
        </is>
      </c>
      <c r="G142" t="inlineStr">
        <is>
          <t>PITEÅ</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4535-2022</t>
        </is>
      </c>
      <c r="B143" t="inlineStr">
        <is>
          <t>avverkningsanmälan</t>
        </is>
      </c>
      <c r="C143" t="inlineStr">
        <is>
          <t>Föryngringsavverkning</t>
        </is>
      </c>
      <c r="D143" s="1" t="n">
        <v>44590</v>
      </c>
      <c r="E143" s="1" t="n">
        <v>46219</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61303-2023</t>
        </is>
      </c>
      <c r="B144" t="inlineStr">
        <is>
          <t>avverkningsanmälan</t>
        </is>
      </c>
      <c r="C144" t="inlineStr">
        <is>
          <t>Föryngringsavverkning</t>
        </is>
      </c>
      <c r="D144" s="1" t="n">
        <v>45264</v>
      </c>
      <c r="E144" s="1" t="n">
        <v>46219</v>
      </c>
      <c r="F144" t="inlineStr">
        <is>
          <t>NORRBOTTENS LÄN</t>
        </is>
      </c>
      <c r="G144" t="inlineStr">
        <is>
          <t>PITEÅ</t>
        </is>
      </c>
      <c r="I144" t="n">
        <v>6.9</v>
      </c>
      <c r="J144" t="n">
        <v>0</v>
      </c>
      <c r="K144" t="n">
        <v>0</v>
      </c>
      <c r="L144" t="n">
        <v>0</v>
      </c>
      <c r="M144" t="n">
        <v>0</v>
      </c>
      <c r="N144" t="n">
        <v>0</v>
      </c>
      <c r="O144" t="n">
        <v>0</v>
      </c>
      <c r="P144" t="n">
        <v>0</v>
      </c>
      <c r="Q144" t="n">
        <v>0</v>
      </c>
      <c r="R144" t="n">
        <v>0</v>
      </c>
      <c r="S144" t="n">
        <v>0</v>
      </c>
      <c r="T144" t="n">
        <v>0</v>
      </c>
      <c r="U144" s="2" t="inlineStr"/>
    </row>
    <row r="145" ht="15" customHeight="1">
      <c r="A145" t="inlineStr">
        <is>
          <t>A 57897-2023</t>
        </is>
      </c>
      <c r="B145" t="inlineStr">
        <is>
          <t>avverkningsanmälan</t>
        </is>
      </c>
      <c r="C145" t="inlineStr">
        <is>
          <t>Föryngringsavverkning</t>
        </is>
      </c>
      <c r="D145" s="1" t="n">
        <v>45244</v>
      </c>
      <c r="E145" s="1" t="n">
        <v>46219</v>
      </c>
      <c r="F145" t="inlineStr">
        <is>
          <t>NORRBOTTENS LÄN</t>
        </is>
      </c>
      <c r="G145" t="inlineStr">
        <is>
          <t>PITEÅ</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16233-2023</t>
        </is>
      </c>
      <c r="B146" t="inlineStr">
        <is>
          <t>avverkningsanmälan</t>
        </is>
      </c>
      <c r="C146" t="inlineStr">
        <is>
          <t>Föryngringsavverkning</t>
        </is>
      </c>
      <c r="D146" s="1" t="n">
        <v>45028</v>
      </c>
      <c r="E146" s="1" t="n">
        <v>46219</v>
      </c>
      <c r="F146" t="inlineStr">
        <is>
          <t>NORRBOTTENS LÄN</t>
        </is>
      </c>
      <c r="G146" t="inlineStr">
        <is>
          <t>PITEÅ</t>
        </is>
      </c>
      <c r="I146" t="n">
        <v>5.6</v>
      </c>
      <c r="J146" t="n">
        <v>0</v>
      </c>
      <c r="K146" t="n">
        <v>0</v>
      </c>
      <c r="L146" t="n">
        <v>0</v>
      </c>
      <c r="M146" t="n">
        <v>0</v>
      </c>
      <c r="N146" t="n">
        <v>0</v>
      </c>
      <c r="O146" t="n">
        <v>0</v>
      </c>
      <c r="P146" t="n">
        <v>0</v>
      </c>
      <c r="Q146" t="n">
        <v>0</v>
      </c>
      <c r="R146" t="n">
        <v>0</v>
      </c>
      <c r="S146" t="n">
        <v>0</v>
      </c>
      <c r="T146" t="n">
        <v>0</v>
      </c>
      <c r="U146" s="2" t="inlineStr"/>
    </row>
    <row r="147" ht="15" customHeight="1">
      <c r="A147" t="inlineStr">
        <is>
          <t>A 26390-2022</t>
        </is>
      </c>
      <c r="B147" t="inlineStr">
        <is>
          <t>avverkningsanmälan</t>
        </is>
      </c>
      <c r="C147" t="inlineStr">
        <is>
          <t>Föryngringsavverkning</t>
        </is>
      </c>
      <c r="D147" s="1" t="n">
        <v>44735</v>
      </c>
      <c r="E147" s="1" t="n">
        <v>46219</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37703-2024</t>
        </is>
      </c>
      <c r="B148" t="inlineStr">
        <is>
          <t>avverkningsanmälan</t>
        </is>
      </c>
      <c r="C148" t="inlineStr">
        <is>
          <t>Föryngringsavverkning</t>
        </is>
      </c>
      <c r="D148" s="1" t="n">
        <v>45541</v>
      </c>
      <c r="E148" s="1" t="n">
        <v>46219</v>
      </c>
      <c r="F148" t="inlineStr">
        <is>
          <t>NORRBOTTENS LÄN</t>
        </is>
      </c>
      <c r="G148" t="inlineStr">
        <is>
          <t>PITEÅ</t>
        </is>
      </c>
      <c r="I148" t="n">
        <v>14.1</v>
      </c>
      <c r="J148" t="n">
        <v>0</v>
      </c>
      <c r="K148" t="n">
        <v>0</v>
      </c>
      <c r="L148" t="n">
        <v>0</v>
      </c>
      <c r="M148" t="n">
        <v>0</v>
      </c>
      <c r="N148" t="n">
        <v>0</v>
      </c>
      <c r="O148" t="n">
        <v>0</v>
      </c>
      <c r="P148" t="n">
        <v>0</v>
      </c>
      <c r="Q148" t="n">
        <v>0</v>
      </c>
      <c r="R148" t="n">
        <v>0</v>
      </c>
      <c r="S148" t="n">
        <v>0</v>
      </c>
      <c r="T148" t="n">
        <v>0</v>
      </c>
      <c r="U148" s="2" t="inlineStr"/>
    </row>
    <row r="149" ht="15" customHeight="1">
      <c r="A149" t="inlineStr">
        <is>
          <t>A 64971-2023</t>
        </is>
      </c>
      <c r="B149" t="inlineStr">
        <is>
          <t>avverkningsanmälan</t>
        </is>
      </c>
      <c r="C149" t="inlineStr">
        <is>
          <t>Föryngringsavverkning</t>
        </is>
      </c>
      <c r="D149" s="1" t="n">
        <v>45285</v>
      </c>
      <c r="E149" s="1" t="n">
        <v>46219</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17994-2024</t>
        </is>
      </c>
      <c r="B150" t="inlineStr">
        <is>
          <t>avverkningsanmälan</t>
        </is>
      </c>
      <c r="C150" t="inlineStr">
        <is>
          <t>Föryngringsavverkning</t>
        </is>
      </c>
      <c r="D150" s="1" t="n">
        <v>45419</v>
      </c>
      <c r="E150" s="1" t="n">
        <v>46219</v>
      </c>
      <c r="F150" t="inlineStr">
        <is>
          <t>NORRBOTTENS LÄN</t>
        </is>
      </c>
      <c r="G150" t="inlineStr">
        <is>
          <t>PITEÅ</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2219-2024</t>
        </is>
      </c>
      <c r="B151" t="inlineStr">
        <is>
          <t>avverkningsanmälan</t>
        </is>
      </c>
      <c r="C151" t="inlineStr">
        <is>
          <t>Föryngringsavverkning</t>
        </is>
      </c>
      <c r="D151" s="1" t="n">
        <v>45309</v>
      </c>
      <c r="E151" s="1" t="n">
        <v>46219</v>
      </c>
      <c r="F151" t="inlineStr">
        <is>
          <t>NORRBOTTENS LÄN</t>
        </is>
      </c>
      <c r="G151" t="inlineStr">
        <is>
          <t>PITEÅ</t>
        </is>
      </c>
      <c r="I151" t="n">
        <v>6.4</v>
      </c>
      <c r="J151" t="n">
        <v>0</v>
      </c>
      <c r="K151" t="n">
        <v>0</v>
      </c>
      <c r="L151" t="n">
        <v>0</v>
      </c>
      <c r="M151" t="n">
        <v>0</v>
      </c>
      <c r="N151" t="n">
        <v>0</v>
      </c>
      <c r="O151" t="n">
        <v>0</v>
      </c>
      <c r="P151" t="n">
        <v>0</v>
      </c>
      <c r="Q151" t="n">
        <v>0</v>
      </c>
      <c r="R151" t="n">
        <v>0</v>
      </c>
      <c r="S151" t="n">
        <v>0</v>
      </c>
      <c r="T151" t="n">
        <v>0</v>
      </c>
      <c r="U151" s="2" t="inlineStr"/>
    </row>
    <row r="152" ht="15" customHeight="1">
      <c r="A152" t="inlineStr">
        <is>
          <t>A 10353-2022</t>
        </is>
      </c>
      <c r="B152" t="inlineStr">
        <is>
          <t>avverkningsanmälan</t>
        </is>
      </c>
      <c r="C152" t="inlineStr">
        <is>
          <t>Föryngringsavverkning</t>
        </is>
      </c>
      <c r="D152" s="1" t="n">
        <v>44622</v>
      </c>
      <c r="E152" s="1" t="n">
        <v>46219</v>
      </c>
      <c r="F152" t="inlineStr">
        <is>
          <t>NORRBOTTENS LÄN</t>
        </is>
      </c>
      <c r="G152" t="inlineStr">
        <is>
          <t>PITEÅ</t>
        </is>
      </c>
      <c r="I152" t="n">
        <v>5.5</v>
      </c>
      <c r="J152" t="n">
        <v>0</v>
      </c>
      <c r="K152" t="n">
        <v>0</v>
      </c>
      <c r="L152" t="n">
        <v>0</v>
      </c>
      <c r="M152" t="n">
        <v>0</v>
      </c>
      <c r="N152" t="n">
        <v>0</v>
      </c>
      <c r="O152" t="n">
        <v>0</v>
      </c>
      <c r="P152" t="n">
        <v>0</v>
      </c>
      <c r="Q152" t="n">
        <v>0</v>
      </c>
      <c r="R152" t="n">
        <v>0</v>
      </c>
      <c r="S152" t="n">
        <v>0</v>
      </c>
      <c r="T152" t="n">
        <v>0</v>
      </c>
      <c r="U152" s="2" t="inlineStr"/>
    </row>
    <row r="153" ht="15" customHeight="1">
      <c r="A153" t="inlineStr">
        <is>
          <t>A 54526-2024</t>
        </is>
      </c>
      <c r="B153" t="inlineStr">
        <is>
          <t>avverkningsanmälan</t>
        </is>
      </c>
      <c r="C153" t="inlineStr">
        <is>
          <t>Föryngringsavverkning</t>
        </is>
      </c>
      <c r="D153" s="1" t="n">
        <v>45617</v>
      </c>
      <c r="E153" s="1" t="n">
        <v>46219</v>
      </c>
      <c r="F153" t="inlineStr">
        <is>
          <t>NORRBOTTENS LÄN</t>
        </is>
      </c>
      <c r="G153" t="inlineStr">
        <is>
          <t>PITEÅ</t>
        </is>
      </c>
      <c r="H153" t="inlineStr">
        <is>
          <t>Sveaskog</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20689-2022</t>
        </is>
      </c>
      <c r="B154" t="inlineStr">
        <is>
          <t>avverkningsanmälan</t>
        </is>
      </c>
      <c r="C154" t="inlineStr">
        <is>
          <t>Föryngringsavverkning</t>
        </is>
      </c>
      <c r="D154" s="1" t="n">
        <v>44700</v>
      </c>
      <c r="E154" s="1" t="n">
        <v>46219</v>
      </c>
      <c r="F154" t="inlineStr">
        <is>
          <t>NORRBOTTENS LÄN</t>
        </is>
      </c>
      <c r="G154" t="inlineStr">
        <is>
          <t>PITEÅ</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38938-2024</t>
        </is>
      </c>
      <c r="B155" t="inlineStr">
        <is>
          <t>avverkningsanmälan</t>
        </is>
      </c>
      <c r="C155" t="inlineStr">
        <is>
          <t>Föryngringsavverkning</t>
        </is>
      </c>
      <c r="D155" s="1" t="n">
        <v>45548</v>
      </c>
      <c r="E155" s="1" t="n">
        <v>46219</v>
      </c>
      <c r="F155" t="inlineStr">
        <is>
          <t>NORRBOTTENS LÄN</t>
        </is>
      </c>
      <c r="G155" t="inlineStr">
        <is>
          <t>PITEÅ</t>
        </is>
      </c>
      <c r="H155" t="inlineStr">
        <is>
          <t>SCA</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8583-2023</t>
        </is>
      </c>
      <c r="B156" t="inlineStr">
        <is>
          <t>avverkningsanmälan</t>
        </is>
      </c>
      <c r="C156" t="inlineStr">
        <is>
          <t>Föryngringsavverkning</t>
        </is>
      </c>
      <c r="D156" s="1" t="n">
        <v>44977</v>
      </c>
      <c r="E156" s="1" t="n">
        <v>46219</v>
      </c>
      <c r="F156" t="inlineStr">
        <is>
          <t>NORRBOTTENS LÄN</t>
        </is>
      </c>
      <c r="G156" t="inlineStr">
        <is>
          <t>PITEÅ</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36515-2024</t>
        </is>
      </c>
      <c r="B157" t="inlineStr">
        <is>
          <t>avverkningsanmälan</t>
        </is>
      </c>
      <c r="C157" t="inlineStr">
        <is>
          <t>Föryngringsavverkning</t>
        </is>
      </c>
      <c r="D157" s="1" t="n">
        <v>45537</v>
      </c>
      <c r="E157" s="1" t="n">
        <v>46219</v>
      </c>
      <c r="F157" t="inlineStr">
        <is>
          <t>NORRBOTTENS LÄN</t>
        </is>
      </c>
      <c r="G157" t="inlineStr">
        <is>
          <t>PITEÅ</t>
        </is>
      </c>
      <c r="H157" t="inlineStr">
        <is>
          <t>Sveaskog</t>
        </is>
      </c>
      <c r="I157" t="n">
        <v>4.5</v>
      </c>
      <c r="J157" t="n">
        <v>0</v>
      </c>
      <c r="K157" t="n">
        <v>0</v>
      </c>
      <c r="L157" t="n">
        <v>0</v>
      </c>
      <c r="M157" t="n">
        <v>0</v>
      </c>
      <c r="N157" t="n">
        <v>0</v>
      </c>
      <c r="O157" t="n">
        <v>0</v>
      </c>
      <c r="P157" t="n">
        <v>0</v>
      </c>
      <c r="Q157" t="n">
        <v>0</v>
      </c>
      <c r="R157" t="n">
        <v>0</v>
      </c>
      <c r="S157" t="n">
        <v>0</v>
      </c>
      <c r="T157" t="n">
        <v>0</v>
      </c>
      <c r="U157" s="2" t="inlineStr"/>
    </row>
    <row r="158" ht="15" customHeight="1">
      <c r="A158" t="inlineStr">
        <is>
          <t>A 810-2022</t>
        </is>
      </c>
      <c r="B158" t="inlineStr">
        <is>
          <t>avverkningsanmälan</t>
        </is>
      </c>
      <c r="C158" t="inlineStr">
        <is>
          <t>Föryngringsavverkning</t>
        </is>
      </c>
      <c r="D158" s="1" t="n">
        <v>44571</v>
      </c>
      <c r="E158" s="1" t="n">
        <v>46219</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71283-2021</t>
        </is>
      </c>
      <c r="B159" t="inlineStr">
        <is>
          <t>avverkningsanmälan</t>
        </is>
      </c>
      <c r="C159" t="inlineStr">
        <is>
          <t>Föryngringsavverkning</t>
        </is>
      </c>
      <c r="D159" s="1" t="n">
        <v>44538</v>
      </c>
      <c r="E159" s="1" t="n">
        <v>46219</v>
      </c>
      <c r="F159" t="inlineStr">
        <is>
          <t>NORRBOTTENS LÄN</t>
        </is>
      </c>
      <c r="G159" t="inlineStr">
        <is>
          <t>PITEÅ</t>
        </is>
      </c>
      <c r="I159" t="n">
        <v>3.9</v>
      </c>
      <c r="J159" t="n">
        <v>0</v>
      </c>
      <c r="K159" t="n">
        <v>0</v>
      </c>
      <c r="L159" t="n">
        <v>0</v>
      </c>
      <c r="M159" t="n">
        <v>0</v>
      </c>
      <c r="N159" t="n">
        <v>0</v>
      </c>
      <c r="O159" t="n">
        <v>0</v>
      </c>
      <c r="P159" t="n">
        <v>0</v>
      </c>
      <c r="Q159" t="n">
        <v>0</v>
      </c>
      <c r="R159" t="n">
        <v>0</v>
      </c>
      <c r="S159" t="n">
        <v>0</v>
      </c>
      <c r="T159" t="n">
        <v>0</v>
      </c>
      <c r="U159" s="2" t="inlineStr"/>
    </row>
    <row r="160" ht="15" customHeight="1">
      <c r="A160" t="inlineStr">
        <is>
          <t>A 56641-2021</t>
        </is>
      </c>
      <c r="B160" t="inlineStr">
        <is>
          <t>avverkningsanmälan</t>
        </is>
      </c>
      <c r="C160" t="inlineStr">
        <is>
          <t>Föryngringsavverkning</t>
        </is>
      </c>
      <c r="D160" s="1" t="n">
        <v>44480</v>
      </c>
      <c r="E160" s="1" t="n">
        <v>46219</v>
      </c>
      <c r="F160" t="inlineStr">
        <is>
          <t>NORRBOTTENS LÄN</t>
        </is>
      </c>
      <c r="G160" t="inlineStr">
        <is>
          <t>PITEÅ</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47017-2024</t>
        </is>
      </c>
      <c r="B161" t="inlineStr">
        <is>
          <t>avverkningsanmälan</t>
        </is>
      </c>
      <c r="C161" t="inlineStr">
        <is>
          <t>Föryngringsavverkning</t>
        </is>
      </c>
      <c r="D161" s="1" t="n">
        <v>45586</v>
      </c>
      <c r="E161" s="1" t="n">
        <v>46219</v>
      </c>
      <c r="F161" t="inlineStr">
        <is>
          <t>NORRBOTTENS LÄN</t>
        </is>
      </c>
      <c r="G161" t="inlineStr">
        <is>
          <t>PITEÅ</t>
        </is>
      </c>
      <c r="I161" t="n">
        <v>4.1</v>
      </c>
      <c r="J161" t="n">
        <v>0</v>
      </c>
      <c r="K161" t="n">
        <v>0</v>
      </c>
      <c r="L161" t="n">
        <v>0</v>
      </c>
      <c r="M161" t="n">
        <v>0</v>
      </c>
      <c r="N161" t="n">
        <v>0</v>
      </c>
      <c r="O161" t="n">
        <v>0</v>
      </c>
      <c r="P161" t="n">
        <v>0</v>
      </c>
      <c r="Q161" t="n">
        <v>0</v>
      </c>
      <c r="R161" t="n">
        <v>0</v>
      </c>
      <c r="S161" t="n">
        <v>0</v>
      </c>
      <c r="T161" t="n">
        <v>0</v>
      </c>
      <c r="U161" s="2" t="inlineStr"/>
    </row>
    <row r="162" ht="15" customHeight="1">
      <c r="A162" t="inlineStr">
        <is>
          <t>A 54970-2024</t>
        </is>
      </c>
      <c r="B162" t="inlineStr">
        <is>
          <t>avverkningsanmälan</t>
        </is>
      </c>
      <c r="C162" t="inlineStr">
        <is>
          <t>Föryngringsavverkning</t>
        </is>
      </c>
      <c r="D162" s="1" t="n">
        <v>45620</v>
      </c>
      <c r="E162" s="1" t="n">
        <v>46219</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7523-2025</t>
        </is>
      </c>
      <c r="B163" t="inlineStr">
        <is>
          <t>avverkningsanmälan</t>
        </is>
      </c>
      <c r="C163" t="inlineStr">
        <is>
          <t>Föryngringsavverkning</t>
        </is>
      </c>
      <c r="D163" s="1" t="n">
        <v>45705</v>
      </c>
      <c r="E163" s="1" t="n">
        <v>46219</v>
      </c>
      <c r="F163" t="inlineStr">
        <is>
          <t>NORRBOTTENS LÄN</t>
        </is>
      </c>
      <c r="G163" t="inlineStr">
        <is>
          <t>PITEÅ</t>
        </is>
      </c>
      <c r="I163" t="n">
        <v>12.8</v>
      </c>
      <c r="J163" t="n">
        <v>0</v>
      </c>
      <c r="K163" t="n">
        <v>0</v>
      </c>
      <c r="L163" t="n">
        <v>0</v>
      </c>
      <c r="M163" t="n">
        <v>0</v>
      </c>
      <c r="N163" t="n">
        <v>0</v>
      </c>
      <c r="O163" t="n">
        <v>0</v>
      </c>
      <c r="P163" t="n">
        <v>0</v>
      </c>
      <c r="Q163" t="n">
        <v>0</v>
      </c>
      <c r="R163" t="n">
        <v>0</v>
      </c>
      <c r="S163" t="n">
        <v>0</v>
      </c>
      <c r="T163" t="n">
        <v>0</v>
      </c>
      <c r="U163" s="2" t="inlineStr"/>
    </row>
    <row r="164" ht="15" customHeight="1">
      <c r="A164" t="inlineStr">
        <is>
          <t>A 32387-2022</t>
        </is>
      </c>
      <c r="B164" t="inlineStr">
        <is>
          <t>avverkningsanmälan</t>
        </is>
      </c>
      <c r="C164" t="inlineStr">
        <is>
          <t>Föryngringsavverkning</t>
        </is>
      </c>
      <c r="D164" s="1" t="n">
        <v>44782</v>
      </c>
      <c r="E164" s="1" t="n">
        <v>46219</v>
      </c>
      <c r="F164" t="inlineStr">
        <is>
          <t>NORRBOTTENS LÄN</t>
        </is>
      </c>
      <c r="G164" t="inlineStr">
        <is>
          <t>PITEÅ</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33923-2024</t>
        </is>
      </c>
      <c r="B165" t="inlineStr">
        <is>
          <t>avverkningsanmälan</t>
        </is>
      </c>
      <c r="C165" t="inlineStr">
        <is>
          <t>Föryngringsavverkning</t>
        </is>
      </c>
      <c r="D165" s="1" t="n">
        <v>45523</v>
      </c>
      <c r="E165" s="1" t="n">
        <v>46219</v>
      </c>
      <c r="F165" t="inlineStr">
        <is>
          <t>NORRBOTTENS LÄN</t>
        </is>
      </c>
      <c r="G165" t="inlineStr">
        <is>
          <t>PITEÅ</t>
        </is>
      </c>
      <c r="I165" t="n">
        <v>8.699999999999999</v>
      </c>
      <c r="J165" t="n">
        <v>0</v>
      </c>
      <c r="K165" t="n">
        <v>0</v>
      </c>
      <c r="L165" t="n">
        <v>0</v>
      </c>
      <c r="M165" t="n">
        <v>0</v>
      </c>
      <c r="N165" t="n">
        <v>0</v>
      </c>
      <c r="O165" t="n">
        <v>0</v>
      </c>
      <c r="P165" t="n">
        <v>0</v>
      </c>
      <c r="Q165" t="n">
        <v>0</v>
      </c>
      <c r="R165" t="n">
        <v>0</v>
      </c>
      <c r="S165" t="n">
        <v>0</v>
      </c>
      <c r="T165" t="n">
        <v>0</v>
      </c>
      <c r="U165" s="2" t="inlineStr"/>
    </row>
    <row r="166" ht="15" customHeight="1">
      <c r="A166" t="inlineStr">
        <is>
          <t>A 3677-2025</t>
        </is>
      </c>
      <c r="B166" t="inlineStr">
        <is>
          <t>avverkningsanmälan</t>
        </is>
      </c>
      <c r="C166" t="inlineStr">
        <is>
          <t>Föryngringsavverkning</t>
        </is>
      </c>
      <c r="D166" s="1" t="n">
        <v>45681</v>
      </c>
      <c r="E166" s="1" t="n">
        <v>46219</v>
      </c>
      <c r="F166" t="inlineStr">
        <is>
          <t>NORRBOTTENS LÄN</t>
        </is>
      </c>
      <c r="G166" t="inlineStr">
        <is>
          <t>PITEÅ</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41982-2023</t>
        </is>
      </c>
      <c r="B167" t="inlineStr">
        <is>
          <t>avverkningsanmälan</t>
        </is>
      </c>
      <c r="C167" t="inlineStr">
        <is>
          <t>Föryngringsavverkning</t>
        </is>
      </c>
      <c r="D167" s="1" t="n">
        <v>45177</v>
      </c>
      <c r="E167" s="1" t="n">
        <v>46219</v>
      </c>
      <c r="F167" t="inlineStr">
        <is>
          <t>NORRBOTTENS LÄN</t>
        </is>
      </c>
      <c r="G167" t="inlineStr">
        <is>
          <t>PITEÅ</t>
        </is>
      </c>
      <c r="I167" t="n">
        <v>8.800000000000001</v>
      </c>
      <c r="J167" t="n">
        <v>0</v>
      </c>
      <c r="K167" t="n">
        <v>0</v>
      </c>
      <c r="L167" t="n">
        <v>0</v>
      </c>
      <c r="M167" t="n">
        <v>0</v>
      </c>
      <c r="N167" t="n">
        <v>0</v>
      </c>
      <c r="O167" t="n">
        <v>0</v>
      </c>
      <c r="P167" t="n">
        <v>0</v>
      </c>
      <c r="Q167" t="n">
        <v>0</v>
      </c>
      <c r="R167" t="n">
        <v>0</v>
      </c>
      <c r="S167" t="n">
        <v>0</v>
      </c>
      <c r="T167" t="n">
        <v>0</v>
      </c>
      <c r="U167" s="2" t="inlineStr"/>
    </row>
    <row r="168" ht="15" customHeight="1">
      <c r="A168" t="inlineStr">
        <is>
          <t>A 39879-2024</t>
        </is>
      </c>
      <c r="B168" t="inlineStr">
        <is>
          <t>avverkningsanmälan</t>
        </is>
      </c>
      <c r="C168" t="inlineStr">
        <is>
          <t>Föryngringsavverkning</t>
        </is>
      </c>
      <c r="D168" s="1" t="n">
        <v>45553</v>
      </c>
      <c r="E168" s="1" t="n">
        <v>46219</v>
      </c>
      <c r="F168" t="inlineStr">
        <is>
          <t>NORRBOTTENS LÄN</t>
        </is>
      </c>
      <c r="G168" t="inlineStr">
        <is>
          <t>PITEÅ</t>
        </is>
      </c>
      <c r="I168" t="n">
        <v>5.4</v>
      </c>
      <c r="J168" t="n">
        <v>0</v>
      </c>
      <c r="K168" t="n">
        <v>0</v>
      </c>
      <c r="L168" t="n">
        <v>0</v>
      </c>
      <c r="M168" t="n">
        <v>0</v>
      </c>
      <c r="N168" t="n">
        <v>0</v>
      </c>
      <c r="O168" t="n">
        <v>0</v>
      </c>
      <c r="P168" t="n">
        <v>0</v>
      </c>
      <c r="Q168" t="n">
        <v>0</v>
      </c>
      <c r="R168" t="n">
        <v>0</v>
      </c>
      <c r="S168" t="n">
        <v>0</v>
      </c>
      <c r="T168" t="n">
        <v>0</v>
      </c>
      <c r="U168" s="2" t="inlineStr"/>
    </row>
    <row r="169" ht="15" customHeight="1">
      <c r="A169" t="inlineStr">
        <is>
          <t>A 14558-2025</t>
        </is>
      </c>
      <c r="B169" t="inlineStr">
        <is>
          <t>avverkningsanmälan</t>
        </is>
      </c>
      <c r="C169" t="inlineStr">
        <is>
          <t>Föryngringsavverkning</t>
        </is>
      </c>
      <c r="D169" s="1" t="n">
        <v>45741</v>
      </c>
      <c r="E169" s="1" t="n">
        <v>46219</v>
      </c>
      <c r="F169" t="inlineStr">
        <is>
          <t>NORRBOTTENS LÄN</t>
        </is>
      </c>
      <c r="G169" t="inlineStr">
        <is>
          <t>PITEÅ</t>
        </is>
      </c>
      <c r="I169" t="n">
        <v>11.4</v>
      </c>
      <c r="J169" t="n">
        <v>0</v>
      </c>
      <c r="K169" t="n">
        <v>0</v>
      </c>
      <c r="L169" t="n">
        <v>0</v>
      </c>
      <c r="M169" t="n">
        <v>0</v>
      </c>
      <c r="N169" t="n">
        <v>0</v>
      </c>
      <c r="O169" t="n">
        <v>0</v>
      </c>
      <c r="P169" t="n">
        <v>0</v>
      </c>
      <c r="Q169" t="n">
        <v>0</v>
      </c>
      <c r="R169" t="n">
        <v>0</v>
      </c>
      <c r="S169" t="n">
        <v>0</v>
      </c>
      <c r="T169" t="n">
        <v>0</v>
      </c>
      <c r="U169" s="2" t="inlineStr"/>
    </row>
    <row r="170" ht="15" customHeight="1">
      <c r="A170" t="inlineStr">
        <is>
          <t>A 14559-2025</t>
        </is>
      </c>
      <c r="B170" t="inlineStr">
        <is>
          <t>avverkningsanmälan</t>
        </is>
      </c>
      <c r="C170" t="inlineStr">
        <is>
          <t>Föryngringsavverkning</t>
        </is>
      </c>
      <c r="D170" s="1" t="n">
        <v>45741</v>
      </c>
      <c r="E170" s="1" t="n">
        <v>46219</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2168-2023</t>
        </is>
      </c>
      <c r="B171" t="inlineStr">
        <is>
          <t>avverkningsanmälan</t>
        </is>
      </c>
      <c r="C171" t="inlineStr">
        <is>
          <t>Föryngringsavverkning</t>
        </is>
      </c>
      <c r="D171" s="1" t="n">
        <v>44941</v>
      </c>
      <c r="E171" s="1" t="n">
        <v>46219</v>
      </c>
      <c r="F171" t="inlineStr">
        <is>
          <t>NORRBOTTENS LÄN</t>
        </is>
      </c>
      <c r="G171" t="inlineStr">
        <is>
          <t>PITEÅ</t>
        </is>
      </c>
      <c r="I171" t="n">
        <v>6.8</v>
      </c>
      <c r="J171" t="n">
        <v>0</v>
      </c>
      <c r="K171" t="n">
        <v>0</v>
      </c>
      <c r="L171" t="n">
        <v>0</v>
      </c>
      <c r="M171" t="n">
        <v>0</v>
      </c>
      <c r="N171" t="n">
        <v>0</v>
      </c>
      <c r="O171" t="n">
        <v>0</v>
      </c>
      <c r="P171" t="n">
        <v>0</v>
      </c>
      <c r="Q171" t="n">
        <v>0</v>
      </c>
      <c r="R171" t="n">
        <v>0</v>
      </c>
      <c r="S171" t="n">
        <v>0</v>
      </c>
      <c r="T171" t="n">
        <v>0</v>
      </c>
      <c r="U171" s="2" t="inlineStr"/>
    </row>
    <row r="172" ht="15" customHeight="1">
      <c r="A172" t="inlineStr">
        <is>
          <t>A 5525-2024</t>
        </is>
      </c>
      <c r="B172" t="inlineStr">
        <is>
          <t>avverkningsanmälan</t>
        </is>
      </c>
      <c r="C172" t="inlineStr">
        <is>
          <t>Föryngringsavverkning</t>
        </is>
      </c>
      <c r="D172" s="1" t="n">
        <v>45334</v>
      </c>
      <c r="E172" s="1" t="n">
        <v>46219</v>
      </c>
      <c r="F172" t="inlineStr">
        <is>
          <t>NORRBOTTENS LÄN</t>
        </is>
      </c>
      <c r="G172" t="inlineStr">
        <is>
          <t>PITEÅ</t>
        </is>
      </c>
      <c r="I172" t="n">
        <v>63</v>
      </c>
      <c r="J172" t="n">
        <v>0</v>
      </c>
      <c r="K172" t="n">
        <v>0</v>
      </c>
      <c r="L172" t="n">
        <v>0</v>
      </c>
      <c r="M172" t="n">
        <v>0</v>
      </c>
      <c r="N172" t="n">
        <v>0</v>
      </c>
      <c r="O172" t="n">
        <v>0</v>
      </c>
      <c r="P172" t="n">
        <v>0</v>
      </c>
      <c r="Q172" t="n">
        <v>0</v>
      </c>
      <c r="R172" t="n">
        <v>0</v>
      </c>
      <c r="S172" t="n">
        <v>0</v>
      </c>
      <c r="T172" t="n">
        <v>0</v>
      </c>
      <c r="U172" s="2" t="inlineStr"/>
    </row>
    <row r="173" ht="15" customHeight="1">
      <c r="A173" t="inlineStr">
        <is>
          <t>A 18724-2023</t>
        </is>
      </c>
      <c r="B173" t="inlineStr">
        <is>
          <t>avverkningsanmälan</t>
        </is>
      </c>
      <c r="C173" t="inlineStr">
        <is>
          <t>Föryngringsavverkning</t>
        </is>
      </c>
      <c r="D173" s="1" t="n">
        <v>45043</v>
      </c>
      <c r="E173" s="1" t="n">
        <v>46219</v>
      </c>
      <c r="F173" t="inlineStr">
        <is>
          <t>NORRBOTTENS LÄN</t>
        </is>
      </c>
      <c r="G173" t="inlineStr">
        <is>
          <t>PITEÅ</t>
        </is>
      </c>
      <c r="I173" t="n">
        <v>3.8</v>
      </c>
      <c r="J173" t="n">
        <v>0</v>
      </c>
      <c r="K173" t="n">
        <v>0</v>
      </c>
      <c r="L173" t="n">
        <v>0</v>
      </c>
      <c r="M173" t="n">
        <v>0</v>
      </c>
      <c r="N173" t="n">
        <v>0</v>
      </c>
      <c r="O173" t="n">
        <v>0</v>
      </c>
      <c r="P173" t="n">
        <v>0</v>
      </c>
      <c r="Q173" t="n">
        <v>0</v>
      </c>
      <c r="R173" t="n">
        <v>0</v>
      </c>
      <c r="S173" t="n">
        <v>0</v>
      </c>
      <c r="T173" t="n">
        <v>0</v>
      </c>
      <c r="U173" s="2" t="inlineStr"/>
    </row>
    <row r="174" ht="15" customHeight="1">
      <c r="A174" t="inlineStr">
        <is>
          <t>A 50031-2021</t>
        </is>
      </c>
      <c r="B174" t="inlineStr">
        <is>
          <t>avverkningsanmälan</t>
        </is>
      </c>
      <c r="C174" t="inlineStr">
        <is>
          <t>Föryngringsavverkning</t>
        </is>
      </c>
      <c r="D174" s="1" t="n">
        <v>44454</v>
      </c>
      <c r="E174" s="1" t="n">
        <v>46219</v>
      </c>
      <c r="F174" t="inlineStr">
        <is>
          <t>NORRBOTTENS LÄN</t>
        </is>
      </c>
      <c r="G174" t="inlineStr">
        <is>
          <t>PITEÅ</t>
        </is>
      </c>
      <c r="I174" t="n">
        <v>10.5</v>
      </c>
      <c r="J174" t="n">
        <v>0</v>
      </c>
      <c r="K174" t="n">
        <v>0</v>
      </c>
      <c r="L174" t="n">
        <v>0</v>
      </c>
      <c r="M174" t="n">
        <v>0</v>
      </c>
      <c r="N174" t="n">
        <v>0</v>
      </c>
      <c r="O174" t="n">
        <v>0</v>
      </c>
      <c r="P174" t="n">
        <v>0</v>
      </c>
      <c r="Q174" t="n">
        <v>0</v>
      </c>
      <c r="R174" t="n">
        <v>0</v>
      </c>
      <c r="S174" t="n">
        <v>0</v>
      </c>
      <c r="T174" t="n">
        <v>0</v>
      </c>
      <c r="U174" s="2" t="inlineStr"/>
    </row>
    <row r="175" ht="15" customHeight="1">
      <c r="A175" t="inlineStr">
        <is>
          <t>A 59820-2023</t>
        </is>
      </c>
      <c r="B175" t="inlineStr">
        <is>
          <t>avverkningsanmälan</t>
        </is>
      </c>
      <c r="C175" t="inlineStr">
        <is>
          <t>Föryngringsavverkning</t>
        </is>
      </c>
      <c r="D175" s="1" t="n">
        <v>45257</v>
      </c>
      <c r="E175" s="1" t="n">
        <v>46219</v>
      </c>
      <c r="F175" t="inlineStr">
        <is>
          <t>NORRBOTTENS LÄN</t>
        </is>
      </c>
      <c r="G175" t="inlineStr">
        <is>
          <t>PITEÅ</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8023-2024</t>
        </is>
      </c>
      <c r="B176" t="inlineStr">
        <is>
          <t>avverkningsanmälan</t>
        </is>
      </c>
      <c r="C176" t="inlineStr">
        <is>
          <t>Föryngringsavverkning</t>
        </is>
      </c>
      <c r="D176" s="1" t="n">
        <v>45350</v>
      </c>
      <c r="E176" s="1" t="n">
        <v>46219</v>
      </c>
      <c r="F176" t="inlineStr">
        <is>
          <t>NORRBOTTENS LÄN</t>
        </is>
      </c>
      <c r="G176" t="inlineStr">
        <is>
          <t>PITEÅ</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41464-2023</t>
        </is>
      </c>
      <c r="B177" t="inlineStr">
        <is>
          <t>avverkningsanmälan</t>
        </is>
      </c>
      <c r="C177" t="inlineStr">
        <is>
          <t>Föryngringsavverkning</t>
        </is>
      </c>
      <c r="D177" s="1" t="n">
        <v>45175</v>
      </c>
      <c r="E177" s="1" t="n">
        <v>46219</v>
      </c>
      <c r="F177" t="inlineStr">
        <is>
          <t>NORRBOTTENS LÄN</t>
        </is>
      </c>
      <c r="G177" t="inlineStr">
        <is>
          <t>PITEÅ</t>
        </is>
      </c>
      <c r="I177" t="n">
        <v>5.2</v>
      </c>
      <c r="J177" t="n">
        <v>0</v>
      </c>
      <c r="K177" t="n">
        <v>0</v>
      </c>
      <c r="L177" t="n">
        <v>0</v>
      </c>
      <c r="M177" t="n">
        <v>0</v>
      </c>
      <c r="N177" t="n">
        <v>0</v>
      </c>
      <c r="O177" t="n">
        <v>0</v>
      </c>
      <c r="P177" t="n">
        <v>0</v>
      </c>
      <c r="Q177" t="n">
        <v>0</v>
      </c>
      <c r="R177" t="n">
        <v>0</v>
      </c>
      <c r="S177" t="n">
        <v>0</v>
      </c>
      <c r="T177" t="n">
        <v>0</v>
      </c>
      <c r="U177" s="2" t="inlineStr"/>
    </row>
    <row r="178" ht="15" customHeight="1">
      <c r="A178" t="inlineStr">
        <is>
          <t>A 29894-2022</t>
        </is>
      </c>
      <c r="B178" t="inlineStr">
        <is>
          <t>avverkningsanmälan</t>
        </is>
      </c>
      <c r="C178" t="inlineStr">
        <is>
          <t>Föryngringsavverkning</t>
        </is>
      </c>
      <c r="D178" s="1" t="n">
        <v>44756</v>
      </c>
      <c r="E178" s="1" t="n">
        <v>46219</v>
      </c>
      <c r="F178" t="inlineStr">
        <is>
          <t>NORRBOTTENS LÄN</t>
        </is>
      </c>
      <c r="G178" t="inlineStr">
        <is>
          <t>PITEÅ</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38751-2022</t>
        </is>
      </c>
      <c r="B179" t="inlineStr">
        <is>
          <t>avverkningsanmälan</t>
        </is>
      </c>
      <c r="C179" t="inlineStr">
        <is>
          <t>Föryngringsavverkning</t>
        </is>
      </c>
      <c r="D179" s="1" t="n">
        <v>44813</v>
      </c>
      <c r="E179" s="1" t="n">
        <v>46219</v>
      </c>
      <c r="F179" t="inlineStr">
        <is>
          <t>NORRBOTTENS LÄN</t>
        </is>
      </c>
      <c r="G179" t="inlineStr">
        <is>
          <t>PITEÅ</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44710-2024</t>
        </is>
      </c>
      <c r="B180" t="inlineStr">
        <is>
          <t>avverkningsanmälan</t>
        </is>
      </c>
      <c r="C180" t="inlineStr">
        <is>
          <t>Föryngringsavverkning</t>
        </is>
      </c>
      <c r="D180" s="1" t="n">
        <v>45574</v>
      </c>
      <c r="E180" s="1" t="n">
        <v>46219</v>
      </c>
      <c r="F180" t="inlineStr">
        <is>
          <t>NORRBOTTENS LÄN</t>
        </is>
      </c>
      <c r="G180" t="inlineStr">
        <is>
          <t>PITEÅ</t>
        </is>
      </c>
      <c r="H180" t="inlineStr">
        <is>
          <t>SCA</t>
        </is>
      </c>
      <c r="I180" t="n">
        <v>5.9</v>
      </c>
      <c r="J180" t="n">
        <v>0</v>
      </c>
      <c r="K180" t="n">
        <v>0</v>
      </c>
      <c r="L180" t="n">
        <v>0</v>
      </c>
      <c r="M180" t="n">
        <v>0</v>
      </c>
      <c r="N180" t="n">
        <v>0</v>
      </c>
      <c r="O180" t="n">
        <v>0</v>
      </c>
      <c r="P180" t="n">
        <v>0</v>
      </c>
      <c r="Q180" t="n">
        <v>0</v>
      </c>
      <c r="R180" t="n">
        <v>0</v>
      </c>
      <c r="S180" t="n">
        <v>0</v>
      </c>
      <c r="T180" t="n">
        <v>0</v>
      </c>
      <c r="U180" s="2" t="inlineStr"/>
    </row>
    <row r="181" ht="15" customHeight="1">
      <c r="A181" t="inlineStr">
        <is>
          <t>A 38244-2025</t>
        </is>
      </c>
      <c r="B181" t="inlineStr">
        <is>
          <t>avverkningsanmälan</t>
        </is>
      </c>
      <c r="C181" t="inlineStr">
        <is>
          <t>Föryngringsavverkning</t>
        </is>
      </c>
      <c r="D181" s="1" t="n">
        <v>45883</v>
      </c>
      <c r="E181" s="1" t="n">
        <v>46219</v>
      </c>
      <c r="F181" t="inlineStr">
        <is>
          <t>NORRBOTTENS LÄN</t>
        </is>
      </c>
      <c r="G181" t="inlineStr">
        <is>
          <t>PITEÅ</t>
        </is>
      </c>
      <c r="I181" t="n">
        <v>5.4</v>
      </c>
      <c r="J181" t="n">
        <v>0</v>
      </c>
      <c r="K181" t="n">
        <v>0</v>
      </c>
      <c r="L181" t="n">
        <v>0</v>
      </c>
      <c r="M181" t="n">
        <v>0</v>
      </c>
      <c r="N181" t="n">
        <v>0</v>
      </c>
      <c r="O181" t="n">
        <v>0</v>
      </c>
      <c r="P181" t="n">
        <v>0</v>
      </c>
      <c r="Q181" t="n">
        <v>0</v>
      </c>
      <c r="R181" t="n">
        <v>0</v>
      </c>
      <c r="S181" t="n">
        <v>0</v>
      </c>
      <c r="T181" t="n">
        <v>0</v>
      </c>
      <c r="U181" s="2" t="inlineStr"/>
    </row>
    <row r="182" ht="15" customHeight="1">
      <c r="A182" t="inlineStr">
        <is>
          <t>A 40492-2022</t>
        </is>
      </c>
      <c r="B182" t="inlineStr">
        <is>
          <t>avverkningsanmälan</t>
        </is>
      </c>
      <c r="C182" t="inlineStr">
        <is>
          <t>Avverkning för annat ändamål</t>
        </is>
      </c>
      <c r="D182" s="1" t="n">
        <v>44819</v>
      </c>
      <c r="E182" s="1" t="n">
        <v>46219</v>
      </c>
      <c r="F182" t="inlineStr">
        <is>
          <t>NORRBOTTENS LÄN</t>
        </is>
      </c>
      <c r="G182" t="inlineStr">
        <is>
          <t>PITEÅ</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27899-2023</t>
        </is>
      </c>
      <c r="B183" t="inlineStr">
        <is>
          <t>avverkningsanmälan</t>
        </is>
      </c>
      <c r="C183" t="inlineStr">
        <is>
          <t>Föryngringsavverkning</t>
        </is>
      </c>
      <c r="D183" s="1" t="n">
        <v>45098</v>
      </c>
      <c r="E183" s="1" t="n">
        <v>46219</v>
      </c>
      <c r="F183" t="inlineStr">
        <is>
          <t>NORRBOTTENS LÄN</t>
        </is>
      </c>
      <c r="G183" t="inlineStr">
        <is>
          <t>PITEÅ</t>
        </is>
      </c>
      <c r="I183" t="n">
        <v>3.5</v>
      </c>
      <c r="J183" t="n">
        <v>0</v>
      </c>
      <c r="K183" t="n">
        <v>0</v>
      </c>
      <c r="L183" t="n">
        <v>0</v>
      </c>
      <c r="M183" t="n">
        <v>0</v>
      </c>
      <c r="N183" t="n">
        <v>0</v>
      </c>
      <c r="O183" t="n">
        <v>0</v>
      </c>
      <c r="P183" t="n">
        <v>0</v>
      </c>
      <c r="Q183" t="n">
        <v>0</v>
      </c>
      <c r="R183" t="n">
        <v>0</v>
      </c>
      <c r="S183" t="n">
        <v>0</v>
      </c>
      <c r="T183" t="n">
        <v>0</v>
      </c>
      <c r="U183" s="2" t="inlineStr"/>
    </row>
    <row r="184" ht="15" customHeight="1">
      <c r="A184" t="inlineStr">
        <is>
          <t>A 4100-2024</t>
        </is>
      </c>
      <c r="B184" t="inlineStr">
        <is>
          <t>avverkningsanmälan</t>
        </is>
      </c>
      <c r="C184" t="inlineStr">
        <is>
          <t>Föryngringsavverkning</t>
        </is>
      </c>
      <c r="D184" s="1" t="n">
        <v>45323</v>
      </c>
      <c r="E184" s="1" t="n">
        <v>46219</v>
      </c>
      <c r="F184" t="inlineStr">
        <is>
          <t>NORRBOTTENS LÄN</t>
        </is>
      </c>
      <c r="G184" t="inlineStr">
        <is>
          <t>PITEÅ</t>
        </is>
      </c>
      <c r="I184" t="n">
        <v>4.7</v>
      </c>
      <c r="J184" t="n">
        <v>0</v>
      </c>
      <c r="K184" t="n">
        <v>0</v>
      </c>
      <c r="L184" t="n">
        <v>0</v>
      </c>
      <c r="M184" t="n">
        <v>0</v>
      </c>
      <c r="N184" t="n">
        <v>0</v>
      </c>
      <c r="O184" t="n">
        <v>0</v>
      </c>
      <c r="P184" t="n">
        <v>0</v>
      </c>
      <c r="Q184" t="n">
        <v>0</v>
      </c>
      <c r="R184" t="n">
        <v>0</v>
      </c>
      <c r="S184" t="n">
        <v>0</v>
      </c>
      <c r="T184" t="n">
        <v>0</v>
      </c>
      <c r="U184" s="2" t="inlineStr"/>
    </row>
    <row r="185" ht="15" customHeight="1">
      <c r="A185" t="inlineStr">
        <is>
          <t>A 39399-2022</t>
        </is>
      </c>
      <c r="B185" t="inlineStr">
        <is>
          <t>avverkningsanmälan</t>
        </is>
      </c>
      <c r="C185" t="inlineStr">
        <is>
          <t>Föryngringsavverkning</t>
        </is>
      </c>
      <c r="D185" s="1" t="n">
        <v>44817</v>
      </c>
      <c r="E185" s="1" t="n">
        <v>46219</v>
      </c>
      <c r="F185" t="inlineStr">
        <is>
          <t>NORRBOTTENS LÄN</t>
        </is>
      </c>
      <c r="G185" t="inlineStr">
        <is>
          <t>PITEÅ</t>
        </is>
      </c>
      <c r="H185" t="inlineStr">
        <is>
          <t>SCA</t>
        </is>
      </c>
      <c r="I185" t="n">
        <v>6.4</v>
      </c>
      <c r="J185" t="n">
        <v>0</v>
      </c>
      <c r="K185" t="n">
        <v>0</v>
      </c>
      <c r="L185" t="n">
        <v>0</v>
      </c>
      <c r="M185" t="n">
        <v>0</v>
      </c>
      <c r="N185" t="n">
        <v>0</v>
      </c>
      <c r="O185" t="n">
        <v>0</v>
      </c>
      <c r="P185" t="n">
        <v>0</v>
      </c>
      <c r="Q185" t="n">
        <v>0</v>
      </c>
      <c r="R185" t="n">
        <v>0</v>
      </c>
      <c r="S185" t="n">
        <v>0</v>
      </c>
      <c r="T185" t="n">
        <v>0</v>
      </c>
      <c r="U185" s="2" t="inlineStr"/>
    </row>
    <row r="186" ht="15" customHeight="1">
      <c r="A186" t="inlineStr">
        <is>
          <t>A 10021-2024</t>
        </is>
      </c>
      <c r="B186" t="inlineStr">
        <is>
          <t>avverkningsanmälan</t>
        </is>
      </c>
      <c r="C186" t="inlineStr">
        <is>
          <t>Föryngringsavverkning</t>
        </is>
      </c>
      <c r="D186" s="1" t="n">
        <v>45363</v>
      </c>
      <c r="E186" s="1" t="n">
        <v>46219</v>
      </c>
      <c r="F186" t="inlineStr">
        <is>
          <t>NORRBOTTENS LÄN</t>
        </is>
      </c>
      <c r="G186" t="inlineStr">
        <is>
          <t>PITEÅ</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17860-2024</t>
        </is>
      </c>
      <c r="B187" t="inlineStr">
        <is>
          <t>avverkningsanmälan</t>
        </is>
      </c>
      <c r="C187" t="inlineStr">
        <is>
          <t>Föryngringsavverkning</t>
        </is>
      </c>
      <c r="D187" s="1" t="n">
        <v>45419</v>
      </c>
      <c r="E187" s="1" t="n">
        <v>46219</v>
      </c>
      <c r="F187" t="inlineStr">
        <is>
          <t>NORRBOTTENS LÄN</t>
        </is>
      </c>
      <c r="G187" t="inlineStr">
        <is>
          <t>PITEÅ</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44526-2024</t>
        </is>
      </c>
      <c r="B188" t="inlineStr">
        <is>
          <t>avverkningsanmälan</t>
        </is>
      </c>
      <c r="C188" t="inlineStr">
        <is>
          <t>Föryngringsavverkning</t>
        </is>
      </c>
      <c r="D188" s="1" t="n">
        <v>45574</v>
      </c>
      <c r="E188" s="1" t="n">
        <v>46219</v>
      </c>
      <c r="F188" t="inlineStr">
        <is>
          <t>NORRBOTTENS LÄN</t>
        </is>
      </c>
      <c r="G188" t="inlineStr">
        <is>
          <t>PITEÅ</t>
        </is>
      </c>
      <c r="H188" t="inlineStr">
        <is>
          <t>Sveaskog</t>
        </is>
      </c>
      <c r="I188" t="n">
        <v>2.1</v>
      </c>
      <c r="J188" t="n">
        <v>0</v>
      </c>
      <c r="K188" t="n">
        <v>0</v>
      </c>
      <c r="L188" t="n">
        <v>0</v>
      </c>
      <c r="M188" t="n">
        <v>0</v>
      </c>
      <c r="N188" t="n">
        <v>0</v>
      </c>
      <c r="O188" t="n">
        <v>0</v>
      </c>
      <c r="P188" t="n">
        <v>0</v>
      </c>
      <c r="Q188" t="n">
        <v>0</v>
      </c>
      <c r="R188" t="n">
        <v>0</v>
      </c>
      <c r="S188" t="n">
        <v>0</v>
      </c>
      <c r="T188" t="n">
        <v>0</v>
      </c>
      <c r="U188" s="2" t="inlineStr"/>
    </row>
    <row r="189" ht="15" customHeight="1">
      <c r="A189" t="inlineStr">
        <is>
          <t>A 9011-2024</t>
        </is>
      </c>
      <c r="B189" t="inlineStr">
        <is>
          <t>avverkningsanmälan</t>
        </is>
      </c>
      <c r="C189" t="inlineStr">
        <is>
          <t>Föryngringsavverkning</t>
        </is>
      </c>
      <c r="D189" s="1" t="n">
        <v>45356</v>
      </c>
      <c r="E189" s="1" t="n">
        <v>46219</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39346-2022</t>
        </is>
      </c>
      <c r="B190" t="inlineStr">
        <is>
          <t>avverkningsanmälan</t>
        </is>
      </c>
      <c r="C190" t="inlineStr">
        <is>
          <t>Föryngringsavverkning</t>
        </is>
      </c>
      <c r="D190" s="1" t="n">
        <v>44817</v>
      </c>
      <c r="E190" s="1" t="n">
        <v>46219</v>
      </c>
      <c r="F190" t="inlineStr">
        <is>
          <t>NORRBOTTENS LÄN</t>
        </is>
      </c>
      <c r="G190" t="inlineStr">
        <is>
          <t>PITEÅ</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39347-2022</t>
        </is>
      </c>
      <c r="B191" t="inlineStr">
        <is>
          <t>avverkningsanmälan</t>
        </is>
      </c>
      <c r="C191" t="inlineStr">
        <is>
          <t>Föryngringsavverkning</t>
        </is>
      </c>
      <c r="D191" s="1" t="n">
        <v>44817</v>
      </c>
      <c r="E191" s="1" t="n">
        <v>46219</v>
      </c>
      <c r="F191" t="inlineStr">
        <is>
          <t>NORRBOTTENS LÄN</t>
        </is>
      </c>
      <c r="G191" t="inlineStr">
        <is>
          <t>PITEÅ</t>
        </is>
      </c>
      <c r="I191" t="n">
        <v>3.1</v>
      </c>
      <c r="J191" t="n">
        <v>0</v>
      </c>
      <c r="K191" t="n">
        <v>0</v>
      </c>
      <c r="L191" t="n">
        <v>0</v>
      </c>
      <c r="M191" t="n">
        <v>0</v>
      </c>
      <c r="N191" t="n">
        <v>0</v>
      </c>
      <c r="O191" t="n">
        <v>0</v>
      </c>
      <c r="P191" t="n">
        <v>0</v>
      </c>
      <c r="Q191" t="n">
        <v>0</v>
      </c>
      <c r="R191" t="n">
        <v>0</v>
      </c>
      <c r="S191" t="n">
        <v>0</v>
      </c>
      <c r="T191" t="n">
        <v>0</v>
      </c>
      <c r="U191" s="2" t="inlineStr"/>
    </row>
    <row r="192" ht="15" customHeight="1">
      <c r="A192" t="inlineStr">
        <is>
          <t>A 55845-2022</t>
        </is>
      </c>
      <c r="B192" t="inlineStr">
        <is>
          <t>avverkningsanmälan</t>
        </is>
      </c>
      <c r="C192" t="inlineStr">
        <is>
          <t>Föryngringsavverkning</t>
        </is>
      </c>
      <c r="D192" s="1" t="n">
        <v>44888</v>
      </c>
      <c r="E192" s="1" t="n">
        <v>46219</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11998-2024</t>
        </is>
      </c>
      <c r="B193" t="inlineStr">
        <is>
          <t>avverkningsanmälan</t>
        </is>
      </c>
      <c r="C193" t="inlineStr">
        <is>
          <t>Föryngringsavverkning</t>
        </is>
      </c>
      <c r="D193" s="1" t="n">
        <v>45377</v>
      </c>
      <c r="E193" s="1" t="n">
        <v>46219</v>
      </c>
      <c r="F193" t="inlineStr">
        <is>
          <t>NORRBOTTENS LÄN</t>
        </is>
      </c>
      <c r="G193" t="inlineStr">
        <is>
          <t>PITEÅ</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38755-2022</t>
        </is>
      </c>
      <c r="B194" t="inlineStr">
        <is>
          <t>avverkningsanmälan</t>
        </is>
      </c>
      <c r="C194" t="inlineStr">
        <is>
          <t>Föryngringsavverkning</t>
        </is>
      </c>
      <c r="D194" s="1" t="n">
        <v>44813</v>
      </c>
      <c r="E194" s="1" t="n">
        <v>46219</v>
      </c>
      <c r="F194" t="inlineStr">
        <is>
          <t>NORRBOTTENS LÄN</t>
        </is>
      </c>
      <c r="G194" t="inlineStr">
        <is>
          <t>PITEÅ</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23880-2022</t>
        </is>
      </c>
      <c r="B195" t="inlineStr">
        <is>
          <t>avverkningsanmälan</t>
        </is>
      </c>
      <c r="C195" t="inlineStr">
        <is>
          <t>Föryngringsavverkning</t>
        </is>
      </c>
      <c r="D195" s="1" t="n">
        <v>44722</v>
      </c>
      <c r="E195" s="1" t="n">
        <v>46219</v>
      </c>
      <c r="F195" t="inlineStr">
        <is>
          <t>NORRBOTTENS LÄN</t>
        </is>
      </c>
      <c r="G195" t="inlineStr">
        <is>
          <t>PITEÅ</t>
        </is>
      </c>
      <c r="I195" t="n">
        <v>3.5</v>
      </c>
      <c r="J195" t="n">
        <v>0</v>
      </c>
      <c r="K195" t="n">
        <v>0</v>
      </c>
      <c r="L195" t="n">
        <v>0</v>
      </c>
      <c r="M195" t="n">
        <v>0</v>
      </c>
      <c r="N195" t="n">
        <v>0</v>
      </c>
      <c r="O195" t="n">
        <v>0</v>
      </c>
      <c r="P195" t="n">
        <v>0</v>
      </c>
      <c r="Q195" t="n">
        <v>0</v>
      </c>
      <c r="R195" t="n">
        <v>0</v>
      </c>
      <c r="S195" t="n">
        <v>0</v>
      </c>
      <c r="T195" t="n">
        <v>0</v>
      </c>
      <c r="U195" s="2" t="inlineStr"/>
    </row>
    <row r="196" ht="15" customHeight="1">
      <c r="A196" t="inlineStr">
        <is>
          <t>A 60687-2024</t>
        </is>
      </c>
      <c r="B196" t="inlineStr">
        <is>
          <t>avverkningsanmälan</t>
        </is>
      </c>
      <c r="C196" t="inlineStr">
        <is>
          <t>Föryngringsavverkning</t>
        </is>
      </c>
      <c r="D196" s="1" t="n">
        <v>45644</v>
      </c>
      <c r="E196" s="1" t="n">
        <v>46219</v>
      </c>
      <c r="F196" t="inlineStr">
        <is>
          <t>NORRBOTTENS LÄN</t>
        </is>
      </c>
      <c r="G196" t="inlineStr">
        <is>
          <t>PITEÅ</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59529-2023</t>
        </is>
      </c>
      <c r="B197" t="inlineStr">
        <is>
          <t>avverkningsanmälan</t>
        </is>
      </c>
      <c r="C197" t="inlineStr">
        <is>
          <t>Föryngringsavverkning</t>
        </is>
      </c>
      <c r="D197" s="1" t="n">
        <v>45254</v>
      </c>
      <c r="E197" s="1" t="n">
        <v>46219</v>
      </c>
      <c r="F197" t="inlineStr">
        <is>
          <t>NORRBOTTENS LÄN</t>
        </is>
      </c>
      <c r="G197" t="inlineStr">
        <is>
          <t>PITEÅ</t>
        </is>
      </c>
      <c r="I197" t="n">
        <v>8</v>
      </c>
      <c r="J197" t="n">
        <v>0</v>
      </c>
      <c r="K197" t="n">
        <v>0</v>
      </c>
      <c r="L197" t="n">
        <v>0</v>
      </c>
      <c r="M197" t="n">
        <v>0</v>
      </c>
      <c r="N197" t="n">
        <v>0</v>
      </c>
      <c r="O197" t="n">
        <v>0</v>
      </c>
      <c r="P197" t="n">
        <v>0</v>
      </c>
      <c r="Q197" t="n">
        <v>0</v>
      </c>
      <c r="R197" t="n">
        <v>0</v>
      </c>
      <c r="S197" t="n">
        <v>0</v>
      </c>
      <c r="T197" t="n">
        <v>0</v>
      </c>
      <c r="U197" s="2" t="inlineStr"/>
    </row>
    <row r="198" ht="15" customHeight="1">
      <c r="A198" t="inlineStr">
        <is>
          <t>A 59954-2024</t>
        </is>
      </c>
      <c r="B198" t="inlineStr">
        <is>
          <t>avverkningsanmälan</t>
        </is>
      </c>
      <c r="C198" t="inlineStr">
        <is>
          <t>Föryngringsavverkning</t>
        </is>
      </c>
      <c r="D198" s="1" t="n">
        <v>45642</v>
      </c>
      <c r="E198" s="1" t="n">
        <v>46219</v>
      </c>
      <c r="F198" t="inlineStr">
        <is>
          <t>NORRBOTTENS LÄN</t>
        </is>
      </c>
      <c r="G198" t="inlineStr">
        <is>
          <t>PITEÅ</t>
        </is>
      </c>
      <c r="I198" t="n">
        <v>6.2</v>
      </c>
      <c r="J198" t="n">
        <v>0</v>
      </c>
      <c r="K198" t="n">
        <v>0</v>
      </c>
      <c r="L198" t="n">
        <v>0</v>
      </c>
      <c r="M198" t="n">
        <v>0</v>
      </c>
      <c r="N198" t="n">
        <v>0</v>
      </c>
      <c r="O198" t="n">
        <v>0</v>
      </c>
      <c r="P198" t="n">
        <v>0</v>
      </c>
      <c r="Q198" t="n">
        <v>0</v>
      </c>
      <c r="R198" t="n">
        <v>0</v>
      </c>
      <c r="S198" t="n">
        <v>0</v>
      </c>
      <c r="T198" t="n">
        <v>0</v>
      </c>
      <c r="U198" s="2" t="inlineStr"/>
    </row>
    <row r="199" ht="15" customHeight="1">
      <c r="A199" t="inlineStr">
        <is>
          <t>A 59973-2024</t>
        </is>
      </c>
      <c r="B199" t="inlineStr">
        <is>
          <t>avverkningsanmälan</t>
        </is>
      </c>
      <c r="C199" t="inlineStr">
        <is>
          <t>Föryngringsavverkning</t>
        </is>
      </c>
      <c r="D199" s="1" t="n">
        <v>45642</v>
      </c>
      <c r="E199" s="1" t="n">
        <v>46219</v>
      </c>
      <c r="F199" t="inlineStr">
        <is>
          <t>NORRBOTTENS LÄN</t>
        </is>
      </c>
      <c r="G199" t="inlineStr">
        <is>
          <t>PITEÅ</t>
        </is>
      </c>
      <c r="I199" t="n">
        <v>0.4</v>
      </c>
      <c r="J199" t="n">
        <v>0</v>
      </c>
      <c r="K199" t="n">
        <v>0</v>
      </c>
      <c r="L199" t="n">
        <v>0</v>
      </c>
      <c r="M199" t="n">
        <v>0</v>
      </c>
      <c r="N199" t="n">
        <v>0</v>
      </c>
      <c r="O199" t="n">
        <v>0</v>
      </c>
      <c r="P199" t="n">
        <v>0</v>
      </c>
      <c r="Q199" t="n">
        <v>0</v>
      </c>
      <c r="R199" t="n">
        <v>0</v>
      </c>
      <c r="S199" t="n">
        <v>0</v>
      </c>
      <c r="T199" t="n">
        <v>0</v>
      </c>
      <c r="U199" s="2" t="inlineStr"/>
    </row>
    <row r="200" ht="15" customHeight="1">
      <c r="A200" t="inlineStr">
        <is>
          <t>A 55796-2023</t>
        </is>
      </c>
      <c r="B200" t="inlineStr">
        <is>
          <t>avverkningsanmälan</t>
        </is>
      </c>
      <c r="C200" t="inlineStr">
        <is>
          <t>Föryngringsavverkning</t>
        </is>
      </c>
      <c r="D200" s="1" t="n">
        <v>45239</v>
      </c>
      <c r="E200" s="1" t="n">
        <v>46219</v>
      </c>
      <c r="F200" t="inlineStr">
        <is>
          <t>NORRBOTTENS LÄN</t>
        </is>
      </c>
      <c r="G200" t="inlineStr">
        <is>
          <t>PITEÅ</t>
        </is>
      </c>
      <c r="I200" t="n">
        <v>38.2</v>
      </c>
      <c r="J200" t="n">
        <v>0</v>
      </c>
      <c r="K200" t="n">
        <v>0</v>
      </c>
      <c r="L200" t="n">
        <v>0</v>
      </c>
      <c r="M200" t="n">
        <v>0</v>
      </c>
      <c r="N200" t="n">
        <v>0</v>
      </c>
      <c r="O200" t="n">
        <v>0</v>
      </c>
      <c r="P200" t="n">
        <v>0</v>
      </c>
      <c r="Q200" t="n">
        <v>0</v>
      </c>
      <c r="R200" t="n">
        <v>0</v>
      </c>
      <c r="S200" t="n">
        <v>0</v>
      </c>
      <c r="T200" t="n">
        <v>0</v>
      </c>
      <c r="U200" s="2" t="inlineStr"/>
    </row>
    <row r="201" ht="15" customHeight="1">
      <c r="A201" t="inlineStr">
        <is>
          <t>A 40813-2022</t>
        </is>
      </c>
      <c r="B201" t="inlineStr">
        <is>
          <t>avverkningsanmälan</t>
        </is>
      </c>
      <c r="C201" t="inlineStr">
        <is>
          <t>Föryngringsavverkning</t>
        </is>
      </c>
      <c r="D201" s="1" t="n">
        <v>44824</v>
      </c>
      <c r="E201" s="1" t="n">
        <v>46219</v>
      </c>
      <c r="F201" t="inlineStr">
        <is>
          <t>NORRBOTTENS LÄN</t>
        </is>
      </c>
      <c r="G201" t="inlineStr">
        <is>
          <t>PITEÅ</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38230-2021</t>
        </is>
      </c>
      <c r="B202" t="inlineStr">
        <is>
          <t>avverkningsanmälan</t>
        </is>
      </c>
      <c r="C202" t="inlineStr">
        <is>
          <t>Föryngringsavverkning</t>
        </is>
      </c>
      <c r="D202" s="1" t="n">
        <v>44405</v>
      </c>
      <c r="E202" s="1" t="n">
        <v>46219</v>
      </c>
      <c r="F202" t="inlineStr">
        <is>
          <t>NORRBOTTENS LÄN</t>
        </is>
      </c>
      <c r="G202" t="inlineStr">
        <is>
          <t>PITEÅ</t>
        </is>
      </c>
      <c r="H202" t="inlineStr">
        <is>
          <t>Sveaskog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28721-2024</t>
        </is>
      </c>
      <c r="B203" t="inlineStr">
        <is>
          <t>avverkningsanmälan</t>
        </is>
      </c>
      <c r="C203" t="inlineStr">
        <is>
          <t>Föryngringsavverkning</t>
        </is>
      </c>
      <c r="D203" s="1" t="n">
        <v>45478</v>
      </c>
      <c r="E203" s="1" t="n">
        <v>46219</v>
      </c>
      <c r="F203" t="inlineStr">
        <is>
          <t>NORRBOTTENS LÄN</t>
        </is>
      </c>
      <c r="G203" t="inlineStr">
        <is>
          <t>PITEÅ</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28727-2024</t>
        </is>
      </c>
      <c r="B204" t="inlineStr">
        <is>
          <t>avverkningsanmälan</t>
        </is>
      </c>
      <c r="C204" t="inlineStr">
        <is>
          <t>Föryngringsavverkning</t>
        </is>
      </c>
      <c r="D204" s="1" t="n">
        <v>45478</v>
      </c>
      <c r="E204" s="1" t="n">
        <v>46219</v>
      </c>
      <c r="F204" t="inlineStr">
        <is>
          <t>NORRBOTTENS LÄN</t>
        </is>
      </c>
      <c r="G204" t="inlineStr">
        <is>
          <t>PITEÅ</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472-2023</t>
        </is>
      </c>
      <c r="B205" t="inlineStr">
        <is>
          <t>avverkningsanmälan</t>
        </is>
      </c>
      <c r="C205" t="inlineStr">
        <is>
          <t>Föryngringsavverkning</t>
        </is>
      </c>
      <c r="D205" s="1" t="n">
        <v>44929</v>
      </c>
      <c r="E205" s="1" t="n">
        <v>46219</v>
      </c>
      <c r="F205" t="inlineStr">
        <is>
          <t>NORRBOTTENS LÄN</t>
        </is>
      </c>
      <c r="G205" t="inlineStr">
        <is>
          <t>PITEÅ</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473-2023</t>
        </is>
      </c>
      <c r="B206" t="inlineStr">
        <is>
          <t>avverkningsanmälan</t>
        </is>
      </c>
      <c r="C206" t="inlineStr">
        <is>
          <t>Föryngringsavverkning</t>
        </is>
      </c>
      <c r="D206" s="1" t="n">
        <v>44929</v>
      </c>
      <c r="E206" s="1" t="n">
        <v>46219</v>
      </c>
      <c r="F206" t="inlineStr">
        <is>
          <t>NORRBOTTENS LÄN</t>
        </is>
      </c>
      <c r="G206" t="inlineStr">
        <is>
          <t>PITEÅ</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60476-2022</t>
        </is>
      </c>
      <c r="B207" t="inlineStr">
        <is>
          <t>avverkningsanmälan</t>
        </is>
      </c>
      <c r="C207" t="inlineStr">
        <is>
          <t>Föryngringsavverkning</t>
        </is>
      </c>
      <c r="D207" s="1" t="n">
        <v>44911</v>
      </c>
      <c r="E207" s="1" t="n">
        <v>46219</v>
      </c>
      <c r="F207" t="inlineStr">
        <is>
          <t>NORRBOTTENS LÄN</t>
        </is>
      </c>
      <c r="G207" t="inlineStr">
        <is>
          <t>PITEÅ</t>
        </is>
      </c>
      <c r="H207" t="inlineStr">
        <is>
          <t>Sveaskog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59516-2022</t>
        </is>
      </c>
      <c r="B208" t="inlineStr">
        <is>
          <t>avverkningsanmälan</t>
        </is>
      </c>
      <c r="C208" t="inlineStr">
        <is>
          <t>Föryngringsavverkning</t>
        </is>
      </c>
      <c r="D208" s="1" t="n">
        <v>44907</v>
      </c>
      <c r="E208" s="1" t="n">
        <v>46219</v>
      </c>
      <c r="F208" t="inlineStr">
        <is>
          <t>NORRBOTTENS LÄN</t>
        </is>
      </c>
      <c r="G208" t="inlineStr">
        <is>
          <t>PITEÅ</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24424-2024</t>
        </is>
      </c>
      <c r="B209" t="inlineStr">
        <is>
          <t>avverkningsanmälan</t>
        </is>
      </c>
      <c r="C209" t="inlineStr">
        <is>
          <t>Avverkning för att bevara och utveckla /försöksver</t>
        </is>
      </c>
      <c r="D209" s="1" t="n">
        <v>45457</v>
      </c>
      <c r="E209" s="1" t="n">
        <v>46219</v>
      </c>
      <c r="F209" t="inlineStr">
        <is>
          <t>NORRBOTTENS LÄN</t>
        </is>
      </c>
      <c r="G209" t="inlineStr">
        <is>
          <t>PITEÅ</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10713-2023</t>
        </is>
      </c>
      <c r="B210" t="inlineStr">
        <is>
          <t>avverkningsanmälan</t>
        </is>
      </c>
      <c r="C210" t="inlineStr">
        <is>
          <t>Föryngringsavverkning</t>
        </is>
      </c>
      <c r="D210" s="1" t="n">
        <v>44984</v>
      </c>
      <c r="E210" s="1" t="n">
        <v>46219</v>
      </c>
      <c r="F210" t="inlineStr">
        <is>
          <t>NORRBOTTENS LÄN</t>
        </is>
      </c>
      <c r="G210" t="inlineStr">
        <is>
          <t>PITEÅ</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25969-2024</t>
        </is>
      </c>
      <c r="B211" t="inlineStr">
        <is>
          <t>avverkningsanmälan</t>
        </is>
      </c>
      <c r="C211" t="inlineStr">
        <is>
          <t>Avverkning för annat ändamål</t>
        </is>
      </c>
      <c r="D211" s="1" t="n">
        <v>45467</v>
      </c>
      <c r="E211" s="1" t="n">
        <v>46219</v>
      </c>
      <c r="F211" t="inlineStr">
        <is>
          <t>NORRBOTTENS LÄN</t>
        </is>
      </c>
      <c r="G211" t="inlineStr">
        <is>
          <t>PITEÅ</t>
        </is>
      </c>
      <c r="H211" t="inlineStr">
        <is>
          <t>Kommuner</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6026-2025</t>
        </is>
      </c>
      <c r="B212" t="inlineStr">
        <is>
          <t>avverkningsanmälan</t>
        </is>
      </c>
      <c r="C212" t="inlineStr">
        <is>
          <t>Föryngringsavverkning</t>
        </is>
      </c>
      <c r="D212" s="1" t="n">
        <v>45695</v>
      </c>
      <c r="E212" s="1" t="n">
        <v>46219</v>
      </c>
      <c r="F212" t="inlineStr">
        <is>
          <t>NORRBOTTENS LÄN</t>
        </is>
      </c>
      <c r="G212" t="inlineStr">
        <is>
          <t>PITEÅ</t>
        </is>
      </c>
      <c r="H212" t="inlineStr">
        <is>
          <t>Övriga Aktiebolag</t>
        </is>
      </c>
      <c r="I212" t="n">
        <v>4.9</v>
      </c>
      <c r="J212" t="n">
        <v>0</v>
      </c>
      <c r="K212" t="n">
        <v>0</v>
      </c>
      <c r="L212" t="n">
        <v>0</v>
      </c>
      <c r="M212" t="n">
        <v>0</v>
      </c>
      <c r="N212" t="n">
        <v>0</v>
      </c>
      <c r="O212" t="n">
        <v>0</v>
      </c>
      <c r="P212" t="n">
        <v>0</v>
      </c>
      <c r="Q212" t="n">
        <v>0</v>
      </c>
      <c r="R212" t="n">
        <v>0</v>
      </c>
      <c r="S212" t="n">
        <v>0</v>
      </c>
      <c r="T212" t="n">
        <v>0</v>
      </c>
      <c r="U212" s="2" t="inlineStr"/>
    </row>
    <row r="213" ht="15" customHeight="1">
      <c r="A213" t="inlineStr">
        <is>
          <t>A 61858-2023</t>
        </is>
      </c>
      <c r="B213" t="inlineStr">
        <is>
          <t>avverkningsanmälan</t>
        </is>
      </c>
      <c r="C213" t="inlineStr">
        <is>
          <t>Föryngringsavverkning</t>
        </is>
      </c>
      <c r="D213" s="1" t="n">
        <v>45264</v>
      </c>
      <c r="E213" s="1" t="n">
        <v>46219</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17838-2024</t>
        </is>
      </c>
      <c r="B214" t="inlineStr">
        <is>
          <t>avverkningsanmälan</t>
        </is>
      </c>
      <c r="C214" t="inlineStr">
        <is>
          <t>Föryngringsavverkning</t>
        </is>
      </c>
      <c r="D214" s="1" t="n">
        <v>45418</v>
      </c>
      <c r="E214" s="1" t="n">
        <v>46219</v>
      </c>
      <c r="F214" t="inlineStr">
        <is>
          <t>NORRBOTTENS LÄN</t>
        </is>
      </c>
      <c r="G214" t="inlineStr">
        <is>
          <t>PITEÅ</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18850-2025</t>
        </is>
      </c>
      <c r="B215" t="inlineStr">
        <is>
          <t>avverkningsanmälan</t>
        </is>
      </c>
      <c r="C215" t="inlineStr">
        <is>
          <t>Föryngringsavverkning</t>
        </is>
      </c>
      <c r="D215" s="1" t="n">
        <v>45764</v>
      </c>
      <c r="E215" s="1" t="n">
        <v>46219</v>
      </c>
      <c r="F215" t="inlineStr">
        <is>
          <t>NORRBOTTENS LÄN</t>
        </is>
      </c>
      <c r="G215" t="inlineStr">
        <is>
          <t>PITEÅ</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39891-2024</t>
        </is>
      </c>
      <c r="B216" t="inlineStr">
        <is>
          <t>avverkningsanmälan</t>
        </is>
      </c>
      <c r="C216" t="inlineStr">
        <is>
          <t>Föryngringsavverkning</t>
        </is>
      </c>
      <c r="D216" s="1" t="n">
        <v>45553</v>
      </c>
      <c r="E216" s="1" t="n">
        <v>46219</v>
      </c>
      <c r="F216" t="inlineStr">
        <is>
          <t>NORRBOTTENS LÄN</t>
        </is>
      </c>
      <c r="G216" t="inlineStr">
        <is>
          <t>PITEÅ</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62819-2023</t>
        </is>
      </c>
      <c r="B217" t="inlineStr">
        <is>
          <t>avverkningsanmälan</t>
        </is>
      </c>
      <c r="C217" t="inlineStr">
        <is>
          <t>Föryngringsavverkning</t>
        </is>
      </c>
      <c r="D217" s="1" t="n">
        <v>45271</v>
      </c>
      <c r="E217" s="1" t="n">
        <v>46219</v>
      </c>
      <c r="F217" t="inlineStr">
        <is>
          <t>NORRBOTTENS LÄN</t>
        </is>
      </c>
      <c r="G217" t="inlineStr">
        <is>
          <t>PITEÅ</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3663-2025</t>
        </is>
      </c>
      <c r="B218" t="inlineStr">
        <is>
          <t>avverkningsanmälan</t>
        </is>
      </c>
      <c r="C218" t="inlineStr">
        <is>
          <t>Föryngringsavverkning</t>
        </is>
      </c>
      <c r="D218" s="1" t="n">
        <v>45681</v>
      </c>
      <c r="E218" s="1" t="n">
        <v>46219</v>
      </c>
      <c r="F218" t="inlineStr">
        <is>
          <t>NORRBOTTENS LÄN</t>
        </is>
      </c>
      <c r="G218" t="inlineStr">
        <is>
          <t>PITEÅ</t>
        </is>
      </c>
      <c r="I218" t="n">
        <v>3.8</v>
      </c>
      <c r="J218" t="n">
        <v>0</v>
      </c>
      <c r="K218" t="n">
        <v>0</v>
      </c>
      <c r="L218" t="n">
        <v>0</v>
      </c>
      <c r="M218" t="n">
        <v>0</v>
      </c>
      <c r="N218" t="n">
        <v>0</v>
      </c>
      <c r="O218" t="n">
        <v>0</v>
      </c>
      <c r="P218" t="n">
        <v>0</v>
      </c>
      <c r="Q218" t="n">
        <v>0</v>
      </c>
      <c r="R218" t="n">
        <v>0</v>
      </c>
      <c r="S218" t="n">
        <v>0</v>
      </c>
      <c r="T218" t="n">
        <v>0</v>
      </c>
      <c r="U218" s="2" t="inlineStr"/>
    </row>
    <row r="219" ht="15" customHeight="1">
      <c r="A219" t="inlineStr">
        <is>
          <t>A 27175-2023</t>
        </is>
      </c>
      <c r="B219" t="inlineStr">
        <is>
          <t>avverkningsanmälan</t>
        </is>
      </c>
      <c r="C219" t="inlineStr">
        <is>
          <t>Föryngringsavverkning</t>
        </is>
      </c>
      <c r="D219" s="1" t="n">
        <v>45096</v>
      </c>
      <c r="E219" s="1" t="n">
        <v>46219</v>
      </c>
      <c r="F219" t="inlineStr">
        <is>
          <t>NORRBOTTENS LÄN</t>
        </is>
      </c>
      <c r="G219" t="inlineStr">
        <is>
          <t>PITEÅ</t>
        </is>
      </c>
      <c r="H219" t="inlineStr">
        <is>
          <t>Övriga Aktiebolag</t>
        </is>
      </c>
      <c r="I219" t="n">
        <v>9.4</v>
      </c>
      <c r="J219" t="n">
        <v>0</v>
      </c>
      <c r="K219" t="n">
        <v>0</v>
      </c>
      <c r="L219" t="n">
        <v>0</v>
      </c>
      <c r="M219" t="n">
        <v>0</v>
      </c>
      <c r="N219" t="n">
        <v>0</v>
      </c>
      <c r="O219" t="n">
        <v>0</v>
      </c>
      <c r="P219" t="n">
        <v>0</v>
      </c>
      <c r="Q219" t="n">
        <v>0</v>
      </c>
      <c r="R219" t="n">
        <v>0</v>
      </c>
      <c r="S219" t="n">
        <v>0</v>
      </c>
      <c r="T219" t="n">
        <v>0</v>
      </c>
      <c r="U219" s="2" t="inlineStr"/>
    </row>
    <row r="220" ht="15" customHeight="1">
      <c r="A220" t="inlineStr">
        <is>
          <t>A 19329-2025</t>
        </is>
      </c>
      <c r="B220" t="inlineStr">
        <is>
          <t>avverkningsanmälan</t>
        </is>
      </c>
      <c r="C220" t="inlineStr">
        <is>
          <t>Föryngringsavverkning</t>
        </is>
      </c>
      <c r="D220" s="1" t="n">
        <v>45769</v>
      </c>
      <c r="E220" s="1" t="n">
        <v>46219</v>
      </c>
      <c r="F220" t="inlineStr">
        <is>
          <t>NORRBOTTENS LÄN</t>
        </is>
      </c>
      <c r="G220" t="inlineStr">
        <is>
          <t>PITEÅ</t>
        </is>
      </c>
      <c r="H220" t="inlineStr">
        <is>
          <t>Sveaskog</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48602-2022</t>
        </is>
      </c>
      <c r="B221" t="inlineStr">
        <is>
          <t>avverkningsanmälan</t>
        </is>
      </c>
      <c r="C221" t="inlineStr">
        <is>
          <t>Föryngringsavverkning</t>
        </is>
      </c>
      <c r="D221" s="1" t="n">
        <v>44859</v>
      </c>
      <c r="E221" s="1" t="n">
        <v>46219</v>
      </c>
      <c r="F221" t="inlineStr">
        <is>
          <t>NORRBOTTENS LÄN</t>
        </is>
      </c>
      <c r="G221" t="inlineStr">
        <is>
          <t>PITEÅ</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55124-2023</t>
        </is>
      </c>
      <c r="B222" t="inlineStr">
        <is>
          <t>avverkningsanmälan</t>
        </is>
      </c>
      <c r="C222" t="inlineStr">
        <is>
          <t>Föryngringsavverkning</t>
        </is>
      </c>
      <c r="D222" s="1" t="n">
        <v>45237</v>
      </c>
      <c r="E222" s="1" t="n">
        <v>46219</v>
      </c>
      <c r="F222" t="inlineStr">
        <is>
          <t>NORRBOTTENS LÄN</t>
        </is>
      </c>
      <c r="G222" t="inlineStr">
        <is>
          <t>PITEÅ</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40210-2025</t>
        </is>
      </c>
      <c r="B223" t="inlineStr">
        <is>
          <t>avverkningsanmälan</t>
        </is>
      </c>
      <c r="C223" t="inlineStr">
        <is>
          <t>Föryngringsavverkning</t>
        </is>
      </c>
      <c r="D223" s="1" t="n">
        <v>45894</v>
      </c>
      <c r="E223" s="1" t="n">
        <v>46219</v>
      </c>
      <c r="F223" t="inlineStr">
        <is>
          <t>NORRBOTTENS LÄN</t>
        </is>
      </c>
      <c r="G223" t="inlineStr">
        <is>
          <t>PITEÅ</t>
        </is>
      </c>
      <c r="H223" t="inlineStr">
        <is>
          <t>Sveaskog</t>
        </is>
      </c>
      <c r="I223" t="n">
        <v>6.7</v>
      </c>
      <c r="J223" t="n">
        <v>0</v>
      </c>
      <c r="K223" t="n">
        <v>0</v>
      </c>
      <c r="L223" t="n">
        <v>0</v>
      </c>
      <c r="M223" t="n">
        <v>0</v>
      </c>
      <c r="N223" t="n">
        <v>0</v>
      </c>
      <c r="O223" t="n">
        <v>0</v>
      </c>
      <c r="P223" t="n">
        <v>0</v>
      </c>
      <c r="Q223" t="n">
        <v>0</v>
      </c>
      <c r="R223" t="n">
        <v>0</v>
      </c>
      <c r="S223" t="n">
        <v>0</v>
      </c>
      <c r="T223" t="n">
        <v>0</v>
      </c>
      <c r="U223" s="2" t="inlineStr"/>
    </row>
    <row r="224" ht="15" customHeight="1">
      <c r="A224" t="inlineStr">
        <is>
          <t>A 39891-2025</t>
        </is>
      </c>
      <c r="B224" t="inlineStr">
        <is>
          <t>avverkningsanmälan</t>
        </is>
      </c>
      <c r="C224" t="inlineStr">
        <is>
          <t>Föryngringsavverkning</t>
        </is>
      </c>
      <c r="D224" s="1" t="n">
        <v>45891</v>
      </c>
      <c r="E224" s="1" t="n">
        <v>46219</v>
      </c>
      <c r="F224" t="inlineStr">
        <is>
          <t>NORRBOTTENS LÄN</t>
        </is>
      </c>
      <c r="G224" t="inlineStr">
        <is>
          <t>PITEÅ</t>
        </is>
      </c>
      <c r="H224" t="inlineStr">
        <is>
          <t>Sveaskog</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44527-2024</t>
        </is>
      </c>
      <c r="B225" t="inlineStr">
        <is>
          <t>avverkningsanmälan</t>
        </is>
      </c>
      <c r="C225" t="inlineStr">
        <is>
          <t>Föryngringsavverkning</t>
        </is>
      </c>
      <c r="D225" s="1" t="n">
        <v>45574</v>
      </c>
      <c r="E225" s="1" t="n">
        <v>46219</v>
      </c>
      <c r="F225" t="inlineStr">
        <is>
          <t>NORRBOTTENS LÄN</t>
        </is>
      </c>
      <c r="G225" t="inlineStr">
        <is>
          <t>PITEÅ</t>
        </is>
      </c>
      <c r="H225" t="inlineStr">
        <is>
          <t>Sveaskog</t>
        </is>
      </c>
      <c r="I225" t="n">
        <v>12.2</v>
      </c>
      <c r="J225" t="n">
        <v>0</v>
      </c>
      <c r="K225" t="n">
        <v>0</v>
      </c>
      <c r="L225" t="n">
        <v>0</v>
      </c>
      <c r="M225" t="n">
        <v>0</v>
      </c>
      <c r="N225" t="n">
        <v>0</v>
      </c>
      <c r="O225" t="n">
        <v>0</v>
      </c>
      <c r="P225" t="n">
        <v>0</v>
      </c>
      <c r="Q225" t="n">
        <v>0</v>
      </c>
      <c r="R225" t="n">
        <v>0</v>
      </c>
      <c r="S225" t="n">
        <v>0</v>
      </c>
      <c r="T225" t="n">
        <v>0</v>
      </c>
      <c r="U225" s="2" t="inlineStr"/>
    </row>
    <row r="226" ht="15" customHeight="1">
      <c r="A226" t="inlineStr">
        <is>
          <t>A 11937-2025</t>
        </is>
      </c>
      <c r="B226" t="inlineStr">
        <is>
          <t>avverkningsanmälan</t>
        </is>
      </c>
      <c r="C226" t="inlineStr">
        <is>
          <t>Föryngringsavverkning</t>
        </is>
      </c>
      <c r="D226" s="1" t="n">
        <v>45728</v>
      </c>
      <c r="E226" s="1" t="n">
        <v>46219</v>
      </c>
      <c r="F226" t="inlineStr">
        <is>
          <t>NORRBOTTENS LÄN</t>
        </is>
      </c>
      <c r="G226" t="inlineStr">
        <is>
          <t>PITEÅ</t>
        </is>
      </c>
      <c r="H226" t="inlineStr">
        <is>
          <t>Kommuner</t>
        </is>
      </c>
      <c r="I226" t="n">
        <v>8.699999999999999</v>
      </c>
      <c r="J226" t="n">
        <v>0</v>
      </c>
      <c r="K226" t="n">
        <v>0</v>
      </c>
      <c r="L226" t="n">
        <v>0</v>
      </c>
      <c r="M226" t="n">
        <v>0</v>
      </c>
      <c r="N226" t="n">
        <v>0</v>
      </c>
      <c r="O226" t="n">
        <v>0</v>
      </c>
      <c r="P226" t="n">
        <v>0</v>
      </c>
      <c r="Q226" t="n">
        <v>0</v>
      </c>
      <c r="R226" t="n">
        <v>0</v>
      </c>
      <c r="S226" t="n">
        <v>0</v>
      </c>
      <c r="T226" t="n">
        <v>0</v>
      </c>
      <c r="U226" s="2" t="inlineStr"/>
    </row>
    <row r="227" ht="15" customHeight="1">
      <c r="A227" t="inlineStr">
        <is>
          <t>A 40123-2025</t>
        </is>
      </c>
      <c r="B227" t="inlineStr">
        <is>
          <t>avverkningsanmälan</t>
        </is>
      </c>
      <c r="C227" t="inlineStr">
        <is>
          <t>Föryngringsavverkning</t>
        </is>
      </c>
      <c r="D227" s="1" t="n">
        <v>45894</v>
      </c>
      <c r="E227" s="1" t="n">
        <v>46219</v>
      </c>
      <c r="F227" t="inlineStr">
        <is>
          <t>NORRBOTTENS LÄN</t>
        </is>
      </c>
      <c r="G227" t="inlineStr">
        <is>
          <t>PITEÅ</t>
        </is>
      </c>
      <c r="I227" t="n">
        <v>4.4</v>
      </c>
      <c r="J227" t="n">
        <v>0</v>
      </c>
      <c r="K227" t="n">
        <v>0</v>
      </c>
      <c r="L227" t="n">
        <v>0</v>
      </c>
      <c r="M227" t="n">
        <v>0</v>
      </c>
      <c r="N227" t="n">
        <v>0</v>
      </c>
      <c r="O227" t="n">
        <v>0</v>
      </c>
      <c r="P227" t="n">
        <v>0</v>
      </c>
      <c r="Q227" t="n">
        <v>0</v>
      </c>
      <c r="R227" t="n">
        <v>0</v>
      </c>
      <c r="S227" t="n">
        <v>0</v>
      </c>
      <c r="T227" t="n">
        <v>0</v>
      </c>
      <c r="U227" s="2" t="inlineStr"/>
    </row>
    <row r="228" ht="15" customHeight="1">
      <c r="A228" t="inlineStr">
        <is>
          <t>A 44461-2023</t>
        </is>
      </c>
      <c r="B228" t="inlineStr">
        <is>
          <t>avverkningsanmälan</t>
        </is>
      </c>
      <c r="C228" t="inlineStr">
        <is>
          <t>Föryngringsavverkning</t>
        </is>
      </c>
      <c r="D228" s="1" t="n">
        <v>45183</v>
      </c>
      <c r="E228" s="1" t="n">
        <v>46219</v>
      </c>
      <c r="F228" t="inlineStr">
        <is>
          <t>NORRBOTTENS LÄN</t>
        </is>
      </c>
      <c r="G228" t="inlineStr">
        <is>
          <t>PITEÅ</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40545-2025</t>
        </is>
      </c>
      <c r="B229" t="inlineStr">
        <is>
          <t>avverkningsanmälan</t>
        </is>
      </c>
      <c r="C229" t="inlineStr">
        <is>
          <t>Föryngringsavverkning</t>
        </is>
      </c>
      <c r="D229" s="1" t="n">
        <v>45896</v>
      </c>
      <c r="E229" s="1" t="n">
        <v>46219</v>
      </c>
      <c r="F229" t="inlineStr">
        <is>
          <t>NORRBOTTENS LÄN</t>
        </is>
      </c>
      <c r="G229" t="inlineStr">
        <is>
          <t>PITEÅ</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31729-2023</t>
        </is>
      </c>
      <c r="B230" t="inlineStr">
        <is>
          <t>avverkningsanmälan</t>
        </is>
      </c>
      <c r="C230" t="inlineStr">
        <is>
          <t>Föryngringsavverkning</t>
        </is>
      </c>
      <c r="D230" s="1" t="n">
        <v>45117</v>
      </c>
      <c r="E230" s="1" t="n">
        <v>46219</v>
      </c>
      <c r="F230" t="inlineStr">
        <is>
          <t>NORRBOTTENS LÄN</t>
        </is>
      </c>
      <c r="G230" t="inlineStr">
        <is>
          <t>PITEÅ</t>
        </is>
      </c>
      <c r="H230" t="inlineStr">
        <is>
          <t>SCA</t>
        </is>
      </c>
      <c r="I230" t="n">
        <v>33.7</v>
      </c>
      <c r="J230" t="n">
        <v>0</v>
      </c>
      <c r="K230" t="n">
        <v>0</v>
      </c>
      <c r="L230" t="n">
        <v>0</v>
      </c>
      <c r="M230" t="n">
        <v>0</v>
      </c>
      <c r="N230" t="n">
        <v>0</v>
      </c>
      <c r="O230" t="n">
        <v>0</v>
      </c>
      <c r="P230" t="n">
        <v>0</v>
      </c>
      <c r="Q230" t="n">
        <v>0</v>
      </c>
      <c r="R230" t="n">
        <v>0</v>
      </c>
      <c r="S230" t="n">
        <v>0</v>
      </c>
      <c r="T230" t="n">
        <v>0</v>
      </c>
      <c r="U230" s="2" t="inlineStr"/>
    </row>
    <row r="231" ht="15" customHeight="1">
      <c r="A231" t="inlineStr">
        <is>
          <t>A 37951-2021</t>
        </is>
      </c>
      <c r="B231" t="inlineStr">
        <is>
          <t>avverkningsanmälan</t>
        </is>
      </c>
      <c r="C231" t="inlineStr">
        <is>
          <t>Föryngringsavverkning</t>
        </is>
      </c>
      <c r="D231" s="1" t="n">
        <v>44403</v>
      </c>
      <c r="E231" s="1" t="n">
        <v>46219</v>
      </c>
      <c r="F231" t="inlineStr">
        <is>
          <t>NORRBOTTENS LÄN</t>
        </is>
      </c>
      <c r="G231" t="inlineStr">
        <is>
          <t>PITEÅ</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40785-2025</t>
        </is>
      </c>
      <c r="B232" t="inlineStr">
        <is>
          <t>avverkningsanmälan</t>
        </is>
      </c>
      <c r="C232" t="inlineStr">
        <is>
          <t>Föryngringsavverkning</t>
        </is>
      </c>
      <c r="D232" s="1" t="n">
        <v>45897</v>
      </c>
      <c r="E232" s="1" t="n">
        <v>46219</v>
      </c>
      <c r="F232" t="inlineStr">
        <is>
          <t>NORRBOTTENS LÄN</t>
        </is>
      </c>
      <c r="G232" t="inlineStr">
        <is>
          <t>PITEÅ</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63221-2023</t>
        </is>
      </c>
      <c r="B233" t="inlineStr">
        <is>
          <t>avverkningsanmälan</t>
        </is>
      </c>
      <c r="C233" t="inlineStr">
        <is>
          <t>Föryngringsavverkning</t>
        </is>
      </c>
      <c r="D233" s="1" t="n">
        <v>45273</v>
      </c>
      <c r="E233" s="1" t="n">
        <v>46219</v>
      </c>
      <c r="F233" t="inlineStr">
        <is>
          <t>NORRBOTTENS LÄN</t>
        </is>
      </c>
      <c r="G233" t="inlineStr">
        <is>
          <t>PITEÅ</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3521-2023</t>
        </is>
      </c>
      <c r="B234" t="inlineStr">
        <is>
          <t>avverkningsanmälan</t>
        </is>
      </c>
      <c r="C234" t="inlineStr">
        <is>
          <t>Föryngringsavverkning</t>
        </is>
      </c>
      <c r="D234" s="1" t="n">
        <v>44950</v>
      </c>
      <c r="E234" s="1" t="n">
        <v>46219</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40915-2025</t>
        </is>
      </c>
      <c r="B235" t="inlineStr">
        <is>
          <t>avverkningsanmälan</t>
        </is>
      </c>
      <c r="C235" t="inlineStr">
        <is>
          <t>Föryngringsavverkning</t>
        </is>
      </c>
      <c r="D235" s="1" t="n">
        <v>45897</v>
      </c>
      <c r="E235" s="1" t="n">
        <v>46219</v>
      </c>
      <c r="F235" t="inlineStr">
        <is>
          <t>NORRBOTTENS LÄN</t>
        </is>
      </c>
      <c r="G235" t="inlineStr">
        <is>
          <t>PITEÅ</t>
        </is>
      </c>
      <c r="H235" t="inlineStr">
        <is>
          <t>SCA</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20080-2024</t>
        </is>
      </c>
      <c r="B236" t="inlineStr">
        <is>
          <t>avverkningsanmälan</t>
        </is>
      </c>
      <c r="C236" t="inlineStr">
        <is>
          <t>Föryngringsavverkning</t>
        </is>
      </c>
      <c r="D236" s="1" t="n">
        <v>45434</v>
      </c>
      <c r="E236" s="1" t="n">
        <v>46219</v>
      </c>
      <c r="F236" t="inlineStr">
        <is>
          <t>NORRBOTTENS LÄN</t>
        </is>
      </c>
      <c r="G236" t="inlineStr">
        <is>
          <t>PITEÅ</t>
        </is>
      </c>
      <c r="I236" t="n">
        <v>7.7</v>
      </c>
      <c r="J236" t="n">
        <v>0</v>
      </c>
      <c r="K236" t="n">
        <v>0</v>
      </c>
      <c r="L236" t="n">
        <v>0</v>
      </c>
      <c r="M236" t="n">
        <v>0</v>
      </c>
      <c r="N236" t="n">
        <v>0</v>
      </c>
      <c r="O236" t="n">
        <v>0</v>
      </c>
      <c r="P236" t="n">
        <v>0</v>
      </c>
      <c r="Q236" t="n">
        <v>0</v>
      </c>
      <c r="R236" t="n">
        <v>0</v>
      </c>
      <c r="S236" t="n">
        <v>0</v>
      </c>
      <c r="T236" t="n">
        <v>0</v>
      </c>
      <c r="U236" s="2" t="inlineStr"/>
    </row>
    <row r="237" ht="15" customHeight="1">
      <c r="A237" t="inlineStr">
        <is>
          <t>A 62014-2023</t>
        </is>
      </c>
      <c r="B237" t="inlineStr">
        <is>
          <t>avverkningsanmälan</t>
        </is>
      </c>
      <c r="C237" t="inlineStr">
        <is>
          <t>Föryngringsavverkning</t>
        </is>
      </c>
      <c r="D237" s="1" t="n">
        <v>45266</v>
      </c>
      <c r="E237" s="1" t="n">
        <v>46219</v>
      </c>
      <c r="F237" t="inlineStr">
        <is>
          <t>NORRBOTTENS LÄN</t>
        </is>
      </c>
      <c r="G237" t="inlineStr">
        <is>
          <t>PITEÅ</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11469-2025</t>
        </is>
      </c>
      <c r="B238" t="inlineStr">
        <is>
          <t>avverkningsanmälan</t>
        </is>
      </c>
      <c r="C238" t="inlineStr">
        <is>
          <t>Föryngringsavverkning</t>
        </is>
      </c>
      <c r="D238" s="1" t="n">
        <v>45726</v>
      </c>
      <c r="E238" s="1" t="n">
        <v>46219</v>
      </c>
      <c r="F238" t="inlineStr">
        <is>
          <t>NORRBOTTENS LÄN</t>
        </is>
      </c>
      <c r="G238" t="inlineStr">
        <is>
          <t>PITEÅ</t>
        </is>
      </c>
      <c r="I238" t="n">
        <v>2.3</v>
      </c>
      <c r="J238" t="n">
        <v>0</v>
      </c>
      <c r="K238" t="n">
        <v>0</v>
      </c>
      <c r="L238" t="n">
        <v>0</v>
      </c>
      <c r="M238" t="n">
        <v>0</v>
      </c>
      <c r="N238" t="n">
        <v>0</v>
      </c>
      <c r="O238" t="n">
        <v>0</v>
      </c>
      <c r="P238" t="n">
        <v>0</v>
      </c>
      <c r="Q238" t="n">
        <v>0</v>
      </c>
      <c r="R238" t="n">
        <v>0</v>
      </c>
      <c r="S238" t="n">
        <v>0</v>
      </c>
      <c r="T238" t="n">
        <v>0</v>
      </c>
      <c r="U238" s="2" t="inlineStr"/>
    </row>
    <row r="239" ht="15" customHeight="1">
      <c r="A239" t="inlineStr">
        <is>
          <t>A 17423-2023</t>
        </is>
      </c>
      <c r="B239" t="inlineStr">
        <is>
          <t>avverkningsanmälan</t>
        </is>
      </c>
      <c r="C239" t="inlineStr">
        <is>
          <t>Föryngringsavverkning</t>
        </is>
      </c>
      <c r="D239" s="1" t="n">
        <v>45035</v>
      </c>
      <c r="E239" s="1" t="n">
        <v>46219</v>
      </c>
      <c r="F239" t="inlineStr">
        <is>
          <t>NORRBOTTENS LÄN</t>
        </is>
      </c>
      <c r="G239" t="inlineStr">
        <is>
          <t>PITEÅ</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17447-2023</t>
        </is>
      </c>
      <c r="B240" t="inlineStr">
        <is>
          <t>avverkningsanmälan</t>
        </is>
      </c>
      <c r="C240" t="inlineStr">
        <is>
          <t>Föryngringsavverkning</t>
        </is>
      </c>
      <c r="D240" s="1" t="n">
        <v>45035</v>
      </c>
      <c r="E240" s="1" t="n">
        <v>46219</v>
      </c>
      <c r="F240" t="inlineStr">
        <is>
          <t>NORRBOTTENS LÄN</t>
        </is>
      </c>
      <c r="G240" t="inlineStr">
        <is>
          <t>PITEÅ</t>
        </is>
      </c>
      <c r="H240" t="inlineStr">
        <is>
          <t>SCA</t>
        </is>
      </c>
      <c r="I240" t="n">
        <v>3.7</v>
      </c>
      <c r="J240" t="n">
        <v>0</v>
      </c>
      <c r="K240" t="n">
        <v>0</v>
      </c>
      <c r="L240" t="n">
        <v>0</v>
      </c>
      <c r="M240" t="n">
        <v>0</v>
      </c>
      <c r="N240" t="n">
        <v>0</v>
      </c>
      <c r="O240" t="n">
        <v>0</v>
      </c>
      <c r="P240" t="n">
        <v>0</v>
      </c>
      <c r="Q240" t="n">
        <v>0</v>
      </c>
      <c r="R240" t="n">
        <v>0</v>
      </c>
      <c r="S240" t="n">
        <v>0</v>
      </c>
      <c r="T240" t="n">
        <v>0</v>
      </c>
      <c r="U240" s="2" t="inlineStr"/>
    </row>
    <row r="241" ht="15" customHeight="1">
      <c r="A241" t="inlineStr">
        <is>
          <t>A 27923-2023</t>
        </is>
      </c>
      <c r="B241" t="inlineStr">
        <is>
          <t>avverkningsanmälan</t>
        </is>
      </c>
      <c r="C241" t="inlineStr">
        <is>
          <t>Föryngringsavverkning</t>
        </is>
      </c>
      <c r="D241" s="1" t="n">
        <v>45098</v>
      </c>
      <c r="E241" s="1" t="n">
        <v>46219</v>
      </c>
      <c r="F241" t="inlineStr">
        <is>
          <t>NORRBOTTENS LÄN</t>
        </is>
      </c>
      <c r="G241" t="inlineStr">
        <is>
          <t>PITEÅ</t>
        </is>
      </c>
      <c r="H241" t="inlineStr">
        <is>
          <t>Övriga Aktiebolag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56319-2022</t>
        </is>
      </c>
      <c r="B242" t="inlineStr">
        <is>
          <t>avverkningsanmälan</t>
        </is>
      </c>
      <c r="C242" t="inlineStr">
        <is>
          <t>Föryngringsavverkning</t>
        </is>
      </c>
      <c r="D242" s="1" t="n">
        <v>44890</v>
      </c>
      <c r="E242" s="1" t="n">
        <v>46219</v>
      </c>
      <c r="F242" t="inlineStr">
        <is>
          <t>NORRBOTTENS LÄN</t>
        </is>
      </c>
      <c r="G242" t="inlineStr">
        <is>
          <t>PITEÅ</t>
        </is>
      </c>
      <c r="H242" t="inlineStr">
        <is>
          <t>Övriga Aktiebolag</t>
        </is>
      </c>
      <c r="I242" t="n">
        <v>5.3</v>
      </c>
      <c r="J242" t="n">
        <v>0</v>
      </c>
      <c r="K242" t="n">
        <v>0</v>
      </c>
      <c r="L242" t="n">
        <v>0</v>
      </c>
      <c r="M242" t="n">
        <v>0</v>
      </c>
      <c r="N242" t="n">
        <v>0</v>
      </c>
      <c r="O242" t="n">
        <v>0</v>
      </c>
      <c r="P242" t="n">
        <v>0</v>
      </c>
      <c r="Q242" t="n">
        <v>0</v>
      </c>
      <c r="R242" t="n">
        <v>0</v>
      </c>
      <c r="S242" t="n">
        <v>0</v>
      </c>
      <c r="T242" t="n">
        <v>0</v>
      </c>
      <c r="U242" s="2" t="inlineStr"/>
    </row>
    <row r="243" ht="15" customHeight="1">
      <c r="A243" t="inlineStr">
        <is>
          <t>A 42283-2025</t>
        </is>
      </c>
      <c r="B243" t="inlineStr">
        <is>
          <t>avverkningsanmälan</t>
        </is>
      </c>
      <c r="C243" t="inlineStr">
        <is>
          <t>Föryngringsavverkning</t>
        </is>
      </c>
      <c r="D243" s="1" t="n">
        <v>45904</v>
      </c>
      <c r="E243" s="1" t="n">
        <v>46219</v>
      </c>
      <c r="F243" t="inlineStr">
        <is>
          <t>NORRBOTTENS LÄN</t>
        </is>
      </c>
      <c r="G243" t="inlineStr">
        <is>
          <t>PITEÅ</t>
        </is>
      </c>
      <c r="I243" t="n">
        <v>11.5</v>
      </c>
      <c r="J243" t="n">
        <v>0</v>
      </c>
      <c r="K243" t="n">
        <v>0</v>
      </c>
      <c r="L243" t="n">
        <v>0</v>
      </c>
      <c r="M243" t="n">
        <v>0</v>
      </c>
      <c r="N243" t="n">
        <v>0</v>
      </c>
      <c r="O243" t="n">
        <v>0</v>
      </c>
      <c r="P243" t="n">
        <v>0</v>
      </c>
      <c r="Q243" t="n">
        <v>0</v>
      </c>
      <c r="R243" t="n">
        <v>0</v>
      </c>
      <c r="S243" t="n">
        <v>0</v>
      </c>
      <c r="T243" t="n">
        <v>0</v>
      </c>
      <c r="U243" s="2" t="inlineStr"/>
    </row>
    <row r="244" ht="15" customHeight="1">
      <c r="A244" t="inlineStr">
        <is>
          <t>A 37720-2025</t>
        </is>
      </c>
      <c r="B244" t="inlineStr">
        <is>
          <t>avverkningsanmälan</t>
        </is>
      </c>
      <c r="C244" t="inlineStr">
        <is>
          <t>Föryngringsavverkning</t>
        </is>
      </c>
      <c r="D244" s="1" t="n">
        <v>45880</v>
      </c>
      <c r="E244" s="1" t="n">
        <v>46219</v>
      </c>
      <c r="F244" t="inlineStr">
        <is>
          <t>NORRBOTTENS LÄN</t>
        </is>
      </c>
      <c r="G244" t="inlineStr">
        <is>
          <t>PITEÅ</t>
        </is>
      </c>
      <c r="I244" t="n">
        <v>6.5</v>
      </c>
      <c r="J244" t="n">
        <v>0</v>
      </c>
      <c r="K244" t="n">
        <v>0</v>
      </c>
      <c r="L244" t="n">
        <v>0</v>
      </c>
      <c r="M244" t="n">
        <v>0</v>
      </c>
      <c r="N244" t="n">
        <v>0</v>
      </c>
      <c r="O244" t="n">
        <v>0</v>
      </c>
      <c r="P244" t="n">
        <v>0</v>
      </c>
      <c r="Q244" t="n">
        <v>0</v>
      </c>
      <c r="R244" t="n">
        <v>0</v>
      </c>
      <c r="S244" t="n">
        <v>0</v>
      </c>
      <c r="T244" t="n">
        <v>0</v>
      </c>
      <c r="U244" s="2" t="inlineStr"/>
    </row>
    <row r="245" ht="15" customHeight="1">
      <c r="A245" t="inlineStr">
        <is>
          <t>A 31552-2024</t>
        </is>
      </c>
      <c r="B245" t="inlineStr">
        <is>
          <t>avverkningsanmälan</t>
        </is>
      </c>
      <c r="C245" t="inlineStr">
        <is>
          <t>Föryngringsavverkning</t>
        </is>
      </c>
      <c r="D245" s="1" t="n">
        <v>45505</v>
      </c>
      <c r="E245" s="1" t="n">
        <v>46219</v>
      </c>
      <c r="F245" t="inlineStr">
        <is>
          <t>NORRBOTTENS LÄN</t>
        </is>
      </c>
      <c r="G245" t="inlineStr">
        <is>
          <t>PITEÅ</t>
        </is>
      </c>
      <c r="H245" t="inlineStr">
        <is>
          <t>SCA</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42293-2025</t>
        </is>
      </c>
      <c r="B246" t="inlineStr">
        <is>
          <t>avverkningsanmälan</t>
        </is>
      </c>
      <c r="C246" t="inlineStr">
        <is>
          <t>Föryngringsavverkning</t>
        </is>
      </c>
      <c r="D246" s="1" t="n">
        <v>45904</v>
      </c>
      <c r="E246" s="1" t="n">
        <v>46219</v>
      </c>
      <c r="F246" t="inlineStr">
        <is>
          <t>NORRBOTTENS LÄN</t>
        </is>
      </c>
      <c r="G246" t="inlineStr">
        <is>
          <t>PITEÅ</t>
        </is>
      </c>
      <c r="I246" t="n">
        <v>6.5</v>
      </c>
      <c r="J246" t="n">
        <v>0</v>
      </c>
      <c r="K246" t="n">
        <v>0</v>
      </c>
      <c r="L246" t="n">
        <v>0</v>
      </c>
      <c r="M246" t="n">
        <v>0</v>
      </c>
      <c r="N246" t="n">
        <v>0</v>
      </c>
      <c r="O246" t="n">
        <v>0</v>
      </c>
      <c r="P246" t="n">
        <v>0</v>
      </c>
      <c r="Q246" t="n">
        <v>0</v>
      </c>
      <c r="R246" t="n">
        <v>0</v>
      </c>
      <c r="S246" t="n">
        <v>0</v>
      </c>
      <c r="T246" t="n">
        <v>0</v>
      </c>
      <c r="U246" s="2" t="inlineStr"/>
    </row>
    <row r="247" ht="15" customHeight="1">
      <c r="A247" t="inlineStr">
        <is>
          <t>A 28713-2024</t>
        </is>
      </c>
      <c r="B247" t="inlineStr">
        <is>
          <t>avverkningsanmälan</t>
        </is>
      </c>
      <c r="C247" t="inlineStr">
        <is>
          <t>Föryngringsavverkning</t>
        </is>
      </c>
      <c r="D247" s="1" t="n">
        <v>45478</v>
      </c>
      <c r="E247" s="1" t="n">
        <v>46219</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2392-2023</t>
        </is>
      </c>
      <c r="B248" t="inlineStr">
        <is>
          <t>avverkningsanmälan</t>
        </is>
      </c>
      <c r="C248" t="inlineStr">
        <is>
          <t>Avverkning för annat ändamål</t>
        </is>
      </c>
      <c r="D248" s="1" t="n">
        <v>44942</v>
      </c>
      <c r="E248" s="1" t="n">
        <v>46219</v>
      </c>
      <c r="F248" t="inlineStr">
        <is>
          <t>NORRBOTTENS LÄN</t>
        </is>
      </c>
      <c r="G248" t="inlineStr">
        <is>
          <t>PITEÅ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42067-2025</t>
        </is>
      </c>
      <c r="B249" t="inlineStr">
        <is>
          <t>avverkningsanmälan</t>
        </is>
      </c>
      <c r="C249" t="inlineStr">
        <is>
          <t>Föryngringsavverkning</t>
        </is>
      </c>
      <c r="D249" s="1" t="n">
        <v>45903</v>
      </c>
      <c r="E249" s="1" t="n">
        <v>46219</v>
      </c>
      <c r="F249" t="inlineStr">
        <is>
          <t>NORRBOTTENS LÄN</t>
        </is>
      </c>
      <c r="G249" t="inlineStr">
        <is>
          <t>PITEÅ</t>
        </is>
      </c>
      <c r="I249" t="n">
        <v>3.4</v>
      </c>
      <c r="J249" t="n">
        <v>0</v>
      </c>
      <c r="K249" t="n">
        <v>0</v>
      </c>
      <c r="L249" t="n">
        <v>0</v>
      </c>
      <c r="M249" t="n">
        <v>0</v>
      </c>
      <c r="N249" t="n">
        <v>0</v>
      </c>
      <c r="O249" t="n">
        <v>0</v>
      </c>
      <c r="P249" t="n">
        <v>0</v>
      </c>
      <c r="Q249" t="n">
        <v>0</v>
      </c>
      <c r="R249" t="n">
        <v>0</v>
      </c>
      <c r="S249" t="n">
        <v>0</v>
      </c>
      <c r="T249" t="n">
        <v>0</v>
      </c>
      <c r="U249" s="2" t="inlineStr"/>
    </row>
    <row r="250" ht="15" customHeight="1">
      <c r="A250" t="inlineStr">
        <is>
          <t>A 44199-2023</t>
        </is>
      </c>
      <c r="B250" t="inlineStr">
        <is>
          <t>avverkningsanmälan</t>
        </is>
      </c>
      <c r="C250" t="inlineStr">
        <is>
          <t>Avverkning för annat ändamål</t>
        </is>
      </c>
      <c r="D250" s="1" t="n">
        <v>45188</v>
      </c>
      <c r="E250" s="1" t="n">
        <v>46219</v>
      </c>
      <c r="F250" t="inlineStr">
        <is>
          <t>NORRBOTTENS LÄN</t>
        </is>
      </c>
      <c r="G250" t="inlineStr">
        <is>
          <t>PITEÅ</t>
        </is>
      </c>
      <c r="H250" t="inlineStr">
        <is>
          <t>Sveaskog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37821-2024</t>
        </is>
      </c>
      <c r="B251" t="inlineStr">
        <is>
          <t>avverkningsanmälan</t>
        </is>
      </c>
      <c r="C251" t="inlineStr">
        <is>
          <t>Föryngringsavverkning</t>
        </is>
      </c>
      <c r="D251" s="1" t="n">
        <v>45544</v>
      </c>
      <c r="E251" s="1" t="n">
        <v>46219</v>
      </c>
      <c r="F251" t="inlineStr">
        <is>
          <t>NORRBOTTENS LÄN</t>
        </is>
      </c>
      <c r="G251" t="inlineStr">
        <is>
          <t>PITEÅ</t>
        </is>
      </c>
      <c r="I251" t="n">
        <v>4.5</v>
      </c>
      <c r="J251" t="n">
        <v>0</v>
      </c>
      <c r="K251" t="n">
        <v>0</v>
      </c>
      <c r="L251" t="n">
        <v>0</v>
      </c>
      <c r="M251" t="n">
        <v>0</v>
      </c>
      <c r="N251" t="n">
        <v>0</v>
      </c>
      <c r="O251" t="n">
        <v>0</v>
      </c>
      <c r="P251" t="n">
        <v>0</v>
      </c>
      <c r="Q251" t="n">
        <v>0</v>
      </c>
      <c r="R251" t="n">
        <v>0</v>
      </c>
      <c r="S251" t="n">
        <v>0</v>
      </c>
      <c r="T251" t="n">
        <v>0</v>
      </c>
      <c r="U251" s="2" t="inlineStr"/>
    </row>
    <row r="252" ht="15" customHeight="1">
      <c r="A252" t="inlineStr">
        <is>
          <t>A 42555-2025</t>
        </is>
      </c>
      <c r="B252" t="inlineStr">
        <is>
          <t>avverkningsanmälan</t>
        </is>
      </c>
      <c r="C252" t="inlineStr">
        <is>
          <t>Föryngringsavverkning</t>
        </is>
      </c>
      <c r="D252" s="1" t="n">
        <v>45905</v>
      </c>
      <c r="E252" s="1" t="n">
        <v>46219</v>
      </c>
      <c r="F252" t="inlineStr">
        <is>
          <t>NORRBOTTENS LÄN</t>
        </is>
      </c>
      <c r="G252" t="inlineStr">
        <is>
          <t>PITEÅ</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2888-2025</t>
        </is>
      </c>
      <c r="B253" t="inlineStr">
        <is>
          <t>avverkningsanmälan</t>
        </is>
      </c>
      <c r="C253" t="inlineStr">
        <is>
          <t>Föryngringsavverkning</t>
        </is>
      </c>
      <c r="D253" s="1" t="n">
        <v>45677</v>
      </c>
      <c r="E253" s="1" t="n">
        <v>46219</v>
      </c>
      <c r="F253" t="inlineStr">
        <is>
          <t>NORRBOTTENS LÄN</t>
        </is>
      </c>
      <c r="G253" t="inlineStr">
        <is>
          <t>PITEÅ</t>
        </is>
      </c>
      <c r="H253" t="inlineStr">
        <is>
          <t>SCA</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42450-2023</t>
        </is>
      </c>
      <c r="B254" t="inlineStr">
        <is>
          <t>avverkningsanmälan</t>
        </is>
      </c>
      <c r="C254" t="inlineStr">
        <is>
          <t>Föryngringsavverkning</t>
        </is>
      </c>
      <c r="D254" s="1" t="n">
        <v>45180</v>
      </c>
      <c r="E254" s="1" t="n">
        <v>46219</v>
      </c>
      <c r="F254" t="inlineStr">
        <is>
          <t>NORRBOTTENS LÄN</t>
        </is>
      </c>
      <c r="G254" t="inlineStr">
        <is>
          <t>PITEÅ</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29944-2024</t>
        </is>
      </c>
      <c r="B255" t="inlineStr">
        <is>
          <t>avverkningsanmälan</t>
        </is>
      </c>
      <c r="C255" t="inlineStr">
        <is>
          <t>Föryngringsavverkning</t>
        </is>
      </c>
      <c r="D255" s="1" t="n">
        <v>45488</v>
      </c>
      <c r="E255" s="1" t="n">
        <v>46219</v>
      </c>
      <c r="F255" t="inlineStr">
        <is>
          <t>NORRBOTTENS LÄN</t>
        </is>
      </c>
      <c r="G255" t="inlineStr">
        <is>
          <t>PITEÅ</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4329-2025</t>
        </is>
      </c>
      <c r="B256" t="inlineStr">
        <is>
          <t>avverkningsanmälan</t>
        </is>
      </c>
      <c r="C256" t="inlineStr">
        <is>
          <t>Föryngringsavverkning</t>
        </is>
      </c>
      <c r="D256" s="1" t="n">
        <v>45685</v>
      </c>
      <c r="E256" s="1" t="n">
        <v>46219</v>
      </c>
      <c r="F256" t="inlineStr">
        <is>
          <t>NORRBOTTENS LÄN</t>
        </is>
      </c>
      <c r="G256" t="inlineStr">
        <is>
          <t>PITEÅ</t>
        </is>
      </c>
      <c r="I256" t="n">
        <v>10.8</v>
      </c>
      <c r="J256" t="n">
        <v>0</v>
      </c>
      <c r="K256" t="n">
        <v>0</v>
      </c>
      <c r="L256" t="n">
        <v>0</v>
      </c>
      <c r="M256" t="n">
        <v>0</v>
      </c>
      <c r="N256" t="n">
        <v>0</v>
      </c>
      <c r="O256" t="n">
        <v>0</v>
      </c>
      <c r="P256" t="n">
        <v>0</v>
      </c>
      <c r="Q256" t="n">
        <v>0</v>
      </c>
      <c r="R256" t="n">
        <v>0</v>
      </c>
      <c r="S256" t="n">
        <v>0</v>
      </c>
      <c r="T256" t="n">
        <v>0</v>
      </c>
      <c r="U256" s="2" t="inlineStr"/>
    </row>
    <row r="257" ht="15" customHeight="1">
      <c r="A257" t="inlineStr">
        <is>
          <t>A 35660-2024</t>
        </is>
      </c>
      <c r="B257" t="inlineStr">
        <is>
          <t>avverkningsanmälan</t>
        </is>
      </c>
      <c r="C257" t="inlineStr">
        <is>
          <t>Föryngringsavverkning</t>
        </is>
      </c>
      <c r="D257" s="1" t="n">
        <v>45532</v>
      </c>
      <c r="E257" s="1" t="n">
        <v>46219</v>
      </c>
      <c r="F257" t="inlineStr">
        <is>
          <t>NORRBOTTENS LÄN</t>
        </is>
      </c>
      <c r="G257" t="inlineStr">
        <is>
          <t>PITEÅ</t>
        </is>
      </c>
      <c r="I257" t="n">
        <v>5.5</v>
      </c>
      <c r="J257" t="n">
        <v>0</v>
      </c>
      <c r="K257" t="n">
        <v>0</v>
      </c>
      <c r="L257" t="n">
        <v>0</v>
      </c>
      <c r="M257" t="n">
        <v>0</v>
      </c>
      <c r="N257" t="n">
        <v>0</v>
      </c>
      <c r="O257" t="n">
        <v>0</v>
      </c>
      <c r="P257" t="n">
        <v>0</v>
      </c>
      <c r="Q257" t="n">
        <v>0</v>
      </c>
      <c r="R257" t="n">
        <v>0</v>
      </c>
      <c r="S257" t="n">
        <v>0</v>
      </c>
      <c r="T257" t="n">
        <v>0</v>
      </c>
      <c r="U257" s="2" t="inlineStr"/>
    </row>
    <row r="258" ht="15" customHeight="1">
      <c r="A258" t="inlineStr">
        <is>
          <t>A 35670-2024</t>
        </is>
      </c>
      <c r="B258" t="inlineStr">
        <is>
          <t>avverkningsanmälan</t>
        </is>
      </c>
      <c r="C258" t="inlineStr">
        <is>
          <t>Föryngringsavverkning</t>
        </is>
      </c>
      <c r="D258" s="1" t="n">
        <v>45532</v>
      </c>
      <c r="E258" s="1" t="n">
        <v>46219</v>
      </c>
      <c r="F258" t="inlineStr">
        <is>
          <t>NORRBOTTENS LÄN</t>
        </is>
      </c>
      <c r="G258" t="inlineStr">
        <is>
          <t>PITEÅ</t>
        </is>
      </c>
      <c r="H258" t="inlineStr">
        <is>
          <t>SCA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43365-2025</t>
        </is>
      </c>
      <c r="B259" t="inlineStr">
        <is>
          <t>avverkningsanmälan</t>
        </is>
      </c>
      <c r="C259" t="inlineStr">
        <is>
          <t>Föryngringsavverkning</t>
        </is>
      </c>
      <c r="D259" s="1" t="n">
        <v>45911</v>
      </c>
      <c r="E259" s="1" t="n">
        <v>46219</v>
      </c>
      <c r="F259" t="inlineStr">
        <is>
          <t>NORRBOTTENS LÄN</t>
        </is>
      </c>
      <c r="G259" t="inlineStr">
        <is>
          <t>PITEÅ</t>
        </is>
      </c>
      <c r="I259" t="n">
        <v>11.2</v>
      </c>
      <c r="J259" t="n">
        <v>0</v>
      </c>
      <c r="K259" t="n">
        <v>0</v>
      </c>
      <c r="L259" t="n">
        <v>0</v>
      </c>
      <c r="M259" t="n">
        <v>0</v>
      </c>
      <c r="N259" t="n">
        <v>0</v>
      </c>
      <c r="O259" t="n">
        <v>0</v>
      </c>
      <c r="P259" t="n">
        <v>0</v>
      </c>
      <c r="Q259" t="n">
        <v>0</v>
      </c>
      <c r="R259" t="n">
        <v>0</v>
      </c>
      <c r="S259" t="n">
        <v>0</v>
      </c>
      <c r="T259" t="n">
        <v>0</v>
      </c>
      <c r="U259" s="2" t="inlineStr"/>
    </row>
    <row r="260" ht="15" customHeight="1">
      <c r="A260" t="inlineStr">
        <is>
          <t>A 28707-2024</t>
        </is>
      </c>
      <c r="B260" t="inlineStr">
        <is>
          <t>avverkningsanmälan</t>
        </is>
      </c>
      <c r="C260" t="inlineStr">
        <is>
          <t>Föryngringsavverkning</t>
        </is>
      </c>
      <c r="D260" s="1" t="n">
        <v>45478</v>
      </c>
      <c r="E260" s="1" t="n">
        <v>46219</v>
      </c>
      <c r="F260" t="inlineStr">
        <is>
          <t>NORRBOTTENS LÄN</t>
        </is>
      </c>
      <c r="G260" t="inlineStr">
        <is>
          <t>PITEÅ</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43659-2025</t>
        </is>
      </c>
      <c r="B261" t="inlineStr">
        <is>
          <t>avverkningsanmälan</t>
        </is>
      </c>
      <c r="C261" t="inlineStr">
        <is>
          <t>Avverkning för annat ändamål</t>
        </is>
      </c>
      <c r="D261" s="1" t="n">
        <v>45912</v>
      </c>
      <c r="E261" s="1" t="n">
        <v>46219</v>
      </c>
      <c r="F261" t="inlineStr">
        <is>
          <t>NORRBOTTENS LÄN</t>
        </is>
      </c>
      <c r="G261" t="inlineStr">
        <is>
          <t>PITEÅ</t>
        </is>
      </c>
      <c r="I261" t="n">
        <v>0.3</v>
      </c>
      <c r="J261" t="n">
        <v>0</v>
      </c>
      <c r="K261" t="n">
        <v>0</v>
      </c>
      <c r="L261" t="n">
        <v>0</v>
      </c>
      <c r="M261" t="n">
        <v>0</v>
      </c>
      <c r="N261" t="n">
        <v>0</v>
      </c>
      <c r="O261" t="n">
        <v>0</v>
      </c>
      <c r="P261" t="n">
        <v>0</v>
      </c>
      <c r="Q261" t="n">
        <v>0</v>
      </c>
      <c r="R261" t="n">
        <v>0</v>
      </c>
      <c r="S261" t="n">
        <v>0</v>
      </c>
      <c r="T261" t="n">
        <v>0</v>
      </c>
      <c r="U261" s="2" t="inlineStr"/>
    </row>
    <row r="262" ht="15" customHeight="1">
      <c r="A262" t="inlineStr">
        <is>
          <t>A 32251-2024</t>
        </is>
      </c>
      <c r="B262" t="inlineStr">
        <is>
          <t>avverkningsanmälan</t>
        </is>
      </c>
      <c r="C262" t="inlineStr">
        <is>
          <t>Föryngringsavverkning</t>
        </is>
      </c>
      <c r="D262" s="1" t="n">
        <v>45511</v>
      </c>
      <c r="E262" s="1" t="n">
        <v>46219</v>
      </c>
      <c r="F262" t="inlineStr">
        <is>
          <t>NORRBOTTENS LÄN</t>
        </is>
      </c>
      <c r="G262" t="inlineStr">
        <is>
          <t>PITEÅ</t>
        </is>
      </c>
      <c r="H262" t="inlineStr">
        <is>
          <t>SCA</t>
        </is>
      </c>
      <c r="I262" t="n">
        <v>5.1</v>
      </c>
      <c r="J262" t="n">
        <v>0</v>
      </c>
      <c r="K262" t="n">
        <v>0</v>
      </c>
      <c r="L262" t="n">
        <v>0</v>
      </c>
      <c r="M262" t="n">
        <v>0</v>
      </c>
      <c r="N262" t="n">
        <v>0</v>
      </c>
      <c r="O262" t="n">
        <v>0</v>
      </c>
      <c r="P262" t="n">
        <v>0</v>
      </c>
      <c r="Q262" t="n">
        <v>0</v>
      </c>
      <c r="R262" t="n">
        <v>0</v>
      </c>
      <c r="S262" t="n">
        <v>0</v>
      </c>
      <c r="T262" t="n">
        <v>0</v>
      </c>
      <c r="U262" s="2" t="inlineStr"/>
    </row>
    <row r="263" ht="15" customHeight="1">
      <c r="A263" t="inlineStr">
        <is>
          <t>A 43877-2025</t>
        </is>
      </c>
      <c r="B263" t="inlineStr">
        <is>
          <t>avverkningsanmälan</t>
        </is>
      </c>
      <c r="C263" t="inlineStr">
        <is>
          <t>Föryngringsavverkning</t>
        </is>
      </c>
      <c r="D263" s="1" t="n">
        <v>45912</v>
      </c>
      <c r="E263" s="1" t="n">
        <v>46219</v>
      </c>
      <c r="F263" t="inlineStr">
        <is>
          <t>NORRBOTTENS LÄN</t>
        </is>
      </c>
      <c r="G263" t="inlineStr">
        <is>
          <t>PITEÅ</t>
        </is>
      </c>
      <c r="H263" t="inlineStr">
        <is>
          <t>SCA</t>
        </is>
      </c>
      <c r="I263" t="n">
        <v>5.4</v>
      </c>
      <c r="J263" t="n">
        <v>0</v>
      </c>
      <c r="K263" t="n">
        <v>0</v>
      </c>
      <c r="L263" t="n">
        <v>0</v>
      </c>
      <c r="M263" t="n">
        <v>0</v>
      </c>
      <c r="N263" t="n">
        <v>0</v>
      </c>
      <c r="O263" t="n">
        <v>0</v>
      </c>
      <c r="P263" t="n">
        <v>0</v>
      </c>
      <c r="Q263" t="n">
        <v>0</v>
      </c>
      <c r="R263" t="n">
        <v>0</v>
      </c>
      <c r="S263" t="n">
        <v>0</v>
      </c>
      <c r="T263" t="n">
        <v>0</v>
      </c>
      <c r="U263" s="2" t="inlineStr"/>
    </row>
    <row r="264" ht="15" customHeight="1">
      <c r="A264" t="inlineStr">
        <is>
          <t>A 43627-2025</t>
        </is>
      </c>
      <c r="B264" t="inlineStr">
        <is>
          <t>avverkningsanmälan</t>
        </is>
      </c>
      <c r="C264" t="inlineStr">
        <is>
          <t>Föryngringsavverkning</t>
        </is>
      </c>
      <c r="D264" s="1" t="n">
        <v>45911</v>
      </c>
      <c r="E264" s="1" t="n">
        <v>46219</v>
      </c>
      <c r="F264" t="inlineStr">
        <is>
          <t>NORRBOTTENS LÄN</t>
        </is>
      </c>
      <c r="G264" t="inlineStr">
        <is>
          <t>PITEÅ</t>
        </is>
      </c>
      <c r="H264" t="inlineStr">
        <is>
          <t>SCA</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43995-2025</t>
        </is>
      </c>
      <c r="B265" t="inlineStr">
        <is>
          <t>avverkningsanmälan</t>
        </is>
      </c>
      <c r="C265" t="inlineStr">
        <is>
          <t>Föryngringsavverkning</t>
        </is>
      </c>
      <c r="D265" s="1" t="n">
        <v>45915</v>
      </c>
      <c r="E265" s="1" t="n">
        <v>46219</v>
      </c>
      <c r="F265" t="inlineStr">
        <is>
          <t>NORRBOTTENS LÄN</t>
        </is>
      </c>
      <c r="G265" t="inlineStr">
        <is>
          <t>PITEÅ</t>
        </is>
      </c>
      <c r="I265" t="n">
        <v>5</v>
      </c>
      <c r="J265" t="n">
        <v>0</v>
      </c>
      <c r="K265" t="n">
        <v>0</v>
      </c>
      <c r="L265" t="n">
        <v>0</v>
      </c>
      <c r="M265" t="n">
        <v>0</v>
      </c>
      <c r="N265" t="n">
        <v>0</v>
      </c>
      <c r="O265" t="n">
        <v>0</v>
      </c>
      <c r="P265" t="n">
        <v>0</v>
      </c>
      <c r="Q265" t="n">
        <v>0</v>
      </c>
      <c r="R265" t="n">
        <v>0</v>
      </c>
      <c r="S265" t="n">
        <v>0</v>
      </c>
      <c r="T265" t="n">
        <v>0</v>
      </c>
      <c r="U265" s="2" t="inlineStr"/>
    </row>
    <row r="266" ht="15" customHeight="1">
      <c r="A266" t="inlineStr">
        <is>
          <t>A 43910-2025</t>
        </is>
      </c>
      <c r="B266" t="inlineStr">
        <is>
          <t>avverkningsanmälan</t>
        </is>
      </c>
      <c r="C266" t="inlineStr">
        <is>
          <t>Föryngringsavverkning</t>
        </is>
      </c>
      <c r="D266" s="1" t="n">
        <v>45914</v>
      </c>
      <c r="E266" s="1" t="n">
        <v>46219</v>
      </c>
      <c r="F266" t="inlineStr">
        <is>
          <t>NORRBOTTENS LÄN</t>
        </is>
      </c>
      <c r="G266" t="inlineStr">
        <is>
          <t>PITEÅ</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44059-2025</t>
        </is>
      </c>
      <c r="B267" t="inlineStr">
        <is>
          <t>avverkningsanmälan</t>
        </is>
      </c>
      <c r="C267" t="inlineStr">
        <is>
          <t>Föryngringsavverkning</t>
        </is>
      </c>
      <c r="D267" s="1" t="n">
        <v>45915</v>
      </c>
      <c r="E267" s="1" t="n">
        <v>46219</v>
      </c>
      <c r="F267" t="inlineStr">
        <is>
          <t>NORRBOTTENS LÄN</t>
        </is>
      </c>
      <c r="G267" t="inlineStr">
        <is>
          <t>PITEÅ</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44078-2025</t>
        </is>
      </c>
      <c r="B268" t="inlineStr">
        <is>
          <t>avverkningsanmälan</t>
        </is>
      </c>
      <c r="C268" t="inlineStr">
        <is>
          <t>Avverkning för annat ändamål</t>
        </is>
      </c>
      <c r="D268" s="1" t="n">
        <v>45915</v>
      </c>
      <c r="E268" s="1" t="n">
        <v>46219</v>
      </c>
      <c r="F268" t="inlineStr">
        <is>
          <t>NORRBOTTENS LÄN</t>
        </is>
      </c>
      <c r="G268" t="inlineStr">
        <is>
          <t>PITEÅ</t>
        </is>
      </c>
      <c r="H268" t="inlineStr">
        <is>
          <t>Sveaskog</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44359-2025</t>
        </is>
      </c>
      <c r="B269" t="inlineStr">
        <is>
          <t>avverkningsanmälan</t>
        </is>
      </c>
      <c r="C269" t="inlineStr">
        <is>
          <t>Föryngringsavverkning</t>
        </is>
      </c>
      <c r="D269" s="1" t="n">
        <v>45916</v>
      </c>
      <c r="E269" s="1" t="n">
        <v>46219</v>
      </c>
      <c r="F269" t="inlineStr">
        <is>
          <t>NORRBOTTENS LÄN</t>
        </is>
      </c>
      <c r="G269" t="inlineStr">
        <is>
          <t>PITEÅ</t>
        </is>
      </c>
      <c r="I269" t="n">
        <v>3.7</v>
      </c>
      <c r="J269" t="n">
        <v>0</v>
      </c>
      <c r="K269" t="n">
        <v>0</v>
      </c>
      <c r="L269" t="n">
        <v>0</v>
      </c>
      <c r="M269" t="n">
        <v>0</v>
      </c>
      <c r="N269" t="n">
        <v>0</v>
      </c>
      <c r="O269" t="n">
        <v>0</v>
      </c>
      <c r="P269" t="n">
        <v>0</v>
      </c>
      <c r="Q269" t="n">
        <v>0</v>
      </c>
      <c r="R269" t="n">
        <v>0</v>
      </c>
      <c r="S269" t="n">
        <v>0</v>
      </c>
      <c r="T269" t="n">
        <v>0</v>
      </c>
      <c r="U269" s="2" t="inlineStr"/>
    </row>
    <row r="270" ht="15" customHeight="1">
      <c r="A270" t="inlineStr">
        <is>
          <t>A 71487-2021</t>
        </is>
      </c>
      <c r="B270" t="inlineStr">
        <is>
          <t>avverkningsanmälan</t>
        </is>
      </c>
      <c r="C270" t="inlineStr">
        <is>
          <t>Föryngringsavverkning</t>
        </is>
      </c>
      <c r="D270" s="1" t="n">
        <v>44539</v>
      </c>
      <c r="E270" s="1" t="n">
        <v>46219</v>
      </c>
      <c r="F270" t="inlineStr">
        <is>
          <t>NORRBOTTENS LÄN</t>
        </is>
      </c>
      <c r="G270" t="inlineStr">
        <is>
          <t>PITEÅ</t>
        </is>
      </c>
      <c r="H270" t="inlineStr">
        <is>
          <t>Kommuner</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41182-2024</t>
        </is>
      </c>
      <c r="B271" t="inlineStr">
        <is>
          <t>avverkningsanmälan</t>
        </is>
      </c>
      <c r="C271" t="inlineStr">
        <is>
          <t>Föryngringsavverkning</t>
        </is>
      </c>
      <c r="D271" s="1" t="n">
        <v>45559</v>
      </c>
      <c r="E271" s="1" t="n">
        <v>46219</v>
      </c>
      <c r="F271" t="inlineStr">
        <is>
          <t>NORRBOTTENS LÄN</t>
        </is>
      </c>
      <c r="G271" t="inlineStr">
        <is>
          <t>PITEÅ</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41188-2024</t>
        </is>
      </c>
      <c r="B272" t="inlineStr">
        <is>
          <t>avverkningsanmälan</t>
        </is>
      </c>
      <c r="C272" t="inlineStr">
        <is>
          <t>Föryngringsavverkning</t>
        </is>
      </c>
      <c r="D272" s="1" t="n">
        <v>45559</v>
      </c>
      <c r="E272" s="1" t="n">
        <v>46219</v>
      </c>
      <c r="F272" t="inlineStr">
        <is>
          <t>NORRBOTTENS LÄN</t>
        </is>
      </c>
      <c r="G272" t="inlineStr">
        <is>
          <t>PITEÅ</t>
        </is>
      </c>
      <c r="I272" t="n">
        <v>1.5</v>
      </c>
      <c r="J272" t="n">
        <v>0</v>
      </c>
      <c r="K272" t="n">
        <v>0</v>
      </c>
      <c r="L272" t="n">
        <v>0</v>
      </c>
      <c r="M272" t="n">
        <v>0</v>
      </c>
      <c r="N272" t="n">
        <v>0</v>
      </c>
      <c r="O272" t="n">
        <v>0</v>
      </c>
      <c r="P272" t="n">
        <v>0</v>
      </c>
      <c r="Q272" t="n">
        <v>0</v>
      </c>
      <c r="R272" t="n">
        <v>0</v>
      </c>
      <c r="S272" t="n">
        <v>0</v>
      </c>
      <c r="T272" t="n">
        <v>0</v>
      </c>
      <c r="U272" s="2" t="inlineStr"/>
    </row>
    <row r="273" ht="15" customHeight="1">
      <c r="A273" t="inlineStr">
        <is>
          <t>A 52908-2024</t>
        </is>
      </c>
      <c r="B273" t="inlineStr">
        <is>
          <t>avverkningsanmälan</t>
        </is>
      </c>
      <c r="C273" t="inlineStr">
        <is>
          <t>Avverkning för annat ändamål</t>
        </is>
      </c>
      <c r="D273" s="1" t="n">
        <v>45610</v>
      </c>
      <c r="E273" s="1" t="n">
        <v>46219</v>
      </c>
      <c r="F273" t="inlineStr">
        <is>
          <t>NORRBOTTENS LÄN</t>
        </is>
      </c>
      <c r="G273" t="inlineStr">
        <is>
          <t>PITEÅ</t>
        </is>
      </c>
      <c r="H273" t="inlineStr">
        <is>
          <t>SCA</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58698-2024</t>
        </is>
      </c>
      <c r="B274" t="inlineStr">
        <is>
          <t>avverkningsanmälan</t>
        </is>
      </c>
      <c r="C274" t="inlineStr">
        <is>
          <t>Föryngringsavverkning</t>
        </is>
      </c>
      <c r="D274" s="1" t="n">
        <v>45635</v>
      </c>
      <c r="E274" s="1" t="n">
        <v>46219</v>
      </c>
      <c r="F274" t="inlineStr">
        <is>
          <t>NORRBOTTENS LÄN</t>
        </is>
      </c>
      <c r="G274" t="inlineStr">
        <is>
          <t>PITEÅ</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45583-2025</t>
        </is>
      </c>
      <c r="B275" t="inlineStr">
        <is>
          <t>avverkningsanmälan</t>
        </is>
      </c>
      <c r="C275" t="inlineStr">
        <is>
          <t>Föryngringsavverkning</t>
        </is>
      </c>
      <c r="D275" s="1" t="n">
        <v>45922</v>
      </c>
      <c r="E275" s="1" t="n">
        <v>46219</v>
      </c>
      <c r="F275" t="inlineStr">
        <is>
          <t>NORRBOTTENS LÄN</t>
        </is>
      </c>
      <c r="G275" t="inlineStr">
        <is>
          <t>PITEÅ</t>
        </is>
      </c>
      <c r="H275" t="inlineStr">
        <is>
          <t>Sveaskog</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45953-2025</t>
        </is>
      </c>
      <c r="B276" t="inlineStr">
        <is>
          <t>avverkningsanmälan</t>
        </is>
      </c>
      <c r="C276" t="inlineStr">
        <is>
          <t>Föryngringsavverkning</t>
        </is>
      </c>
      <c r="D276" s="1" t="n">
        <v>45924</v>
      </c>
      <c r="E276" s="1" t="n">
        <v>46219</v>
      </c>
      <c r="F276" t="inlineStr">
        <is>
          <t>NORRBOTTENS LÄN</t>
        </is>
      </c>
      <c r="G276" t="inlineStr">
        <is>
          <t>PITEÅ</t>
        </is>
      </c>
      <c r="H276" t="inlineStr">
        <is>
          <t>SCA</t>
        </is>
      </c>
      <c r="I276" t="n">
        <v>6.4</v>
      </c>
      <c r="J276" t="n">
        <v>0</v>
      </c>
      <c r="K276" t="n">
        <v>0</v>
      </c>
      <c r="L276" t="n">
        <v>0</v>
      </c>
      <c r="M276" t="n">
        <v>0</v>
      </c>
      <c r="N276" t="n">
        <v>0</v>
      </c>
      <c r="O276" t="n">
        <v>0</v>
      </c>
      <c r="P276" t="n">
        <v>0</v>
      </c>
      <c r="Q276" t="n">
        <v>0</v>
      </c>
      <c r="R276" t="n">
        <v>0</v>
      </c>
      <c r="S276" t="n">
        <v>0</v>
      </c>
      <c r="T276" t="n">
        <v>0</v>
      </c>
      <c r="U276" s="2" t="inlineStr"/>
    </row>
    <row r="277" ht="15" customHeight="1">
      <c r="A277" t="inlineStr">
        <is>
          <t>A 57180-2022</t>
        </is>
      </c>
      <c r="B277" t="inlineStr">
        <is>
          <t>avverkningsanmälan</t>
        </is>
      </c>
      <c r="C277" t="inlineStr">
        <is>
          <t>Föryngringsavverkning</t>
        </is>
      </c>
      <c r="D277" s="1" t="n">
        <v>44895</v>
      </c>
      <c r="E277" s="1" t="n">
        <v>46219</v>
      </c>
      <c r="F277" t="inlineStr">
        <is>
          <t>NORRBOTTENS LÄN</t>
        </is>
      </c>
      <c r="G277" t="inlineStr">
        <is>
          <t>PITEÅ</t>
        </is>
      </c>
      <c r="H277" t="inlineStr">
        <is>
          <t>Sveaskog</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1501-2025</t>
        </is>
      </c>
      <c r="B278" t="inlineStr">
        <is>
          <t>avverkningsanmälan</t>
        </is>
      </c>
      <c r="C278" t="inlineStr">
        <is>
          <t>Avverkning för annat ändamål</t>
        </is>
      </c>
      <c r="D278" s="1" t="n">
        <v>45670</v>
      </c>
      <c r="E278" s="1" t="n">
        <v>46219</v>
      </c>
      <c r="F278" t="inlineStr">
        <is>
          <t>NORRBOTTENS LÄN</t>
        </is>
      </c>
      <c r="G278" t="inlineStr">
        <is>
          <t>PITEÅ</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45958-2025</t>
        </is>
      </c>
      <c r="B279" t="inlineStr">
        <is>
          <t>avverkningsanmälan</t>
        </is>
      </c>
      <c r="C279" t="inlineStr">
        <is>
          <t>Föryngringsavverkning</t>
        </is>
      </c>
      <c r="D279" s="1" t="n">
        <v>45924</v>
      </c>
      <c r="E279" s="1" t="n">
        <v>46219</v>
      </c>
      <c r="F279" t="inlineStr">
        <is>
          <t>NORRBOTTENS LÄN</t>
        </is>
      </c>
      <c r="G279" t="inlineStr">
        <is>
          <t>PITEÅ</t>
        </is>
      </c>
      <c r="H279" t="inlineStr">
        <is>
          <t>SCA</t>
        </is>
      </c>
      <c r="I279" t="n">
        <v>2.6</v>
      </c>
      <c r="J279" t="n">
        <v>0</v>
      </c>
      <c r="K279" t="n">
        <v>0</v>
      </c>
      <c r="L279" t="n">
        <v>0</v>
      </c>
      <c r="M279" t="n">
        <v>0</v>
      </c>
      <c r="N279" t="n">
        <v>0</v>
      </c>
      <c r="O279" t="n">
        <v>0</v>
      </c>
      <c r="P279" t="n">
        <v>0</v>
      </c>
      <c r="Q279" t="n">
        <v>0</v>
      </c>
      <c r="R279" t="n">
        <v>0</v>
      </c>
      <c r="S279" t="n">
        <v>0</v>
      </c>
      <c r="T279" t="n">
        <v>0</v>
      </c>
      <c r="U279" s="2" t="inlineStr"/>
    </row>
    <row r="280" ht="15" customHeight="1">
      <c r="A280" t="inlineStr">
        <is>
          <t>A 4776-2022</t>
        </is>
      </c>
      <c r="B280" t="inlineStr">
        <is>
          <t>avverkningsanmälan</t>
        </is>
      </c>
      <c r="C280" t="inlineStr">
        <is>
          <t>Föryngringsavverkning</t>
        </is>
      </c>
      <c r="D280" s="1" t="n">
        <v>44592</v>
      </c>
      <c r="E280" s="1" t="n">
        <v>46219</v>
      </c>
      <c r="F280" t="inlineStr">
        <is>
          <t>NORRBOTTENS LÄN</t>
        </is>
      </c>
      <c r="G280" t="inlineStr">
        <is>
          <t>PITEÅ</t>
        </is>
      </c>
      <c r="I280" t="n">
        <v>9.5</v>
      </c>
      <c r="J280" t="n">
        <v>0</v>
      </c>
      <c r="K280" t="n">
        <v>0</v>
      </c>
      <c r="L280" t="n">
        <v>0</v>
      </c>
      <c r="M280" t="n">
        <v>0</v>
      </c>
      <c r="N280" t="n">
        <v>0</v>
      </c>
      <c r="O280" t="n">
        <v>0</v>
      </c>
      <c r="P280" t="n">
        <v>0</v>
      </c>
      <c r="Q280" t="n">
        <v>0</v>
      </c>
      <c r="R280" t="n">
        <v>0</v>
      </c>
      <c r="S280" t="n">
        <v>0</v>
      </c>
      <c r="T280" t="n">
        <v>0</v>
      </c>
      <c r="U280" s="2" t="inlineStr"/>
    </row>
    <row r="281" ht="15" customHeight="1">
      <c r="A281" t="inlineStr">
        <is>
          <t>A 46151-2025</t>
        </is>
      </c>
      <c r="B281" t="inlineStr">
        <is>
          <t>avverkningsanmälan</t>
        </is>
      </c>
      <c r="C281" t="inlineStr">
        <is>
          <t>Föryngringsavverkning</t>
        </is>
      </c>
      <c r="D281" s="1" t="n">
        <v>45924</v>
      </c>
      <c r="E281" s="1" t="n">
        <v>46219</v>
      </c>
      <c r="F281" t="inlineStr">
        <is>
          <t>NORRBOTTENS LÄN</t>
        </is>
      </c>
      <c r="G281" t="inlineStr">
        <is>
          <t>PITEÅ</t>
        </is>
      </c>
      <c r="H281" t="inlineStr">
        <is>
          <t>SCA</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34724-2024</t>
        </is>
      </c>
      <c r="B282" t="inlineStr">
        <is>
          <t>avverkningsanmälan</t>
        </is>
      </c>
      <c r="C282" t="inlineStr">
        <is>
          <t>Föryngringsavverkning</t>
        </is>
      </c>
      <c r="D282" s="1" t="n">
        <v>45526</v>
      </c>
      <c r="E282" s="1" t="n">
        <v>46219</v>
      </c>
      <c r="F282" t="inlineStr">
        <is>
          <t>NORRBOTTENS LÄN</t>
        </is>
      </c>
      <c r="G282" t="inlineStr">
        <is>
          <t>PITEÅ</t>
        </is>
      </c>
      <c r="H282" t="inlineStr">
        <is>
          <t>SCA</t>
        </is>
      </c>
      <c r="I282" t="n">
        <v>7.7</v>
      </c>
      <c r="J282" t="n">
        <v>0</v>
      </c>
      <c r="K282" t="n">
        <v>0</v>
      </c>
      <c r="L282" t="n">
        <v>0</v>
      </c>
      <c r="M282" t="n">
        <v>0</v>
      </c>
      <c r="N282" t="n">
        <v>0</v>
      </c>
      <c r="O282" t="n">
        <v>0</v>
      </c>
      <c r="P282" t="n">
        <v>0</v>
      </c>
      <c r="Q282" t="n">
        <v>0</v>
      </c>
      <c r="R282" t="n">
        <v>0</v>
      </c>
      <c r="S282" t="n">
        <v>0</v>
      </c>
      <c r="T282" t="n">
        <v>0</v>
      </c>
      <c r="U282" s="2" t="inlineStr"/>
    </row>
    <row r="283" ht="15" customHeight="1">
      <c r="A283" t="inlineStr">
        <is>
          <t>A 46542-2025</t>
        </is>
      </c>
      <c r="B283" t="inlineStr">
        <is>
          <t>avverkningsanmälan</t>
        </is>
      </c>
      <c r="C283" t="inlineStr">
        <is>
          <t>Föryngringsavverkning</t>
        </is>
      </c>
      <c r="D283" s="1" t="n">
        <v>45926</v>
      </c>
      <c r="E283" s="1" t="n">
        <v>46219</v>
      </c>
      <c r="F283" t="inlineStr">
        <is>
          <t>NORRBOTTENS LÄN</t>
        </is>
      </c>
      <c r="G283" t="inlineStr">
        <is>
          <t>PITEÅ</t>
        </is>
      </c>
      <c r="H283" t="inlineStr">
        <is>
          <t>SCA</t>
        </is>
      </c>
      <c r="I283" t="n">
        <v>9.199999999999999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46601-2025</t>
        </is>
      </c>
      <c r="B284" t="inlineStr">
        <is>
          <t>avverkningsanmälan</t>
        </is>
      </c>
      <c r="C284" t="inlineStr">
        <is>
          <t>Föryngringsavverkning</t>
        </is>
      </c>
      <c r="D284" s="1" t="n">
        <v>45926</v>
      </c>
      <c r="E284" s="1" t="n">
        <v>46219</v>
      </c>
      <c r="F284" t="inlineStr">
        <is>
          <t>NORRBOTTENS LÄN</t>
        </is>
      </c>
      <c r="G284" t="inlineStr">
        <is>
          <t>PITEÅ</t>
        </is>
      </c>
      <c r="I284" t="n">
        <v>8.699999999999999</v>
      </c>
      <c r="J284" t="n">
        <v>0</v>
      </c>
      <c r="K284" t="n">
        <v>0</v>
      </c>
      <c r="L284" t="n">
        <v>0</v>
      </c>
      <c r="M284" t="n">
        <v>0</v>
      </c>
      <c r="N284" t="n">
        <v>0</v>
      </c>
      <c r="O284" t="n">
        <v>0</v>
      </c>
      <c r="P284" t="n">
        <v>0</v>
      </c>
      <c r="Q284" t="n">
        <v>0</v>
      </c>
      <c r="R284" t="n">
        <v>0</v>
      </c>
      <c r="S284" t="n">
        <v>0</v>
      </c>
      <c r="T284" t="n">
        <v>0</v>
      </c>
      <c r="U284" s="2" t="inlineStr"/>
    </row>
    <row r="285" ht="15" customHeight="1">
      <c r="A285" t="inlineStr">
        <is>
          <t>A 46254-2025</t>
        </is>
      </c>
      <c r="B285" t="inlineStr">
        <is>
          <t>avverkningsanmälan</t>
        </is>
      </c>
      <c r="C285" t="inlineStr">
        <is>
          <t>Föryngringsavverkning</t>
        </is>
      </c>
      <c r="D285" s="1" t="n">
        <v>45925</v>
      </c>
      <c r="E285" s="1" t="n">
        <v>46219</v>
      </c>
      <c r="F285" t="inlineStr">
        <is>
          <t>NORRBOTTENS LÄN</t>
        </is>
      </c>
      <c r="G285" t="inlineStr">
        <is>
          <t>PITEÅ</t>
        </is>
      </c>
      <c r="H285" t="inlineStr">
        <is>
          <t>SCA</t>
        </is>
      </c>
      <c r="I285" t="n">
        <v>6.7</v>
      </c>
      <c r="J285" t="n">
        <v>0</v>
      </c>
      <c r="K285" t="n">
        <v>0</v>
      </c>
      <c r="L285" t="n">
        <v>0</v>
      </c>
      <c r="M285" t="n">
        <v>0</v>
      </c>
      <c r="N285" t="n">
        <v>0</v>
      </c>
      <c r="O285" t="n">
        <v>0</v>
      </c>
      <c r="P285" t="n">
        <v>0</v>
      </c>
      <c r="Q285" t="n">
        <v>0</v>
      </c>
      <c r="R285" t="n">
        <v>0</v>
      </c>
      <c r="S285" t="n">
        <v>0</v>
      </c>
      <c r="T285" t="n">
        <v>0</v>
      </c>
      <c r="U285" s="2" t="inlineStr"/>
    </row>
    <row r="286" ht="15" customHeight="1">
      <c r="A286" t="inlineStr">
        <is>
          <t>A 46453-2025</t>
        </is>
      </c>
      <c r="B286" t="inlineStr">
        <is>
          <t>avverkningsanmälan</t>
        </is>
      </c>
      <c r="C286" t="inlineStr">
        <is>
          <t>Föryngringsavverkning</t>
        </is>
      </c>
      <c r="D286" s="1" t="n">
        <v>45925</v>
      </c>
      <c r="E286" s="1" t="n">
        <v>46219</v>
      </c>
      <c r="F286" t="inlineStr">
        <is>
          <t>NORRBOTTENS LÄN</t>
        </is>
      </c>
      <c r="G286" t="inlineStr">
        <is>
          <t>PITEÅ</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55928-2023</t>
        </is>
      </c>
      <c r="B287" t="inlineStr">
        <is>
          <t>avverkningsanmälan</t>
        </is>
      </c>
      <c r="C287" t="inlineStr">
        <is>
          <t>Avverkning för annat ändamål</t>
        </is>
      </c>
      <c r="D287" s="1" t="n">
        <v>45239</v>
      </c>
      <c r="E287" s="1" t="n">
        <v>46219</v>
      </c>
      <c r="F287" t="inlineStr">
        <is>
          <t>NORRBOTTENS LÄN</t>
        </is>
      </c>
      <c r="G287" t="inlineStr">
        <is>
          <t>PITEÅ</t>
        </is>
      </c>
      <c r="H287" t="inlineStr">
        <is>
          <t>SCA</t>
        </is>
      </c>
      <c r="I287" t="n">
        <v>8.800000000000001</v>
      </c>
      <c r="J287" t="n">
        <v>0</v>
      </c>
      <c r="K287" t="n">
        <v>0</v>
      </c>
      <c r="L287" t="n">
        <v>0</v>
      </c>
      <c r="M287" t="n">
        <v>0</v>
      </c>
      <c r="N287" t="n">
        <v>0</v>
      </c>
      <c r="O287" t="n">
        <v>0</v>
      </c>
      <c r="P287" t="n">
        <v>0</v>
      </c>
      <c r="Q287" t="n">
        <v>0</v>
      </c>
      <c r="R287" t="n">
        <v>0</v>
      </c>
      <c r="S287" t="n">
        <v>0</v>
      </c>
      <c r="T287" t="n">
        <v>0</v>
      </c>
      <c r="U287" s="2" t="inlineStr"/>
    </row>
    <row r="288" ht="15" customHeight="1">
      <c r="A288" t="inlineStr">
        <is>
          <t>A 46569-2025</t>
        </is>
      </c>
      <c r="B288" t="inlineStr">
        <is>
          <t>avverkningsanmälan</t>
        </is>
      </c>
      <c r="C288" t="inlineStr">
        <is>
          <t>Föryngringsavverkning</t>
        </is>
      </c>
      <c r="D288" s="1" t="n">
        <v>45926</v>
      </c>
      <c r="E288" s="1" t="n">
        <v>46219</v>
      </c>
      <c r="F288" t="inlineStr">
        <is>
          <t>NORRBOTTENS LÄN</t>
        </is>
      </c>
      <c r="G288" t="inlineStr">
        <is>
          <t>PITEÅ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38091-2024</t>
        </is>
      </c>
      <c r="B289" t="inlineStr">
        <is>
          <t>avverkningsanmälan</t>
        </is>
      </c>
      <c r="C289" t="inlineStr">
        <is>
          <t>Föryngringsavverkning</t>
        </is>
      </c>
      <c r="D289" s="1" t="n">
        <v>45545</v>
      </c>
      <c r="E289" s="1" t="n">
        <v>46219</v>
      </c>
      <c r="F289" t="inlineStr">
        <is>
          <t>NORRBOTTENS LÄN</t>
        </is>
      </c>
      <c r="G289" t="inlineStr">
        <is>
          <t>PITEÅ</t>
        </is>
      </c>
      <c r="H289" t="inlineStr">
        <is>
          <t>SCA</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51489-2023</t>
        </is>
      </c>
      <c r="B290" t="inlineStr">
        <is>
          <t>avverkningsanmälan</t>
        </is>
      </c>
      <c r="C290" t="inlineStr">
        <is>
          <t>Avverkning för att bevara och utveckla /försöksver</t>
        </is>
      </c>
      <c r="D290" s="1" t="n">
        <v>45222</v>
      </c>
      <c r="E290" s="1" t="n">
        <v>46219</v>
      </c>
      <c r="F290" t="inlineStr">
        <is>
          <t>NORRBOTTENS LÄN</t>
        </is>
      </c>
      <c r="G290" t="inlineStr">
        <is>
          <t>PITEÅ</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47078-2025</t>
        </is>
      </c>
      <c r="B291" t="inlineStr">
        <is>
          <t>avverkningsanmälan</t>
        </is>
      </c>
      <c r="C291" t="inlineStr">
        <is>
          <t>Föryngringsavverkning</t>
        </is>
      </c>
      <c r="D291" s="1" t="n">
        <v>45929</v>
      </c>
      <c r="E291" s="1" t="n">
        <v>46219</v>
      </c>
      <c r="F291" t="inlineStr">
        <is>
          <t>NORRBOTTENS LÄN</t>
        </is>
      </c>
      <c r="G291" t="inlineStr">
        <is>
          <t>PITEÅ</t>
        </is>
      </c>
      <c r="H291" t="inlineStr">
        <is>
          <t>Sveaskog</t>
        </is>
      </c>
      <c r="I291" t="n">
        <v>3.5</v>
      </c>
      <c r="J291" t="n">
        <v>0</v>
      </c>
      <c r="K291" t="n">
        <v>0</v>
      </c>
      <c r="L291" t="n">
        <v>0</v>
      </c>
      <c r="M291" t="n">
        <v>0</v>
      </c>
      <c r="N291" t="n">
        <v>0</v>
      </c>
      <c r="O291" t="n">
        <v>0</v>
      </c>
      <c r="P291" t="n">
        <v>0</v>
      </c>
      <c r="Q291" t="n">
        <v>0</v>
      </c>
      <c r="R291" t="n">
        <v>0</v>
      </c>
      <c r="S291" t="n">
        <v>0</v>
      </c>
      <c r="T291" t="n">
        <v>0</v>
      </c>
      <c r="U291" s="2" t="inlineStr"/>
    </row>
    <row r="292" ht="15" customHeight="1">
      <c r="A292" t="inlineStr">
        <is>
          <t>A 47124-2025</t>
        </is>
      </c>
      <c r="B292" t="inlineStr">
        <is>
          <t>avverkningsanmälan</t>
        </is>
      </c>
      <c r="C292" t="inlineStr">
        <is>
          <t>Föryngringsavverkning</t>
        </is>
      </c>
      <c r="D292" s="1" t="n">
        <v>45929</v>
      </c>
      <c r="E292" s="1" t="n">
        <v>46219</v>
      </c>
      <c r="F292" t="inlineStr">
        <is>
          <t>NORRBOTTENS LÄN</t>
        </is>
      </c>
      <c r="G292" t="inlineStr">
        <is>
          <t>PITEÅ</t>
        </is>
      </c>
      <c r="H292" t="inlineStr">
        <is>
          <t>Sveaskog</t>
        </is>
      </c>
      <c r="I292" t="n">
        <v>49.2</v>
      </c>
      <c r="J292" t="n">
        <v>0</v>
      </c>
      <c r="K292" t="n">
        <v>0</v>
      </c>
      <c r="L292" t="n">
        <v>0</v>
      </c>
      <c r="M292" t="n">
        <v>0</v>
      </c>
      <c r="N292" t="n">
        <v>0</v>
      </c>
      <c r="O292" t="n">
        <v>0</v>
      </c>
      <c r="P292" t="n">
        <v>0</v>
      </c>
      <c r="Q292" t="n">
        <v>0</v>
      </c>
      <c r="R292" t="n">
        <v>0</v>
      </c>
      <c r="S292" t="n">
        <v>0</v>
      </c>
      <c r="T292" t="n">
        <v>0</v>
      </c>
      <c r="U292" s="2" t="inlineStr"/>
    </row>
    <row r="293" ht="15" customHeight="1">
      <c r="A293" t="inlineStr">
        <is>
          <t>A 54775-2024</t>
        </is>
      </c>
      <c r="B293" t="inlineStr">
        <is>
          <t>avverkningsanmälan</t>
        </is>
      </c>
      <c r="C293" t="inlineStr">
        <is>
          <t>Föryngringsavverkning</t>
        </is>
      </c>
      <c r="D293" s="1" t="n">
        <v>45618</v>
      </c>
      <c r="E293" s="1" t="n">
        <v>46219</v>
      </c>
      <c r="F293" t="inlineStr">
        <is>
          <t>NORRBOTTENS LÄN</t>
        </is>
      </c>
      <c r="G293" t="inlineStr">
        <is>
          <t>PITEÅ</t>
        </is>
      </c>
      <c r="I293" t="n">
        <v>9.199999999999999</v>
      </c>
      <c r="J293" t="n">
        <v>0</v>
      </c>
      <c r="K293" t="n">
        <v>0</v>
      </c>
      <c r="L293" t="n">
        <v>0</v>
      </c>
      <c r="M293" t="n">
        <v>0</v>
      </c>
      <c r="N293" t="n">
        <v>0</v>
      </c>
      <c r="O293" t="n">
        <v>0</v>
      </c>
      <c r="P293" t="n">
        <v>0</v>
      </c>
      <c r="Q293" t="n">
        <v>0</v>
      </c>
      <c r="R293" t="n">
        <v>0</v>
      </c>
      <c r="S293" t="n">
        <v>0</v>
      </c>
      <c r="T293" t="n">
        <v>0</v>
      </c>
      <c r="U293" s="2" t="inlineStr"/>
    </row>
    <row r="294" ht="15" customHeight="1">
      <c r="A294" t="inlineStr">
        <is>
          <t>A 47153-2025</t>
        </is>
      </c>
      <c r="B294" t="inlineStr">
        <is>
          <t>avverkningsanmälan</t>
        </is>
      </c>
      <c r="C294" t="inlineStr">
        <is>
          <t>Föryngringsavverkning</t>
        </is>
      </c>
      <c r="D294" s="1" t="n">
        <v>45929</v>
      </c>
      <c r="E294" s="1" t="n">
        <v>46219</v>
      </c>
      <c r="F294" t="inlineStr">
        <is>
          <t>NORRBOTTENS LÄN</t>
        </is>
      </c>
      <c r="G294" t="inlineStr">
        <is>
          <t>PITEÅ</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4924-2025</t>
        </is>
      </c>
      <c r="B295" t="inlineStr">
        <is>
          <t>avverkningsanmälan</t>
        </is>
      </c>
      <c r="C295" t="inlineStr">
        <is>
          <t>Föryngringsavverkning</t>
        </is>
      </c>
      <c r="D295" s="1" t="n">
        <v>45688</v>
      </c>
      <c r="E295" s="1" t="n">
        <v>46219</v>
      </c>
      <c r="F295" t="inlineStr">
        <is>
          <t>NORRBOTTENS LÄN</t>
        </is>
      </c>
      <c r="G295" t="inlineStr">
        <is>
          <t>PITEÅ</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47144-2025</t>
        </is>
      </c>
      <c r="B296" t="inlineStr">
        <is>
          <t>avverkningsanmälan</t>
        </is>
      </c>
      <c r="C296" t="inlineStr">
        <is>
          <t>Föryngringsavverkning</t>
        </is>
      </c>
      <c r="D296" s="1" t="n">
        <v>45929</v>
      </c>
      <c r="E296" s="1" t="n">
        <v>46219</v>
      </c>
      <c r="F296" t="inlineStr">
        <is>
          <t>NORRBOTTENS LÄN</t>
        </is>
      </c>
      <c r="G296" t="inlineStr">
        <is>
          <t>PITEÅ</t>
        </is>
      </c>
      <c r="I296" t="n">
        <v>4.9</v>
      </c>
      <c r="J296" t="n">
        <v>0</v>
      </c>
      <c r="K296" t="n">
        <v>0</v>
      </c>
      <c r="L296" t="n">
        <v>0</v>
      </c>
      <c r="M296" t="n">
        <v>0</v>
      </c>
      <c r="N296" t="n">
        <v>0</v>
      </c>
      <c r="O296" t="n">
        <v>0</v>
      </c>
      <c r="P296" t="n">
        <v>0</v>
      </c>
      <c r="Q296" t="n">
        <v>0</v>
      </c>
      <c r="R296" t="n">
        <v>0</v>
      </c>
      <c r="S296" t="n">
        <v>0</v>
      </c>
      <c r="T296" t="n">
        <v>0</v>
      </c>
      <c r="U296" s="2" t="inlineStr"/>
    </row>
    <row r="297" ht="15" customHeight="1">
      <c r="A297" t="inlineStr">
        <is>
          <t>A 47088-2025</t>
        </is>
      </c>
      <c r="B297" t="inlineStr">
        <is>
          <t>avverkningsanmälan</t>
        </is>
      </c>
      <c r="C297" t="inlineStr">
        <is>
          <t>Föryngringsavverkning</t>
        </is>
      </c>
      <c r="D297" s="1" t="n">
        <v>45929</v>
      </c>
      <c r="E297" s="1" t="n">
        <v>46219</v>
      </c>
      <c r="F297" t="inlineStr">
        <is>
          <t>NORRBOTTENS LÄN</t>
        </is>
      </c>
      <c r="G297" t="inlineStr">
        <is>
          <t>PITEÅ</t>
        </is>
      </c>
      <c r="H297" t="inlineStr">
        <is>
          <t>Sveaskog</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61662-2023</t>
        </is>
      </c>
      <c r="B298" t="inlineStr">
        <is>
          <t>avverkningsanmälan</t>
        </is>
      </c>
      <c r="C298" t="inlineStr">
        <is>
          <t>Föryngringsavverkning</t>
        </is>
      </c>
      <c r="D298" s="1" t="n">
        <v>45265</v>
      </c>
      <c r="E298" s="1" t="n">
        <v>46219</v>
      </c>
      <c r="F298" t="inlineStr">
        <is>
          <t>NORRBOTTENS LÄN</t>
        </is>
      </c>
      <c r="G298" t="inlineStr">
        <is>
          <t>PITEÅ</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47080-2025</t>
        </is>
      </c>
      <c r="B299" t="inlineStr">
        <is>
          <t>avverkningsanmälan</t>
        </is>
      </c>
      <c r="C299" t="inlineStr">
        <is>
          <t>Föryngringsavverkning</t>
        </is>
      </c>
      <c r="D299" s="1" t="n">
        <v>45929</v>
      </c>
      <c r="E299" s="1" t="n">
        <v>46219</v>
      </c>
      <c r="F299" t="inlineStr">
        <is>
          <t>NORRBOTTENS LÄN</t>
        </is>
      </c>
      <c r="G299" t="inlineStr">
        <is>
          <t>PITEÅ</t>
        </is>
      </c>
      <c r="H299" t="inlineStr">
        <is>
          <t>Sveaskog</t>
        </is>
      </c>
      <c r="I299" t="n">
        <v>14.9</v>
      </c>
      <c r="J299" t="n">
        <v>0</v>
      </c>
      <c r="K299" t="n">
        <v>0</v>
      </c>
      <c r="L299" t="n">
        <v>0</v>
      </c>
      <c r="M299" t="n">
        <v>0</v>
      </c>
      <c r="N299" t="n">
        <v>0</v>
      </c>
      <c r="O299" t="n">
        <v>0</v>
      </c>
      <c r="P299" t="n">
        <v>0</v>
      </c>
      <c r="Q299" t="n">
        <v>0</v>
      </c>
      <c r="R299" t="n">
        <v>0</v>
      </c>
      <c r="S299" t="n">
        <v>0</v>
      </c>
      <c r="T299" t="n">
        <v>0</v>
      </c>
      <c r="U299" s="2" t="inlineStr"/>
    </row>
    <row r="300" ht="15" customHeight="1">
      <c r="A300" t="inlineStr">
        <is>
          <t>A 7928-2022</t>
        </is>
      </c>
      <c r="B300" t="inlineStr">
        <is>
          <t>avverkningsanmälan</t>
        </is>
      </c>
      <c r="C300" t="inlineStr">
        <is>
          <t>Föryngringsavverkning</t>
        </is>
      </c>
      <c r="D300" s="1" t="n">
        <v>44608</v>
      </c>
      <c r="E300" s="1" t="n">
        <v>46219</v>
      </c>
      <c r="F300" t="inlineStr">
        <is>
          <t>NORRBOTTENS LÄN</t>
        </is>
      </c>
      <c r="G300" t="inlineStr">
        <is>
          <t>PITEÅ</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60618-2024</t>
        </is>
      </c>
      <c r="B301" t="inlineStr">
        <is>
          <t>avverkningsanmälan</t>
        </is>
      </c>
      <c r="C301" t="inlineStr">
        <is>
          <t>Föryngringsavverkning</t>
        </is>
      </c>
      <c r="D301" s="1" t="n">
        <v>45644</v>
      </c>
      <c r="E301" s="1" t="n">
        <v>46219</v>
      </c>
      <c r="F301" t="inlineStr">
        <is>
          <t>NORRBOTTENS LÄN</t>
        </is>
      </c>
      <c r="G301" t="inlineStr">
        <is>
          <t>PITEÅ</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30452-2024</t>
        </is>
      </c>
      <c r="B302" t="inlineStr">
        <is>
          <t>avverkningsanmälan</t>
        </is>
      </c>
      <c r="C302" t="inlineStr">
        <is>
          <t>Föryngringsavverkning</t>
        </is>
      </c>
      <c r="D302" s="1" t="n">
        <v>45491</v>
      </c>
      <c r="E302" s="1" t="n">
        <v>46219</v>
      </c>
      <c r="F302" t="inlineStr">
        <is>
          <t>NORRBOTTENS LÄN</t>
        </is>
      </c>
      <c r="G302" t="inlineStr">
        <is>
          <t>PITEÅ</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61376-2023</t>
        </is>
      </c>
      <c r="B303" t="inlineStr">
        <is>
          <t>avverkningsanmälan</t>
        </is>
      </c>
      <c r="C303" t="inlineStr">
        <is>
          <t>Föryngringsavverkning</t>
        </is>
      </c>
      <c r="D303" s="1" t="n">
        <v>45264</v>
      </c>
      <c r="E303" s="1" t="n">
        <v>46219</v>
      </c>
      <c r="F303" t="inlineStr">
        <is>
          <t>NORRBOTTENS LÄN</t>
        </is>
      </c>
      <c r="G303" t="inlineStr">
        <is>
          <t>PITEÅ</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34019-2024</t>
        </is>
      </c>
      <c r="B304" t="inlineStr">
        <is>
          <t>avverkningsanmälan</t>
        </is>
      </c>
      <c r="C304" t="inlineStr">
        <is>
          <t>Föryngringsavverkning</t>
        </is>
      </c>
      <c r="D304" s="1" t="n">
        <v>45523</v>
      </c>
      <c r="E304" s="1" t="n">
        <v>46219</v>
      </c>
      <c r="F304" t="inlineStr">
        <is>
          <t>NORRBOTTENS LÄN</t>
        </is>
      </c>
      <c r="G304" t="inlineStr">
        <is>
          <t>PITEÅ</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48436-2025</t>
        </is>
      </c>
      <c r="B305" t="inlineStr">
        <is>
          <t>avverkningsanmälan</t>
        </is>
      </c>
      <c r="C305" t="inlineStr">
        <is>
          <t>Föryngringsavverkning</t>
        </is>
      </c>
      <c r="D305" s="1" t="n">
        <v>45935</v>
      </c>
      <c r="E305" s="1" t="n">
        <v>46219</v>
      </c>
      <c r="F305" t="inlineStr">
        <is>
          <t>NORRBOTTENS LÄN</t>
        </is>
      </c>
      <c r="G305" t="inlineStr">
        <is>
          <t>PITEÅ</t>
        </is>
      </c>
      <c r="H305" t="inlineStr">
        <is>
          <t>SCA</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2627-2023</t>
        </is>
      </c>
      <c r="B306" t="inlineStr">
        <is>
          <t>avverkningsanmälan</t>
        </is>
      </c>
      <c r="C306" t="inlineStr">
        <is>
          <t>Föryngringsavverkning</t>
        </is>
      </c>
      <c r="D306" s="1" t="n">
        <v>44942</v>
      </c>
      <c r="E306" s="1" t="n">
        <v>46219</v>
      </c>
      <c r="F306" t="inlineStr">
        <is>
          <t>NORRBOTTENS LÄN</t>
        </is>
      </c>
      <c r="G306" t="inlineStr">
        <is>
          <t>PITEÅ</t>
        </is>
      </c>
      <c r="I306" t="n">
        <v>3.8</v>
      </c>
      <c r="J306" t="n">
        <v>0</v>
      </c>
      <c r="K306" t="n">
        <v>0</v>
      </c>
      <c r="L306" t="n">
        <v>0</v>
      </c>
      <c r="M306" t="n">
        <v>0</v>
      </c>
      <c r="N306" t="n">
        <v>0</v>
      </c>
      <c r="O306" t="n">
        <v>0</v>
      </c>
      <c r="P306" t="n">
        <v>0</v>
      </c>
      <c r="Q306" t="n">
        <v>0</v>
      </c>
      <c r="R306" t="n">
        <v>0</v>
      </c>
      <c r="S306" t="n">
        <v>0</v>
      </c>
      <c r="T306" t="n">
        <v>0</v>
      </c>
      <c r="U306" s="2" t="inlineStr"/>
    </row>
    <row r="307" ht="15" customHeight="1">
      <c r="A307" t="inlineStr">
        <is>
          <t>A 48437-2025</t>
        </is>
      </c>
      <c r="B307" t="inlineStr">
        <is>
          <t>avverkningsanmälan</t>
        </is>
      </c>
      <c r="C307" t="inlineStr">
        <is>
          <t>Föryngringsavverkning</t>
        </is>
      </c>
      <c r="D307" s="1" t="n">
        <v>45935</v>
      </c>
      <c r="E307" s="1" t="n">
        <v>46219</v>
      </c>
      <c r="F307" t="inlineStr">
        <is>
          <t>NORRBOTTENS LÄN</t>
        </is>
      </c>
      <c r="G307" t="inlineStr">
        <is>
          <t>PITEÅ</t>
        </is>
      </c>
      <c r="H307" t="inlineStr">
        <is>
          <t>SCA</t>
        </is>
      </c>
      <c r="I307" t="n">
        <v>3.8</v>
      </c>
      <c r="J307" t="n">
        <v>0</v>
      </c>
      <c r="K307" t="n">
        <v>0</v>
      </c>
      <c r="L307" t="n">
        <v>0</v>
      </c>
      <c r="M307" t="n">
        <v>0</v>
      </c>
      <c r="N307" t="n">
        <v>0</v>
      </c>
      <c r="O307" t="n">
        <v>0</v>
      </c>
      <c r="P307" t="n">
        <v>0</v>
      </c>
      <c r="Q307" t="n">
        <v>0</v>
      </c>
      <c r="R307" t="n">
        <v>0</v>
      </c>
      <c r="S307" t="n">
        <v>0</v>
      </c>
      <c r="T307" t="n">
        <v>0</v>
      </c>
      <c r="U307" s="2" t="inlineStr"/>
    </row>
    <row r="308" ht="15" customHeight="1">
      <c r="A308" t="inlineStr">
        <is>
          <t>A 42520-2023</t>
        </is>
      </c>
      <c r="B308" t="inlineStr">
        <is>
          <t>avverkningsanmälan</t>
        </is>
      </c>
      <c r="C308" t="inlineStr">
        <is>
          <t>Föryngringsavverkning</t>
        </is>
      </c>
      <c r="D308" s="1" t="n">
        <v>45180</v>
      </c>
      <c r="E308" s="1" t="n">
        <v>46219</v>
      </c>
      <c r="F308" t="inlineStr">
        <is>
          <t>NORRBOTTENS LÄN</t>
        </is>
      </c>
      <c r="G308" t="inlineStr">
        <is>
          <t>PITEÅ</t>
        </is>
      </c>
      <c r="H308" t="inlineStr">
        <is>
          <t>Naturvårdsverket</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43297-2021</t>
        </is>
      </c>
      <c r="B309" t="inlineStr">
        <is>
          <t>avverkningsanmälan</t>
        </is>
      </c>
      <c r="C309" t="inlineStr">
        <is>
          <t>Föryngringsavverkning</t>
        </is>
      </c>
      <c r="D309" s="1" t="n">
        <v>44432</v>
      </c>
      <c r="E309" s="1" t="n">
        <v>46219</v>
      </c>
      <c r="F309" t="inlineStr">
        <is>
          <t>NORRBOTTENS LÄN</t>
        </is>
      </c>
      <c r="G309" t="inlineStr">
        <is>
          <t>PITEÅ</t>
        </is>
      </c>
      <c r="I309" t="n">
        <v>5.6</v>
      </c>
      <c r="J309" t="n">
        <v>0</v>
      </c>
      <c r="K309" t="n">
        <v>0</v>
      </c>
      <c r="L309" t="n">
        <v>0</v>
      </c>
      <c r="M309" t="n">
        <v>0</v>
      </c>
      <c r="N309" t="n">
        <v>0</v>
      </c>
      <c r="O309" t="n">
        <v>0</v>
      </c>
      <c r="P309" t="n">
        <v>0</v>
      </c>
      <c r="Q309" t="n">
        <v>0</v>
      </c>
      <c r="R309" t="n">
        <v>0</v>
      </c>
      <c r="S309" t="n">
        <v>0</v>
      </c>
      <c r="T309" t="n">
        <v>0</v>
      </c>
      <c r="U309" s="2" t="inlineStr"/>
    </row>
    <row r="310" ht="15" customHeight="1">
      <c r="A310" t="inlineStr">
        <is>
          <t>A 20201-2025</t>
        </is>
      </c>
      <c r="B310" t="inlineStr">
        <is>
          <t>avverkningsanmälan</t>
        </is>
      </c>
      <c r="C310" t="inlineStr">
        <is>
          <t>Föryngringsavverkning</t>
        </is>
      </c>
      <c r="D310" s="1" t="n">
        <v>45772</v>
      </c>
      <c r="E310" s="1" t="n">
        <v>46219</v>
      </c>
      <c r="F310" t="inlineStr">
        <is>
          <t>NORRBOTTENS LÄN</t>
        </is>
      </c>
      <c r="G310" t="inlineStr">
        <is>
          <t>PITEÅ</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48435-2025</t>
        </is>
      </c>
      <c r="B311" t="inlineStr">
        <is>
          <t>avverkningsanmälan</t>
        </is>
      </c>
      <c r="C311" t="inlineStr">
        <is>
          <t>Föryngringsavverkning</t>
        </is>
      </c>
      <c r="D311" s="1" t="n">
        <v>45935</v>
      </c>
      <c r="E311" s="1" t="n">
        <v>46219</v>
      </c>
      <c r="F311" t="inlineStr">
        <is>
          <t>NORRBOTTENS LÄN</t>
        </is>
      </c>
      <c r="G311" t="inlineStr">
        <is>
          <t>PITEÅ</t>
        </is>
      </c>
      <c r="H311" t="inlineStr">
        <is>
          <t>SCA</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14556-2025</t>
        </is>
      </c>
      <c r="B312" t="inlineStr">
        <is>
          <t>avverkningsanmälan</t>
        </is>
      </c>
      <c r="C312" t="inlineStr">
        <is>
          <t>Föryngringsavverkning</t>
        </is>
      </c>
      <c r="D312" s="1" t="n">
        <v>45741</v>
      </c>
      <c r="E312" s="1" t="n">
        <v>46219</v>
      </c>
      <c r="F312" t="inlineStr">
        <is>
          <t>NORRBOTTENS LÄN</t>
        </is>
      </c>
      <c r="G312" t="inlineStr">
        <is>
          <t>PITEÅ</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61159-2023</t>
        </is>
      </c>
      <c r="B313" t="inlineStr">
        <is>
          <t>avverkningsanmälan</t>
        </is>
      </c>
      <c r="C313" t="inlineStr">
        <is>
          <t>Föryngringsavverkning</t>
        </is>
      </c>
      <c r="D313" s="1" t="n">
        <v>45262</v>
      </c>
      <c r="E313" s="1" t="n">
        <v>46219</v>
      </c>
      <c r="F313" t="inlineStr">
        <is>
          <t>NORRBOTTENS LÄN</t>
        </is>
      </c>
      <c r="G313" t="inlineStr">
        <is>
          <t>PITEÅ</t>
        </is>
      </c>
      <c r="I313" t="n">
        <v>2.9</v>
      </c>
      <c r="J313" t="n">
        <v>0</v>
      </c>
      <c r="K313" t="n">
        <v>0</v>
      </c>
      <c r="L313" t="n">
        <v>0</v>
      </c>
      <c r="M313" t="n">
        <v>0</v>
      </c>
      <c r="N313" t="n">
        <v>0</v>
      </c>
      <c r="O313" t="n">
        <v>0</v>
      </c>
      <c r="P313" t="n">
        <v>0</v>
      </c>
      <c r="Q313" t="n">
        <v>0</v>
      </c>
      <c r="R313" t="n">
        <v>0</v>
      </c>
      <c r="S313" t="n">
        <v>0</v>
      </c>
      <c r="T313" t="n">
        <v>0</v>
      </c>
      <c r="U313" s="2" t="inlineStr"/>
    </row>
    <row r="314" ht="15" customHeight="1">
      <c r="A314" t="inlineStr">
        <is>
          <t>A 49758-2025</t>
        </is>
      </c>
      <c r="B314" t="inlineStr">
        <is>
          <t>avverkningsanmälan</t>
        </is>
      </c>
      <c r="C314" t="inlineStr">
        <is>
          <t>Föryngringsavverkning</t>
        </is>
      </c>
      <c r="D314" s="1" t="n">
        <v>45940</v>
      </c>
      <c r="E314" s="1" t="n">
        <v>46219</v>
      </c>
      <c r="F314" t="inlineStr">
        <is>
          <t>NORRBOTTENS LÄN</t>
        </is>
      </c>
      <c r="G314" t="inlineStr">
        <is>
          <t>PITEÅ</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11511-2025</t>
        </is>
      </c>
      <c r="B315" t="inlineStr">
        <is>
          <t>avverkningsanmälan</t>
        </is>
      </c>
      <c r="C315" t="inlineStr">
        <is>
          <t>Föryngringsavverkning</t>
        </is>
      </c>
      <c r="D315" s="1" t="n">
        <v>45726</v>
      </c>
      <c r="E315" s="1" t="n">
        <v>46219</v>
      </c>
      <c r="F315" t="inlineStr">
        <is>
          <t>NORRBOTTENS LÄN</t>
        </is>
      </c>
      <c r="G315" t="inlineStr">
        <is>
          <t>PITEÅ</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49768-2025</t>
        </is>
      </c>
      <c r="B316" t="inlineStr">
        <is>
          <t>avverkningsanmälan</t>
        </is>
      </c>
      <c r="C316" t="inlineStr">
        <is>
          <t>Föryngringsavverkning</t>
        </is>
      </c>
      <c r="D316" s="1" t="n">
        <v>45940</v>
      </c>
      <c r="E316" s="1" t="n">
        <v>46219</v>
      </c>
      <c r="F316" t="inlineStr">
        <is>
          <t>NORRBOTTENS LÄN</t>
        </is>
      </c>
      <c r="G316" t="inlineStr">
        <is>
          <t>PITEÅ</t>
        </is>
      </c>
      <c r="I316" t="n">
        <v>7.9</v>
      </c>
      <c r="J316" t="n">
        <v>0</v>
      </c>
      <c r="K316" t="n">
        <v>0</v>
      </c>
      <c r="L316" t="n">
        <v>0</v>
      </c>
      <c r="M316" t="n">
        <v>0</v>
      </c>
      <c r="N316" t="n">
        <v>0</v>
      </c>
      <c r="O316" t="n">
        <v>0</v>
      </c>
      <c r="P316" t="n">
        <v>0</v>
      </c>
      <c r="Q316" t="n">
        <v>0</v>
      </c>
      <c r="R316" t="n">
        <v>0</v>
      </c>
      <c r="S316" t="n">
        <v>0</v>
      </c>
      <c r="T316" t="n">
        <v>0</v>
      </c>
      <c r="U316" s="2" t="inlineStr"/>
    </row>
    <row r="317" ht="15" customHeight="1">
      <c r="A317" t="inlineStr">
        <is>
          <t>A 53331-2021</t>
        </is>
      </c>
      <c r="B317" t="inlineStr">
        <is>
          <t>avverkningsanmälan</t>
        </is>
      </c>
      <c r="C317" t="inlineStr">
        <is>
          <t>Avverkning för annat ändamål</t>
        </is>
      </c>
      <c r="D317" s="1" t="n">
        <v>44468</v>
      </c>
      <c r="E317" s="1" t="n">
        <v>46219</v>
      </c>
      <c r="F317" t="inlineStr">
        <is>
          <t>NORRBOTTENS LÄN</t>
        </is>
      </c>
      <c r="G317" t="inlineStr">
        <is>
          <t>PITEÅ</t>
        </is>
      </c>
      <c r="I317" t="n">
        <v>0.3</v>
      </c>
      <c r="J317" t="n">
        <v>0</v>
      </c>
      <c r="K317" t="n">
        <v>0</v>
      </c>
      <c r="L317" t="n">
        <v>0</v>
      </c>
      <c r="M317" t="n">
        <v>0</v>
      </c>
      <c r="N317" t="n">
        <v>0</v>
      </c>
      <c r="O317" t="n">
        <v>0</v>
      </c>
      <c r="P317" t="n">
        <v>0</v>
      </c>
      <c r="Q317" t="n">
        <v>0</v>
      </c>
      <c r="R317" t="n">
        <v>0</v>
      </c>
      <c r="S317" t="n">
        <v>0</v>
      </c>
      <c r="T317" t="n">
        <v>0</v>
      </c>
      <c r="U317" s="2" t="inlineStr"/>
    </row>
    <row r="318" ht="15" customHeight="1">
      <c r="A318" t="inlineStr">
        <is>
          <t>A 32432-2023</t>
        </is>
      </c>
      <c r="B318" t="inlineStr">
        <is>
          <t>avverkningsanmälan</t>
        </is>
      </c>
      <c r="C318" t="inlineStr">
        <is>
          <t>Föryngringsavverkning</t>
        </is>
      </c>
      <c r="D318" s="1" t="n">
        <v>45120</v>
      </c>
      <c r="E318" s="1" t="n">
        <v>46219</v>
      </c>
      <c r="F318" t="inlineStr">
        <is>
          <t>NORRBOTTENS LÄN</t>
        </is>
      </c>
      <c r="G318" t="inlineStr">
        <is>
          <t>PITEÅ</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32438-2023</t>
        </is>
      </c>
      <c r="B319" t="inlineStr">
        <is>
          <t>avverkningsanmälan</t>
        </is>
      </c>
      <c r="C319" t="inlineStr">
        <is>
          <t>Föryngringsavverkning</t>
        </is>
      </c>
      <c r="D319" s="1" t="n">
        <v>45120</v>
      </c>
      <c r="E319" s="1" t="n">
        <v>46219</v>
      </c>
      <c r="F319" t="inlineStr">
        <is>
          <t>NORRBOTTENS LÄN</t>
        </is>
      </c>
      <c r="G319" t="inlineStr">
        <is>
          <t>PITEÅ</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45524-2024</t>
        </is>
      </c>
      <c r="B320" t="inlineStr">
        <is>
          <t>avverkningsanmälan</t>
        </is>
      </c>
      <c r="C320" t="inlineStr">
        <is>
          <t>Föryngringsavverkning</t>
        </is>
      </c>
      <c r="D320" s="1" t="n">
        <v>45578</v>
      </c>
      <c r="E320" s="1" t="n">
        <v>46219</v>
      </c>
      <c r="F320" t="inlineStr">
        <is>
          <t>NORRBOTTENS LÄN</t>
        </is>
      </c>
      <c r="G320" t="inlineStr">
        <is>
          <t>PITEÅ</t>
        </is>
      </c>
      <c r="I320" t="n">
        <v>7.7</v>
      </c>
      <c r="J320" t="n">
        <v>0</v>
      </c>
      <c r="K320" t="n">
        <v>0</v>
      </c>
      <c r="L320" t="n">
        <v>0</v>
      </c>
      <c r="M320" t="n">
        <v>0</v>
      </c>
      <c r="N320" t="n">
        <v>0</v>
      </c>
      <c r="O320" t="n">
        <v>0</v>
      </c>
      <c r="P320" t="n">
        <v>0</v>
      </c>
      <c r="Q320" t="n">
        <v>0</v>
      </c>
      <c r="R320" t="n">
        <v>0</v>
      </c>
      <c r="S320" t="n">
        <v>0</v>
      </c>
      <c r="T320" t="n">
        <v>0</v>
      </c>
      <c r="U320" s="2" t="inlineStr"/>
    </row>
    <row r="321" ht="15" customHeight="1">
      <c r="A321" t="inlineStr">
        <is>
          <t>A 49885-2025</t>
        </is>
      </c>
      <c r="B321" t="inlineStr">
        <is>
          <t>avverkningsanmälan</t>
        </is>
      </c>
      <c r="C321" t="inlineStr">
        <is>
          <t>Föryngringsavverkning</t>
        </is>
      </c>
      <c r="D321" s="1" t="n">
        <v>45940</v>
      </c>
      <c r="E321" s="1" t="n">
        <v>46219</v>
      </c>
      <c r="F321" t="inlineStr">
        <is>
          <t>NORRBOTTENS LÄN</t>
        </is>
      </c>
      <c r="G321" t="inlineStr">
        <is>
          <t>PITEÅ</t>
        </is>
      </c>
      <c r="H321" t="inlineStr">
        <is>
          <t>Sveaskog</t>
        </is>
      </c>
      <c r="I321" t="n">
        <v>5</v>
      </c>
      <c r="J321" t="n">
        <v>0</v>
      </c>
      <c r="K321" t="n">
        <v>0</v>
      </c>
      <c r="L321" t="n">
        <v>0</v>
      </c>
      <c r="M321" t="n">
        <v>0</v>
      </c>
      <c r="N321" t="n">
        <v>0</v>
      </c>
      <c r="O321" t="n">
        <v>0</v>
      </c>
      <c r="P321" t="n">
        <v>0</v>
      </c>
      <c r="Q321" t="n">
        <v>0</v>
      </c>
      <c r="R321" t="n">
        <v>0</v>
      </c>
      <c r="S321" t="n">
        <v>0</v>
      </c>
      <c r="T321" t="n">
        <v>0</v>
      </c>
      <c r="U321" s="2" t="inlineStr"/>
    </row>
    <row r="322" ht="15" customHeight="1">
      <c r="A322" t="inlineStr">
        <is>
          <t>A 49876-2025</t>
        </is>
      </c>
      <c r="B322" t="inlineStr">
        <is>
          <t>avverkningsanmälan</t>
        </is>
      </c>
      <c r="C322" t="inlineStr">
        <is>
          <t>Föryngringsavverkning</t>
        </is>
      </c>
      <c r="D322" s="1" t="n">
        <v>45940</v>
      </c>
      <c r="E322" s="1" t="n">
        <v>46219</v>
      </c>
      <c r="F322" t="inlineStr">
        <is>
          <t>NORRBOTTENS LÄN</t>
        </is>
      </c>
      <c r="G322" t="inlineStr">
        <is>
          <t>PITEÅ</t>
        </is>
      </c>
      <c r="H322" t="inlineStr">
        <is>
          <t>Sveaskog</t>
        </is>
      </c>
      <c r="I322" t="n">
        <v>32.9</v>
      </c>
      <c r="J322" t="n">
        <v>0</v>
      </c>
      <c r="K322" t="n">
        <v>0</v>
      </c>
      <c r="L322" t="n">
        <v>0</v>
      </c>
      <c r="M322" t="n">
        <v>0</v>
      </c>
      <c r="N322" t="n">
        <v>0</v>
      </c>
      <c r="O322" t="n">
        <v>0</v>
      </c>
      <c r="P322" t="n">
        <v>0</v>
      </c>
      <c r="Q322" t="n">
        <v>0</v>
      </c>
      <c r="R322" t="n">
        <v>0</v>
      </c>
      <c r="S322" t="n">
        <v>0</v>
      </c>
      <c r="T322" t="n">
        <v>0</v>
      </c>
      <c r="U322" s="2" t="inlineStr"/>
    </row>
    <row r="323" ht="15" customHeight="1">
      <c r="A323" t="inlineStr">
        <is>
          <t>A 7461-2024</t>
        </is>
      </c>
      <c r="B323" t="inlineStr">
        <is>
          <t>avverkningsanmälan</t>
        </is>
      </c>
      <c r="C323" t="inlineStr">
        <is>
          <t>Föryngringsavverkning</t>
        </is>
      </c>
      <c r="D323" s="1" t="n">
        <v>45345</v>
      </c>
      <c r="E323" s="1" t="n">
        <v>46219</v>
      </c>
      <c r="F323" t="inlineStr">
        <is>
          <t>NORRBOTTENS LÄN</t>
        </is>
      </c>
      <c r="G323" t="inlineStr">
        <is>
          <t>PITEÅ</t>
        </is>
      </c>
      <c r="I323" t="n">
        <v>14.7</v>
      </c>
      <c r="J323" t="n">
        <v>0</v>
      </c>
      <c r="K323" t="n">
        <v>0</v>
      </c>
      <c r="L323" t="n">
        <v>0</v>
      </c>
      <c r="M323" t="n">
        <v>0</v>
      </c>
      <c r="N323" t="n">
        <v>0</v>
      </c>
      <c r="O323" t="n">
        <v>0</v>
      </c>
      <c r="P323" t="n">
        <v>0</v>
      </c>
      <c r="Q323" t="n">
        <v>0</v>
      </c>
      <c r="R323" t="n">
        <v>0</v>
      </c>
      <c r="S323" t="n">
        <v>0</v>
      </c>
      <c r="T323" t="n">
        <v>0</v>
      </c>
      <c r="U323" s="2" t="inlineStr"/>
    </row>
    <row r="324" ht="15" customHeight="1">
      <c r="A324" t="inlineStr">
        <is>
          <t>A 50426-2025</t>
        </is>
      </c>
      <c r="B324" t="inlineStr">
        <is>
          <t>avverkningsanmälan</t>
        </is>
      </c>
      <c r="C324" t="inlineStr">
        <is>
          <t>Föryngringsavverkning</t>
        </is>
      </c>
      <c r="D324" s="1" t="n">
        <v>45944</v>
      </c>
      <c r="E324" s="1" t="n">
        <v>46219</v>
      </c>
      <c r="F324" t="inlineStr">
        <is>
          <t>NORRBOTTENS LÄN</t>
        </is>
      </c>
      <c r="G324" t="inlineStr">
        <is>
          <t>PITEÅ</t>
        </is>
      </c>
      <c r="H324" t="inlineStr">
        <is>
          <t>Övriga Aktiebolag</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7553-2023</t>
        </is>
      </c>
      <c r="B325" t="inlineStr">
        <is>
          <t>avverkningsanmälan</t>
        </is>
      </c>
      <c r="C325" t="inlineStr">
        <is>
          <t>Föryngringsavverkning</t>
        </is>
      </c>
      <c r="D325" s="1" t="n">
        <v>44972</v>
      </c>
      <c r="E325" s="1" t="n">
        <v>46219</v>
      </c>
      <c r="F325" t="inlineStr">
        <is>
          <t>NORRBOTTENS LÄN</t>
        </is>
      </c>
      <c r="G325" t="inlineStr">
        <is>
          <t>PITEÅ</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14862-2023</t>
        </is>
      </c>
      <c r="B326" t="inlineStr">
        <is>
          <t>avverkningsanmälan</t>
        </is>
      </c>
      <c r="C326" t="inlineStr">
        <is>
          <t>Föryngringsavverkning</t>
        </is>
      </c>
      <c r="D326" s="1" t="n">
        <v>45015</v>
      </c>
      <c r="E326" s="1" t="n">
        <v>46219</v>
      </c>
      <c r="F326" t="inlineStr">
        <is>
          <t>NORRBOTTENS LÄN</t>
        </is>
      </c>
      <c r="G326" t="inlineStr">
        <is>
          <t>PITEÅ</t>
        </is>
      </c>
      <c r="H326" t="inlineStr">
        <is>
          <t>SCA</t>
        </is>
      </c>
      <c r="I326" t="n">
        <v>10.9</v>
      </c>
      <c r="J326" t="n">
        <v>0</v>
      </c>
      <c r="K326" t="n">
        <v>0</v>
      </c>
      <c r="L326" t="n">
        <v>0</v>
      </c>
      <c r="M326" t="n">
        <v>0</v>
      </c>
      <c r="N326" t="n">
        <v>0</v>
      </c>
      <c r="O326" t="n">
        <v>0</v>
      </c>
      <c r="P326" t="n">
        <v>0</v>
      </c>
      <c r="Q326" t="n">
        <v>0</v>
      </c>
      <c r="R326" t="n">
        <v>0</v>
      </c>
      <c r="S326" t="n">
        <v>0</v>
      </c>
      <c r="T326" t="n">
        <v>0</v>
      </c>
      <c r="U326" s="2" t="inlineStr"/>
    </row>
    <row r="327" ht="15" customHeight="1">
      <c r="A327" t="inlineStr">
        <is>
          <t>A 42590-2024</t>
        </is>
      </c>
      <c r="B327" t="inlineStr">
        <is>
          <t>avverkningsanmälan</t>
        </is>
      </c>
      <c r="C327" t="inlineStr">
        <is>
          <t>Föryngringsavverkning</t>
        </is>
      </c>
      <c r="D327" s="1" t="n">
        <v>45565</v>
      </c>
      <c r="E327" s="1" t="n">
        <v>46219</v>
      </c>
      <c r="F327" t="inlineStr">
        <is>
          <t>NORRBOTTENS LÄN</t>
        </is>
      </c>
      <c r="G327" t="inlineStr">
        <is>
          <t>PITEÅ</t>
        </is>
      </c>
      <c r="H327" t="inlineStr">
        <is>
          <t>Sveaskog</t>
        </is>
      </c>
      <c r="I327" t="n">
        <v>22.8</v>
      </c>
      <c r="J327" t="n">
        <v>0</v>
      </c>
      <c r="K327" t="n">
        <v>0</v>
      </c>
      <c r="L327" t="n">
        <v>0</v>
      </c>
      <c r="M327" t="n">
        <v>0</v>
      </c>
      <c r="N327" t="n">
        <v>0</v>
      </c>
      <c r="O327" t="n">
        <v>0</v>
      </c>
      <c r="P327" t="n">
        <v>0</v>
      </c>
      <c r="Q327" t="n">
        <v>0</v>
      </c>
      <c r="R327" t="n">
        <v>0</v>
      </c>
      <c r="S327" t="n">
        <v>0</v>
      </c>
      <c r="T327" t="n">
        <v>0</v>
      </c>
      <c r="U327" s="2" t="inlineStr"/>
    </row>
    <row r="328" ht="15" customHeight="1">
      <c r="A328" t="inlineStr">
        <is>
          <t>A 21854-2022</t>
        </is>
      </c>
      <c r="B328" t="inlineStr">
        <is>
          <t>avverkningsanmälan</t>
        </is>
      </c>
      <c r="C328" t="inlineStr">
        <is>
          <t>Föryngringsavverkning</t>
        </is>
      </c>
      <c r="D328" s="1" t="n">
        <v>44708</v>
      </c>
      <c r="E328" s="1" t="n">
        <v>46219</v>
      </c>
      <c r="F328" t="inlineStr">
        <is>
          <t>NORRBOTTENS LÄN</t>
        </is>
      </c>
      <c r="G328" t="inlineStr">
        <is>
          <t>PITEÅ</t>
        </is>
      </c>
      <c r="I328" t="n">
        <v>5.1</v>
      </c>
      <c r="J328" t="n">
        <v>0</v>
      </c>
      <c r="K328" t="n">
        <v>0</v>
      </c>
      <c r="L328" t="n">
        <v>0</v>
      </c>
      <c r="M328" t="n">
        <v>0</v>
      </c>
      <c r="N328" t="n">
        <v>0</v>
      </c>
      <c r="O328" t="n">
        <v>0</v>
      </c>
      <c r="P328" t="n">
        <v>0</v>
      </c>
      <c r="Q328" t="n">
        <v>0</v>
      </c>
      <c r="R328" t="n">
        <v>0</v>
      </c>
      <c r="S328" t="n">
        <v>0</v>
      </c>
      <c r="T328" t="n">
        <v>0</v>
      </c>
      <c r="U328" s="2" t="inlineStr"/>
    </row>
    <row r="329" ht="15" customHeight="1">
      <c r="A329" t="inlineStr">
        <is>
          <t>A 39562-2023</t>
        </is>
      </c>
      <c r="B329" t="inlineStr">
        <is>
          <t>avverkningsanmälan</t>
        </is>
      </c>
      <c r="C329" t="inlineStr">
        <is>
          <t>Föryngringsavverkning</t>
        </is>
      </c>
      <c r="D329" s="1" t="n">
        <v>45167</v>
      </c>
      <c r="E329" s="1" t="n">
        <v>46219</v>
      </c>
      <c r="F329" t="inlineStr">
        <is>
          <t>NORRBOTTENS LÄN</t>
        </is>
      </c>
      <c r="G329" t="inlineStr">
        <is>
          <t>PITEÅ</t>
        </is>
      </c>
      <c r="H329" t="inlineStr">
        <is>
          <t>Sveaskog</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21705-2025</t>
        </is>
      </c>
      <c r="B330" t="inlineStr">
        <is>
          <t>avverkningsanmälan</t>
        </is>
      </c>
      <c r="C330" t="inlineStr">
        <is>
          <t>Föryngringsavverkning</t>
        </is>
      </c>
      <c r="D330" s="1" t="n">
        <v>45783</v>
      </c>
      <c r="E330" s="1" t="n">
        <v>46219</v>
      </c>
      <c r="F330" t="inlineStr">
        <is>
          <t>NORRBOTTENS LÄN</t>
        </is>
      </c>
      <c r="G330" t="inlineStr">
        <is>
          <t>PITEÅ</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50489-2025</t>
        </is>
      </c>
      <c r="B331" t="inlineStr">
        <is>
          <t>avverkningsanmälan</t>
        </is>
      </c>
      <c r="C331" t="inlineStr">
        <is>
          <t>Föryngringsavverkning</t>
        </is>
      </c>
      <c r="D331" s="1" t="n">
        <v>45945</v>
      </c>
      <c r="E331" s="1" t="n">
        <v>46219</v>
      </c>
      <c r="F331" t="inlineStr">
        <is>
          <t>NORRBOTTENS LÄN</t>
        </is>
      </c>
      <c r="G331" t="inlineStr">
        <is>
          <t>PITEÅ</t>
        </is>
      </c>
      <c r="I331" t="n">
        <v>4.7</v>
      </c>
      <c r="J331" t="n">
        <v>0</v>
      </c>
      <c r="K331" t="n">
        <v>0</v>
      </c>
      <c r="L331" t="n">
        <v>0</v>
      </c>
      <c r="M331" t="n">
        <v>0</v>
      </c>
      <c r="N331" t="n">
        <v>0</v>
      </c>
      <c r="O331" t="n">
        <v>0</v>
      </c>
      <c r="P331" t="n">
        <v>0</v>
      </c>
      <c r="Q331" t="n">
        <v>0</v>
      </c>
      <c r="R331" t="n">
        <v>0</v>
      </c>
      <c r="S331" t="n">
        <v>0</v>
      </c>
      <c r="T331" t="n">
        <v>0</v>
      </c>
      <c r="U331" s="2" t="inlineStr"/>
    </row>
    <row r="332" ht="15" customHeight="1">
      <c r="A332" t="inlineStr">
        <is>
          <t>A 35408-2024</t>
        </is>
      </c>
      <c r="B332" t="inlineStr">
        <is>
          <t>avverkningsanmälan</t>
        </is>
      </c>
      <c r="C332" t="inlineStr">
        <is>
          <t>Föryngringsavverkning</t>
        </is>
      </c>
      <c r="D332" s="1" t="n">
        <v>45531</v>
      </c>
      <c r="E332" s="1" t="n">
        <v>46219</v>
      </c>
      <c r="F332" t="inlineStr">
        <is>
          <t>NORRBOTTENS LÄN</t>
        </is>
      </c>
      <c r="G332" t="inlineStr">
        <is>
          <t>PITEÅ</t>
        </is>
      </c>
      <c r="H332" t="inlineStr">
        <is>
          <t>SCA</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50475-2025</t>
        </is>
      </c>
      <c r="B333" t="inlineStr">
        <is>
          <t>avverkningsanmälan</t>
        </is>
      </c>
      <c r="C333" t="inlineStr">
        <is>
          <t>Föryngringsavverkning</t>
        </is>
      </c>
      <c r="D333" s="1" t="n">
        <v>45945</v>
      </c>
      <c r="E333" s="1" t="n">
        <v>46219</v>
      </c>
      <c r="F333" t="inlineStr">
        <is>
          <t>NORRBOTTENS LÄN</t>
        </is>
      </c>
      <c r="G333" t="inlineStr">
        <is>
          <t>PITEÅ</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50924-2025</t>
        </is>
      </c>
      <c r="B334" t="inlineStr">
        <is>
          <t>avverkningsanmälan</t>
        </is>
      </c>
      <c r="C334" t="inlineStr">
        <is>
          <t>Föryngringsavverkning</t>
        </is>
      </c>
      <c r="D334" s="1" t="n">
        <v>45946</v>
      </c>
      <c r="E334" s="1" t="n">
        <v>46219</v>
      </c>
      <c r="F334" t="inlineStr">
        <is>
          <t>NORRBOTTENS LÄN</t>
        </is>
      </c>
      <c r="G334" t="inlineStr">
        <is>
          <t>PITEÅ</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51375-2025</t>
        </is>
      </c>
      <c r="B335" t="inlineStr">
        <is>
          <t>avverkningsanmälan</t>
        </is>
      </c>
      <c r="C335" t="inlineStr">
        <is>
          <t>Föryngringsavverkning</t>
        </is>
      </c>
      <c r="D335" s="1" t="n">
        <v>45950</v>
      </c>
      <c r="E335" s="1" t="n">
        <v>46219</v>
      </c>
      <c r="F335" t="inlineStr">
        <is>
          <t>NORRBOTTENS LÄN</t>
        </is>
      </c>
      <c r="G335" t="inlineStr">
        <is>
          <t>PITEÅ</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35197-2023</t>
        </is>
      </c>
      <c r="B336" t="inlineStr">
        <is>
          <t>avverkningsanmälan</t>
        </is>
      </c>
      <c r="C336" t="inlineStr">
        <is>
          <t>Föryngringsavverkning</t>
        </is>
      </c>
      <c r="D336" s="1" t="n">
        <v>45145</v>
      </c>
      <c r="E336" s="1" t="n">
        <v>46219</v>
      </c>
      <c r="F336" t="inlineStr">
        <is>
          <t>NORRBOTTENS LÄN</t>
        </is>
      </c>
      <c r="G336" t="inlineStr">
        <is>
          <t>PITEÅ</t>
        </is>
      </c>
      <c r="I336" t="n">
        <v>4.8</v>
      </c>
      <c r="J336" t="n">
        <v>0</v>
      </c>
      <c r="K336" t="n">
        <v>0</v>
      </c>
      <c r="L336" t="n">
        <v>0</v>
      </c>
      <c r="M336" t="n">
        <v>0</v>
      </c>
      <c r="N336" t="n">
        <v>0</v>
      </c>
      <c r="O336" t="n">
        <v>0</v>
      </c>
      <c r="P336" t="n">
        <v>0</v>
      </c>
      <c r="Q336" t="n">
        <v>0</v>
      </c>
      <c r="R336" t="n">
        <v>0</v>
      </c>
      <c r="S336" t="n">
        <v>0</v>
      </c>
      <c r="T336" t="n">
        <v>0</v>
      </c>
      <c r="U336" s="2" t="inlineStr"/>
    </row>
    <row r="337" ht="15" customHeight="1">
      <c r="A337" t="inlineStr">
        <is>
          <t>A 54100-2023</t>
        </is>
      </c>
      <c r="B337" t="inlineStr">
        <is>
          <t>avverkningsanmälan</t>
        </is>
      </c>
      <c r="C337" t="inlineStr">
        <is>
          <t>Föryngringsavverkning</t>
        </is>
      </c>
      <c r="D337" s="1" t="n">
        <v>45225</v>
      </c>
      <c r="E337" s="1" t="n">
        <v>46219</v>
      </c>
      <c r="F337" t="inlineStr">
        <is>
          <t>NORRBOTTENS LÄN</t>
        </is>
      </c>
      <c r="G337" t="inlineStr">
        <is>
          <t>PITEÅ</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50031-2021</t>
        </is>
      </c>
      <c r="B338" t="inlineStr">
        <is>
          <t>avverkningsanmälan</t>
        </is>
      </c>
      <c r="C338" t="inlineStr">
        <is>
          <t>Föryngringsavverkning</t>
        </is>
      </c>
      <c r="D338" s="1" t="n">
        <v>44454</v>
      </c>
      <c r="E338" s="1" t="n">
        <v>46219</v>
      </c>
      <c r="F338" t="inlineStr">
        <is>
          <t>NORRBOTTENS LÄN</t>
        </is>
      </c>
      <c r="G338" t="inlineStr">
        <is>
          <t>PITEÅ</t>
        </is>
      </c>
      <c r="I338" t="n">
        <v>10.5</v>
      </c>
      <c r="J338" t="n">
        <v>0</v>
      </c>
      <c r="K338" t="n">
        <v>0</v>
      </c>
      <c r="L338" t="n">
        <v>0</v>
      </c>
      <c r="M338" t="n">
        <v>0</v>
      </c>
      <c r="N338" t="n">
        <v>0</v>
      </c>
      <c r="O338" t="n">
        <v>0</v>
      </c>
      <c r="P338" t="n">
        <v>0</v>
      </c>
      <c r="Q338" t="n">
        <v>0</v>
      </c>
      <c r="R338" t="n">
        <v>0</v>
      </c>
      <c r="S338" t="n">
        <v>0</v>
      </c>
      <c r="T338" t="n">
        <v>0</v>
      </c>
      <c r="U338" s="2" t="inlineStr"/>
    </row>
    <row r="339" ht="15" customHeight="1">
      <c r="A339" t="inlineStr">
        <is>
          <t>A 57694-2024</t>
        </is>
      </c>
      <c r="B339" t="inlineStr">
        <is>
          <t>avverkningsanmälan</t>
        </is>
      </c>
      <c r="C339" t="inlineStr">
        <is>
          <t>Föryngringsavverkning</t>
        </is>
      </c>
      <c r="D339" s="1" t="n">
        <v>45630</v>
      </c>
      <c r="E339" s="1" t="n">
        <v>46219</v>
      </c>
      <c r="F339" t="inlineStr">
        <is>
          <t>NORRBOTTENS LÄN</t>
        </is>
      </c>
      <c r="G339" t="inlineStr">
        <is>
          <t>PITEÅ</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40661-2024</t>
        </is>
      </c>
      <c r="B340" t="inlineStr">
        <is>
          <t>avverkningsanmälan</t>
        </is>
      </c>
      <c r="C340" t="inlineStr">
        <is>
          <t>Föryngringsavverkning</t>
        </is>
      </c>
      <c r="D340" s="1" t="n">
        <v>45558</v>
      </c>
      <c r="E340" s="1" t="n">
        <v>46219</v>
      </c>
      <c r="F340" t="inlineStr">
        <is>
          <t>NORRBOTTENS LÄN</t>
        </is>
      </c>
      <c r="G340" t="inlineStr">
        <is>
          <t>PITEÅ</t>
        </is>
      </c>
      <c r="H340" t="inlineStr">
        <is>
          <t>SCA</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51571-2025</t>
        </is>
      </c>
      <c r="B341" t="inlineStr">
        <is>
          <t>avverkningsanmälan</t>
        </is>
      </c>
      <c r="C341" t="inlineStr">
        <is>
          <t>Föryngringsavverkning</t>
        </is>
      </c>
      <c r="D341" s="1" t="n">
        <v>45951</v>
      </c>
      <c r="E341" s="1" t="n">
        <v>46219</v>
      </c>
      <c r="F341" t="inlineStr">
        <is>
          <t>NORRBOTTENS LÄN</t>
        </is>
      </c>
      <c r="G341" t="inlineStr">
        <is>
          <t>PITEÅ</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29418-2026</t>
        </is>
      </c>
      <c r="B342" t="inlineStr">
        <is>
          <t>avverkningsanmälan</t>
        </is>
      </c>
      <c r="C342" t="inlineStr">
        <is>
          <t>Föryngringsavverkning</t>
        </is>
      </c>
      <c r="D342" s="1" t="n">
        <v>46203</v>
      </c>
      <c r="E342" s="1" t="n">
        <v>46219</v>
      </c>
      <c r="F342" t="inlineStr">
        <is>
          <t>NORRBOTTENS LÄN</t>
        </is>
      </c>
      <c r="G342" t="inlineStr">
        <is>
          <t>PITEÅ</t>
        </is>
      </c>
      <c r="I342" t="n">
        <v>5.2</v>
      </c>
      <c r="J342" t="n">
        <v>0</v>
      </c>
      <c r="K342" t="n">
        <v>0</v>
      </c>
      <c r="L342" t="n">
        <v>0</v>
      </c>
      <c r="M342" t="n">
        <v>0</v>
      </c>
      <c r="N342" t="n">
        <v>0</v>
      </c>
      <c r="O342" t="n">
        <v>0</v>
      </c>
      <c r="P342" t="n">
        <v>0</v>
      </c>
      <c r="Q342" t="n">
        <v>0</v>
      </c>
      <c r="R342" t="n">
        <v>0</v>
      </c>
      <c r="S342" t="n">
        <v>0</v>
      </c>
      <c r="T342" t="n">
        <v>0</v>
      </c>
      <c r="U342" s="2" t="inlineStr"/>
    </row>
    <row r="343" ht="15" customHeight="1">
      <c r="A343" t="inlineStr">
        <is>
          <t>A 11964-2024</t>
        </is>
      </c>
      <c r="B343" t="inlineStr">
        <is>
          <t>avverkningsanmälan</t>
        </is>
      </c>
      <c r="C343" t="inlineStr">
        <is>
          <t>Föryngringsavverkning</t>
        </is>
      </c>
      <c r="D343" s="1" t="n">
        <v>45376</v>
      </c>
      <c r="E343" s="1" t="n">
        <v>46219</v>
      </c>
      <c r="F343" t="inlineStr">
        <is>
          <t>NORRBOTTENS LÄN</t>
        </is>
      </c>
      <c r="G343" t="inlineStr">
        <is>
          <t>PITEÅ</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52414-2025</t>
        </is>
      </c>
      <c r="B344" t="inlineStr">
        <is>
          <t>avverkningsanmälan</t>
        </is>
      </c>
      <c r="C344" t="inlineStr">
        <is>
          <t>Avverkning för annat ändamål</t>
        </is>
      </c>
      <c r="D344" s="1" t="n">
        <v>45952</v>
      </c>
      <c r="E344" s="1" t="n">
        <v>46219</v>
      </c>
      <c r="F344" t="inlineStr">
        <is>
          <t>NORRBOTTENS LÄN</t>
        </is>
      </c>
      <c r="G344" t="inlineStr">
        <is>
          <t>PITEÅ</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29420-2026</t>
        </is>
      </c>
      <c r="B345" t="inlineStr">
        <is>
          <t>avverkningsanmälan</t>
        </is>
      </c>
      <c r="C345" t="inlineStr">
        <is>
          <t>Föryngringsavverkning</t>
        </is>
      </c>
      <c r="D345" s="1" t="n">
        <v>46203</v>
      </c>
      <c r="E345" s="1" t="n">
        <v>46219</v>
      </c>
      <c r="F345" t="inlineStr">
        <is>
          <t>NORRBOTTENS LÄN</t>
        </is>
      </c>
      <c r="G345" t="inlineStr">
        <is>
          <t>PITEÅ</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52435-2025</t>
        </is>
      </c>
      <c r="B346" t="inlineStr">
        <is>
          <t>avverkningsanmälan</t>
        </is>
      </c>
      <c r="C346" t="inlineStr">
        <is>
          <t>Avverkning för annat ändamål</t>
        </is>
      </c>
      <c r="D346" s="1" t="n">
        <v>45952</v>
      </c>
      <c r="E346" s="1" t="n">
        <v>46219</v>
      </c>
      <c r="F346" t="inlineStr">
        <is>
          <t>NORRBOTTENS LÄN</t>
        </is>
      </c>
      <c r="G346" t="inlineStr">
        <is>
          <t>PITEÅ</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52349-2025</t>
        </is>
      </c>
      <c r="B347" t="inlineStr">
        <is>
          <t>avverkningsanmälan</t>
        </is>
      </c>
      <c r="C347" t="inlineStr">
        <is>
          <t>Föryngringsavverkning</t>
        </is>
      </c>
      <c r="D347" s="1" t="n">
        <v>45953</v>
      </c>
      <c r="E347" s="1" t="n">
        <v>46219</v>
      </c>
      <c r="F347" t="inlineStr">
        <is>
          <t>NORRBOTTENS LÄN</t>
        </is>
      </c>
      <c r="G347" t="inlineStr">
        <is>
          <t>PITEÅ</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58993-2025</t>
        </is>
      </c>
      <c r="B348" t="inlineStr">
        <is>
          <t>avverkningsanmälan</t>
        </is>
      </c>
      <c r="C348" t="inlineStr">
        <is>
          <t>Föryngringsavverkning</t>
        </is>
      </c>
      <c r="D348" s="1" t="n">
        <v>45987</v>
      </c>
      <c r="E348" s="1" t="n">
        <v>46219</v>
      </c>
      <c r="F348" t="inlineStr">
        <is>
          <t>NORRBOTTENS LÄN</t>
        </is>
      </c>
      <c r="G348" t="inlineStr">
        <is>
          <t>PITEÅ</t>
        </is>
      </c>
      <c r="I348" t="n">
        <v>7.9</v>
      </c>
      <c r="J348" t="n">
        <v>0</v>
      </c>
      <c r="K348" t="n">
        <v>0</v>
      </c>
      <c r="L348" t="n">
        <v>0</v>
      </c>
      <c r="M348" t="n">
        <v>0</v>
      </c>
      <c r="N348" t="n">
        <v>0</v>
      </c>
      <c r="O348" t="n">
        <v>0</v>
      </c>
      <c r="P348" t="n">
        <v>0</v>
      </c>
      <c r="Q348" t="n">
        <v>0</v>
      </c>
      <c r="R348" t="n">
        <v>0</v>
      </c>
      <c r="S348" t="n">
        <v>0</v>
      </c>
      <c r="T348" t="n">
        <v>0</v>
      </c>
      <c r="U348" s="2" t="inlineStr"/>
    </row>
    <row r="349" ht="15" customHeight="1">
      <c r="A349" t="inlineStr">
        <is>
          <t>A 56312-2022</t>
        </is>
      </c>
      <c r="B349" t="inlineStr">
        <is>
          <t>avverkningsanmälan</t>
        </is>
      </c>
      <c r="C349" t="inlineStr">
        <is>
          <t>Föryngringsavverkning</t>
        </is>
      </c>
      <c r="D349" s="1" t="n">
        <v>44890</v>
      </c>
      <c r="E349" s="1" t="n">
        <v>46219</v>
      </c>
      <c r="F349" t="inlineStr">
        <is>
          <t>NORRBOTTENS LÄN</t>
        </is>
      </c>
      <c r="G349" t="inlineStr">
        <is>
          <t>PITEÅ</t>
        </is>
      </c>
      <c r="I349" t="n">
        <v>4.4</v>
      </c>
      <c r="J349" t="n">
        <v>0</v>
      </c>
      <c r="K349" t="n">
        <v>0</v>
      </c>
      <c r="L349" t="n">
        <v>0</v>
      </c>
      <c r="M349" t="n">
        <v>0</v>
      </c>
      <c r="N349" t="n">
        <v>0</v>
      </c>
      <c r="O349" t="n">
        <v>0</v>
      </c>
      <c r="P349" t="n">
        <v>0</v>
      </c>
      <c r="Q349" t="n">
        <v>0</v>
      </c>
      <c r="R349" t="n">
        <v>0</v>
      </c>
      <c r="S349" t="n">
        <v>0</v>
      </c>
      <c r="T349" t="n">
        <v>0</v>
      </c>
      <c r="U349" s="2" t="inlineStr"/>
    </row>
    <row r="350" ht="15" customHeight="1">
      <c r="A350" t="inlineStr">
        <is>
          <t>A 29495-2026</t>
        </is>
      </c>
      <c r="B350" t="inlineStr">
        <is>
          <t>avverkningsanmälan</t>
        </is>
      </c>
      <c r="C350" t="inlineStr">
        <is>
          <t>Föryngringsavverkning</t>
        </is>
      </c>
      <c r="D350" s="1" t="n">
        <v>46203</v>
      </c>
      <c r="E350" s="1" t="n">
        <v>46219</v>
      </c>
      <c r="F350" t="inlineStr">
        <is>
          <t>NORRBOTTENS LÄN</t>
        </is>
      </c>
      <c r="G350" t="inlineStr">
        <is>
          <t>PITEÅ</t>
        </is>
      </c>
      <c r="H350" t="inlineStr">
        <is>
          <t>Sveaskog</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25930-2023</t>
        </is>
      </c>
      <c r="B351" t="inlineStr">
        <is>
          <t>avverkningsanmälan</t>
        </is>
      </c>
      <c r="C351" t="inlineStr">
        <is>
          <t>Föryngringsavverkning</t>
        </is>
      </c>
      <c r="D351" s="1" t="n">
        <v>45090</v>
      </c>
      <c r="E351" s="1" t="n">
        <v>46219</v>
      </c>
      <c r="F351" t="inlineStr">
        <is>
          <t>NORRBOTTENS LÄN</t>
        </is>
      </c>
      <c r="G351" t="inlineStr">
        <is>
          <t>PITEÅ</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23369-2026</t>
        </is>
      </c>
      <c r="B352" t="inlineStr">
        <is>
          <t>avverkningsanmälan</t>
        </is>
      </c>
      <c r="C352" t="inlineStr">
        <is>
          <t>Föryngringsavverkning</t>
        </is>
      </c>
      <c r="D352" s="1" t="n">
        <v>46162</v>
      </c>
      <c r="E352" s="1" t="n">
        <v>46219</v>
      </c>
      <c r="F352" t="inlineStr">
        <is>
          <t>NORRBOTTENS LÄN</t>
        </is>
      </c>
      <c r="G352" t="inlineStr">
        <is>
          <t>PITEÅ</t>
        </is>
      </c>
      <c r="I352" t="n">
        <v>5.4</v>
      </c>
      <c r="J352" t="n">
        <v>0</v>
      </c>
      <c r="K352" t="n">
        <v>0</v>
      </c>
      <c r="L352" t="n">
        <v>0</v>
      </c>
      <c r="M352" t="n">
        <v>0</v>
      </c>
      <c r="N352" t="n">
        <v>0</v>
      </c>
      <c r="O352" t="n">
        <v>0</v>
      </c>
      <c r="P352" t="n">
        <v>0</v>
      </c>
      <c r="Q352" t="n">
        <v>0</v>
      </c>
      <c r="R352" t="n">
        <v>0</v>
      </c>
      <c r="S352" t="n">
        <v>0</v>
      </c>
      <c r="T352" t="n">
        <v>0</v>
      </c>
      <c r="U352" s="2" t="inlineStr"/>
    </row>
    <row r="353" ht="15" customHeight="1">
      <c r="A353" t="inlineStr">
        <is>
          <t>A 23030-2026</t>
        </is>
      </c>
      <c r="B353" t="inlineStr">
        <is>
          <t>avverkningsanmälan</t>
        </is>
      </c>
      <c r="C353" t="inlineStr">
        <is>
          <t>Föryngringsavverkning</t>
        </is>
      </c>
      <c r="D353" s="1" t="n">
        <v>46161</v>
      </c>
      <c r="E353" s="1" t="n">
        <v>46219</v>
      </c>
      <c r="F353" t="inlineStr">
        <is>
          <t>NORRBOTTENS LÄN</t>
        </is>
      </c>
      <c r="G353" t="inlineStr">
        <is>
          <t>PITEÅ</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64972-2023</t>
        </is>
      </c>
      <c r="B354" t="inlineStr">
        <is>
          <t>avverkningsanmälan</t>
        </is>
      </c>
      <c r="C354" t="inlineStr">
        <is>
          <t>Föryngringsavverkning</t>
        </is>
      </c>
      <c r="D354" s="1" t="n">
        <v>45285</v>
      </c>
      <c r="E354" s="1" t="n">
        <v>46219</v>
      </c>
      <c r="F354" t="inlineStr">
        <is>
          <t>NORRBOTTENS LÄN</t>
        </is>
      </c>
      <c r="G354" t="inlineStr">
        <is>
          <t>PITEÅ</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2452-2024</t>
        </is>
      </c>
      <c r="B355" t="inlineStr">
        <is>
          <t>avverkningsanmälan</t>
        </is>
      </c>
      <c r="C355" t="inlineStr">
        <is>
          <t>Föryngringsavverkning</t>
        </is>
      </c>
      <c r="D355" s="1" t="n">
        <v>45312</v>
      </c>
      <c r="E355" s="1" t="n">
        <v>46219</v>
      </c>
      <c r="F355" t="inlineStr">
        <is>
          <t>NORRBOTTENS LÄN</t>
        </is>
      </c>
      <c r="G355" t="inlineStr">
        <is>
          <t>PITEÅ</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23371-2026</t>
        </is>
      </c>
      <c r="B356" t="inlineStr">
        <is>
          <t>avverkningsanmälan</t>
        </is>
      </c>
      <c r="C356" t="inlineStr">
        <is>
          <t>Föryngringsavverkning</t>
        </is>
      </c>
      <c r="D356" s="1" t="n">
        <v>46162</v>
      </c>
      <c r="E356" s="1" t="n">
        <v>46219</v>
      </c>
      <c r="F356" t="inlineStr">
        <is>
          <t>NORRBOTTENS LÄN</t>
        </is>
      </c>
      <c r="G356" t="inlineStr">
        <is>
          <t>PITEÅ</t>
        </is>
      </c>
      <c r="I356" t="n">
        <v>5.8</v>
      </c>
      <c r="J356" t="n">
        <v>0</v>
      </c>
      <c r="K356" t="n">
        <v>0</v>
      </c>
      <c r="L356" t="n">
        <v>0</v>
      </c>
      <c r="M356" t="n">
        <v>0</v>
      </c>
      <c r="N356" t="n">
        <v>0</v>
      </c>
      <c r="O356" t="n">
        <v>0</v>
      </c>
      <c r="P356" t="n">
        <v>0</v>
      </c>
      <c r="Q356" t="n">
        <v>0</v>
      </c>
      <c r="R356" t="n">
        <v>0</v>
      </c>
      <c r="S356" t="n">
        <v>0</v>
      </c>
      <c r="T356" t="n">
        <v>0</v>
      </c>
      <c r="U356" s="2" t="inlineStr"/>
    </row>
    <row r="357" ht="15" customHeight="1">
      <c r="A357" t="inlineStr">
        <is>
          <t>A 52648-2025</t>
        </is>
      </c>
      <c r="B357" t="inlineStr">
        <is>
          <t>avverkningsanmälan</t>
        </is>
      </c>
      <c r="C357" t="inlineStr">
        <is>
          <t>Föryngringsavverkning</t>
        </is>
      </c>
      <c r="D357" s="1" t="n">
        <v>45955</v>
      </c>
      <c r="E357" s="1" t="n">
        <v>46219</v>
      </c>
      <c r="F357" t="inlineStr">
        <is>
          <t>NORRBOTTENS LÄN</t>
        </is>
      </c>
      <c r="G357" t="inlineStr">
        <is>
          <t>PITEÅ</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52650-2025</t>
        </is>
      </c>
      <c r="B358" t="inlineStr">
        <is>
          <t>avverkningsanmälan</t>
        </is>
      </c>
      <c r="C358" t="inlineStr">
        <is>
          <t>Föryngringsavverkning</t>
        </is>
      </c>
      <c r="D358" s="1" t="n">
        <v>45955</v>
      </c>
      <c r="E358" s="1" t="n">
        <v>46219</v>
      </c>
      <c r="F358" t="inlineStr">
        <is>
          <t>NORRBOTTENS LÄN</t>
        </is>
      </c>
      <c r="G358" t="inlineStr">
        <is>
          <t>PITEÅ</t>
        </is>
      </c>
      <c r="I358" t="n">
        <v>3.1</v>
      </c>
      <c r="J358" t="n">
        <v>0</v>
      </c>
      <c r="K358" t="n">
        <v>0</v>
      </c>
      <c r="L358" t="n">
        <v>0</v>
      </c>
      <c r="M358" t="n">
        <v>0</v>
      </c>
      <c r="N358" t="n">
        <v>0</v>
      </c>
      <c r="O358" t="n">
        <v>0</v>
      </c>
      <c r="P358" t="n">
        <v>0</v>
      </c>
      <c r="Q358" t="n">
        <v>0</v>
      </c>
      <c r="R358" t="n">
        <v>0</v>
      </c>
      <c r="S358" t="n">
        <v>0</v>
      </c>
      <c r="T358" t="n">
        <v>0</v>
      </c>
      <c r="U358" s="2" t="inlineStr"/>
    </row>
    <row r="359" ht="15" customHeight="1">
      <c r="A359" t="inlineStr">
        <is>
          <t>A 52652-2025</t>
        </is>
      </c>
      <c r="B359" t="inlineStr">
        <is>
          <t>avverkningsanmälan</t>
        </is>
      </c>
      <c r="C359" t="inlineStr">
        <is>
          <t>Föryngringsavverkning</t>
        </is>
      </c>
      <c r="D359" s="1" t="n">
        <v>45955</v>
      </c>
      <c r="E359" s="1" t="n">
        <v>46219</v>
      </c>
      <c r="F359" t="inlineStr">
        <is>
          <t>NORRBOTTENS LÄN</t>
        </is>
      </c>
      <c r="G359" t="inlineStr">
        <is>
          <t>PITEÅ</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52656-2025</t>
        </is>
      </c>
      <c r="B360" t="inlineStr">
        <is>
          <t>avverkningsanmälan</t>
        </is>
      </c>
      <c r="C360" t="inlineStr">
        <is>
          <t>Föryngringsavverkning</t>
        </is>
      </c>
      <c r="D360" s="1" t="n">
        <v>45955</v>
      </c>
      <c r="E360" s="1" t="n">
        <v>46219</v>
      </c>
      <c r="F360" t="inlineStr">
        <is>
          <t>NORRBOTTENS LÄN</t>
        </is>
      </c>
      <c r="G360" t="inlineStr">
        <is>
          <t>PITEÅ</t>
        </is>
      </c>
      <c r="I360" t="n">
        <v>6.3</v>
      </c>
      <c r="J360" t="n">
        <v>0</v>
      </c>
      <c r="K360" t="n">
        <v>0</v>
      </c>
      <c r="L360" t="n">
        <v>0</v>
      </c>
      <c r="M360" t="n">
        <v>0</v>
      </c>
      <c r="N360" t="n">
        <v>0</v>
      </c>
      <c r="O360" t="n">
        <v>0</v>
      </c>
      <c r="P360" t="n">
        <v>0</v>
      </c>
      <c r="Q360" t="n">
        <v>0</v>
      </c>
      <c r="R360" t="n">
        <v>0</v>
      </c>
      <c r="S360" t="n">
        <v>0</v>
      </c>
      <c r="T360" t="n">
        <v>0</v>
      </c>
      <c r="U360" s="2" t="inlineStr"/>
    </row>
    <row r="361" ht="15" customHeight="1">
      <c r="A361" t="inlineStr">
        <is>
          <t>A 29498-2026</t>
        </is>
      </c>
      <c r="B361" t="inlineStr">
        <is>
          <t>avverkningsanmälan</t>
        </is>
      </c>
      <c r="C361" t="inlineStr">
        <is>
          <t>Föryngringsavverkning</t>
        </is>
      </c>
      <c r="D361" s="1" t="n">
        <v>46203</v>
      </c>
      <c r="E361" s="1" t="n">
        <v>46219</v>
      </c>
      <c r="F361" t="inlineStr">
        <is>
          <t>NORRBOTTENS LÄN</t>
        </is>
      </c>
      <c r="G361" t="inlineStr">
        <is>
          <t>PITEÅ</t>
        </is>
      </c>
      <c r="I361" t="n">
        <v>8.6</v>
      </c>
      <c r="J361" t="n">
        <v>0</v>
      </c>
      <c r="K361" t="n">
        <v>0</v>
      </c>
      <c r="L361" t="n">
        <v>0</v>
      </c>
      <c r="M361" t="n">
        <v>0</v>
      </c>
      <c r="N361" t="n">
        <v>0</v>
      </c>
      <c r="O361" t="n">
        <v>0</v>
      </c>
      <c r="P361" t="n">
        <v>0</v>
      </c>
      <c r="Q361" t="n">
        <v>0</v>
      </c>
      <c r="R361" t="n">
        <v>0</v>
      </c>
      <c r="S361" t="n">
        <v>0</v>
      </c>
      <c r="T361" t="n">
        <v>0</v>
      </c>
      <c r="U361" s="2" t="inlineStr"/>
    </row>
    <row r="362" ht="15" customHeight="1">
      <c r="A362" t="inlineStr">
        <is>
          <t>A 52679-2025</t>
        </is>
      </c>
      <c r="B362" t="inlineStr">
        <is>
          <t>avverkningsanmälan</t>
        </is>
      </c>
      <c r="C362" t="inlineStr">
        <is>
          <t>Föryngringsavverkning</t>
        </is>
      </c>
      <c r="D362" s="1" t="n">
        <v>45956</v>
      </c>
      <c r="E362" s="1" t="n">
        <v>46219</v>
      </c>
      <c r="F362" t="inlineStr">
        <is>
          <t>NORRBOTTENS LÄN</t>
        </is>
      </c>
      <c r="G362" t="inlineStr">
        <is>
          <t>PITEÅ</t>
        </is>
      </c>
      <c r="H362" t="inlineStr">
        <is>
          <t>SCA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52955-2025</t>
        </is>
      </c>
      <c r="B363" t="inlineStr">
        <is>
          <t>avverkningsanmälan</t>
        </is>
      </c>
      <c r="C363" t="inlineStr">
        <is>
          <t>Föryngringsavverkning</t>
        </is>
      </c>
      <c r="D363" s="1" t="n">
        <v>45957</v>
      </c>
      <c r="E363" s="1" t="n">
        <v>46219</v>
      </c>
      <c r="F363" t="inlineStr">
        <is>
          <t>NORRBOTTENS LÄN</t>
        </is>
      </c>
      <c r="G363" t="inlineStr">
        <is>
          <t>PITEÅ</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52954-2025</t>
        </is>
      </c>
      <c r="B364" t="inlineStr">
        <is>
          <t>avverkningsanmälan</t>
        </is>
      </c>
      <c r="C364" t="inlineStr">
        <is>
          <t>Föryngringsavverkning</t>
        </is>
      </c>
      <c r="D364" s="1" t="n">
        <v>45957</v>
      </c>
      <c r="E364" s="1" t="n">
        <v>46219</v>
      </c>
      <c r="F364" t="inlineStr">
        <is>
          <t>NORRBOTTENS LÄN</t>
        </is>
      </c>
      <c r="G364" t="inlineStr">
        <is>
          <t>PITEÅ</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23700-2026</t>
        </is>
      </c>
      <c r="B365" t="inlineStr">
        <is>
          <t>avverkningsanmälan</t>
        </is>
      </c>
      <c r="C365" t="inlineStr">
        <is>
          <t>Föryngringsavverkning</t>
        </is>
      </c>
      <c r="D365" s="1" t="n">
        <v>46164</v>
      </c>
      <c r="E365" s="1" t="n">
        <v>46219</v>
      </c>
      <c r="F365" t="inlineStr">
        <is>
          <t>NORRBOTTENS LÄN</t>
        </is>
      </c>
      <c r="G365" t="inlineStr">
        <is>
          <t>PITEÅ</t>
        </is>
      </c>
      <c r="I365" t="n">
        <v>16.4</v>
      </c>
      <c r="J365" t="n">
        <v>0</v>
      </c>
      <c r="K365" t="n">
        <v>0</v>
      </c>
      <c r="L365" t="n">
        <v>0</v>
      </c>
      <c r="M365" t="n">
        <v>0</v>
      </c>
      <c r="N365" t="n">
        <v>0</v>
      </c>
      <c r="O365" t="n">
        <v>0</v>
      </c>
      <c r="P365" t="n">
        <v>0</v>
      </c>
      <c r="Q365" t="n">
        <v>0</v>
      </c>
      <c r="R365" t="n">
        <v>0</v>
      </c>
      <c r="S365" t="n">
        <v>0</v>
      </c>
      <c r="T365" t="n">
        <v>0</v>
      </c>
      <c r="U365" s="2" t="inlineStr"/>
    </row>
    <row r="366" ht="15" customHeight="1">
      <c r="A366" t="inlineStr">
        <is>
          <t>A 53652-2025</t>
        </is>
      </c>
      <c r="B366" t="inlineStr">
        <is>
          <t>avverkningsanmälan</t>
        </is>
      </c>
      <c r="C366" t="inlineStr">
        <is>
          <t>Föryngringsavverkning</t>
        </is>
      </c>
      <c r="D366" s="1" t="n">
        <v>45960</v>
      </c>
      <c r="E366" s="1" t="n">
        <v>46219</v>
      </c>
      <c r="F366" t="inlineStr">
        <is>
          <t>NORRBOTTENS LÄN</t>
        </is>
      </c>
      <c r="G366" t="inlineStr">
        <is>
          <t>PITEÅ</t>
        </is>
      </c>
      <c r="I366" t="n">
        <v>8.1</v>
      </c>
      <c r="J366" t="n">
        <v>0</v>
      </c>
      <c r="K366" t="n">
        <v>0</v>
      </c>
      <c r="L366" t="n">
        <v>0</v>
      </c>
      <c r="M366" t="n">
        <v>0</v>
      </c>
      <c r="N366" t="n">
        <v>0</v>
      </c>
      <c r="O366" t="n">
        <v>0</v>
      </c>
      <c r="P366" t="n">
        <v>0</v>
      </c>
      <c r="Q366" t="n">
        <v>0</v>
      </c>
      <c r="R366" t="n">
        <v>0</v>
      </c>
      <c r="S366" t="n">
        <v>0</v>
      </c>
      <c r="T366" t="n">
        <v>0</v>
      </c>
      <c r="U366" s="2" t="inlineStr"/>
    </row>
    <row r="367" ht="15" customHeight="1">
      <c r="A367" t="inlineStr">
        <is>
          <t>A 53663-2025</t>
        </is>
      </c>
      <c r="B367" t="inlineStr">
        <is>
          <t>avverkningsanmälan</t>
        </is>
      </c>
      <c r="C367" t="inlineStr">
        <is>
          <t>Föryngringsavverkning</t>
        </is>
      </c>
      <c r="D367" s="1" t="n">
        <v>45960</v>
      </c>
      <c r="E367" s="1" t="n">
        <v>46219</v>
      </c>
      <c r="F367" t="inlineStr">
        <is>
          <t>NORRBOTTENS LÄN</t>
        </is>
      </c>
      <c r="G367" t="inlineStr">
        <is>
          <t>PITEÅ</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53685-2025</t>
        </is>
      </c>
      <c r="B368" t="inlineStr">
        <is>
          <t>avverkningsanmälan</t>
        </is>
      </c>
      <c r="C368" t="inlineStr">
        <is>
          <t>Föryngringsavverkning</t>
        </is>
      </c>
      <c r="D368" s="1" t="n">
        <v>45960</v>
      </c>
      <c r="E368" s="1" t="n">
        <v>46219</v>
      </c>
      <c r="F368" t="inlineStr">
        <is>
          <t>NORRBOTTENS LÄN</t>
        </is>
      </c>
      <c r="G368" t="inlineStr">
        <is>
          <t>PITEÅ</t>
        </is>
      </c>
      <c r="I368" t="n">
        <v>6.4</v>
      </c>
      <c r="J368" t="n">
        <v>0</v>
      </c>
      <c r="K368" t="n">
        <v>0</v>
      </c>
      <c r="L368" t="n">
        <v>0</v>
      </c>
      <c r="M368" t="n">
        <v>0</v>
      </c>
      <c r="N368" t="n">
        <v>0</v>
      </c>
      <c r="O368" t="n">
        <v>0</v>
      </c>
      <c r="P368" t="n">
        <v>0</v>
      </c>
      <c r="Q368" t="n">
        <v>0</v>
      </c>
      <c r="R368" t="n">
        <v>0</v>
      </c>
      <c r="S368" t="n">
        <v>0</v>
      </c>
      <c r="T368" t="n">
        <v>0</v>
      </c>
      <c r="U368" s="2" t="inlineStr"/>
    </row>
    <row r="369" ht="15" customHeight="1">
      <c r="A369" t="inlineStr">
        <is>
          <t>A 32371-2023</t>
        </is>
      </c>
      <c r="B369" t="inlineStr">
        <is>
          <t>avverkningsanmälan</t>
        </is>
      </c>
      <c r="C369" t="inlineStr">
        <is>
          <t>Föryngringsavverkning</t>
        </is>
      </c>
      <c r="D369" s="1" t="n">
        <v>45110</v>
      </c>
      <c r="E369" s="1" t="n">
        <v>46219</v>
      </c>
      <c r="F369" t="inlineStr">
        <is>
          <t>NORRBOTTENS LÄN</t>
        </is>
      </c>
      <c r="G369" t="inlineStr">
        <is>
          <t>PITEÅ</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53700-2025</t>
        </is>
      </c>
      <c r="B370" t="inlineStr">
        <is>
          <t>avverkningsanmälan</t>
        </is>
      </c>
      <c r="C370" t="inlineStr">
        <is>
          <t>Föryngringsavverkning</t>
        </is>
      </c>
      <c r="D370" s="1" t="n">
        <v>45960</v>
      </c>
      <c r="E370" s="1" t="n">
        <v>46219</v>
      </c>
      <c r="F370" t="inlineStr">
        <is>
          <t>NORRBOTTENS LÄN</t>
        </is>
      </c>
      <c r="G370" t="inlineStr">
        <is>
          <t>PITEÅ</t>
        </is>
      </c>
      <c r="I370" t="n">
        <v>5.6</v>
      </c>
      <c r="J370" t="n">
        <v>0</v>
      </c>
      <c r="K370" t="n">
        <v>0</v>
      </c>
      <c r="L370" t="n">
        <v>0</v>
      </c>
      <c r="M370" t="n">
        <v>0</v>
      </c>
      <c r="N370" t="n">
        <v>0</v>
      </c>
      <c r="O370" t="n">
        <v>0</v>
      </c>
      <c r="P370" t="n">
        <v>0</v>
      </c>
      <c r="Q370" t="n">
        <v>0</v>
      </c>
      <c r="R370" t="n">
        <v>0</v>
      </c>
      <c r="S370" t="n">
        <v>0</v>
      </c>
      <c r="T370" t="n">
        <v>0</v>
      </c>
      <c r="U370" s="2" t="inlineStr"/>
    </row>
    <row r="371" ht="15" customHeight="1">
      <c r="A371" t="inlineStr">
        <is>
          <t>A 53578-2025</t>
        </is>
      </c>
      <c r="B371" t="inlineStr">
        <is>
          <t>avverkningsanmälan</t>
        </is>
      </c>
      <c r="C371" t="inlineStr">
        <is>
          <t>Föryngringsavverkning</t>
        </is>
      </c>
      <c r="D371" s="1" t="n">
        <v>45960</v>
      </c>
      <c r="E371" s="1" t="n">
        <v>46219</v>
      </c>
      <c r="F371" t="inlineStr">
        <is>
          <t>NORRBOTTENS LÄN</t>
        </is>
      </c>
      <c r="G371" t="inlineStr">
        <is>
          <t>PITEÅ</t>
        </is>
      </c>
      <c r="I371" t="n">
        <v>3</v>
      </c>
      <c r="J371" t="n">
        <v>0</v>
      </c>
      <c r="K371" t="n">
        <v>0</v>
      </c>
      <c r="L371" t="n">
        <v>0</v>
      </c>
      <c r="M371" t="n">
        <v>0</v>
      </c>
      <c r="N371" t="n">
        <v>0</v>
      </c>
      <c r="O371" t="n">
        <v>0</v>
      </c>
      <c r="P371" t="n">
        <v>0</v>
      </c>
      <c r="Q371" t="n">
        <v>0</v>
      </c>
      <c r="R371" t="n">
        <v>0</v>
      </c>
      <c r="S371" t="n">
        <v>0</v>
      </c>
      <c r="T371" t="n">
        <v>0</v>
      </c>
      <c r="U371" s="2" t="inlineStr"/>
    </row>
    <row r="372" ht="15" customHeight="1">
      <c r="A372" t="inlineStr">
        <is>
          <t>A 29947-2026</t>
        </is>
      </c>
      <c r="B372" t="inlineStr">
        <is>
          <t>avverkningsanmälan</t>
        </is>
      </c>
      <c r="C372" t="inlineStr">
        <is>
          <t>Föryngringsavverkning</t>
        </is>
      </c>
      <c r="D372" s="1" t="n">
        <v>46205</v>
      </c>
      <c r="E372" s="1" t="n">
        <v>46219</v>
      </c>
      <c r="F372" t="inlineStr">
        <is>
          <t>NORRBOTTENS LÄN</t>
        </is>
      </c>
      <c r="G372" t="inlineStr">
        <is>
          <t>PITEÅ</t>
        </is>
      </c>
      <c r="H372" t="inlineStr">
        <is>
          <t>SCA</t>
        </is>
      </c>
      <c r="I372" t="n">
        <v>9.1</v>
      </c>
      <c r="J372" t="n">
        <v>0</v>
      </c>
      <c r="K372" t="n">
        <v>0</v>
      </c>
      <c r="L372" t="n">
        <v>0</v>
      </c>
      <c r="M372" t="n">
        <v>0</v>
      </c>
      <c r="N372" t="n">
        <v>0</v>
      </c>
      <c r="O372" t="n">
        <v>0</v>
      </c>
      <c r="P372" t="n">
        <v>0</v>
      </c>
      <c r="Q372" t="n">
        <v>0</v>
      </c>
      <c r="R372" t="n">
        <v>0</v>
      </c>
      <c r="S372" t="n">
        <v>0</v>
      </c>
      <c r="T372" t="n">
        <v>0</v>
      </c>
      <c r="U372" s="2" t="inlineStr"/>
    </row>
    <row r="373" ht="15" customHeight="1">
      <c r="A373" t="inlineStr">
        <is>
          <t>A 39560-2023</t>
        </is>
      </c>
      <c r="B373" t="inlineStr">
        <is>
          <t>avverkningsanmälan</t>
        </is>
      </c>
      <c r="C373" t="inlineStr">
        <is>
          <t>Föryngringsavverkning</t>
        </is>
      </c>
      <c r="D373" s="1" t="n">
        <v>45167</v>
      </c>
      <c r="E373" s="1" t="n">
        <v>46219</v>
      </c>
      <c r="F373" t="inlineStr">
        <is>
          <t>NORRBOTTENS LÄN</t>
        </is>
      </c>
      <c r="G373" t="inlineStr">
        <is>
          <t>PITEÅ</t>
        </is>
      </c>
      <c r="H373" t="inlineStr">
        <is>
          <t>Sveaskog</t>
        </is>
      </c>
      <c r="I373" t="n">
        <v>4.6</v>
      </c>
      <c r="J373" t="n">
        <v>0</v>
      </c>
      <c r="K373" t="n">
        <v>0</v>
      </c>
      <c r="L373" t="n">
        <v>0</v>
      </c>
      <c r="M373" t="n">
        <v>0</v>
      </c>
      <c r="N373" t="n">
        <v>0</v>
      </c>
      <c r="O373" t="n">
        <v>0</v>
      </c>
      <c r="P373" t="n">
        <v>0</v>
      </c>
      <c r="Q373" t="n">
        <v>0</v>
      </c>
      <c r="R373" t="n">
        <v>0</v>
      </c>
      <c r="S373" t="n">
        <v>0</v>
      </c>
      <c r="T373" t="n">
        <v>0</v>
      </c>
      <c r="U373" s="2" t="inlineStr"/>
    </row>
    <row r="374" ht="15" customHeight="1">
      <c r="A374" t="inlineStr">
        <is>
          <t>A 53464-2025</t>
        </is>
      </c>
      <c r="B374" t="inlineStr">
        <is>
          <t>avverkningsanmälan</t>
        </is>
      </c>
      <c r="C374" t="inlineStr">
        <is>
          <t>Föryngringsavverkning</t>
        </is>
      </c>
      <c r="D374" s="1" t="n">
        <v>45959</v>
      </c>
      <c r="E374" s="1" t="n">
        <v>46219</v>
      </c>
      <c r="F374" t="inlineStr">
        <is>
          <t>NORRBOTTENS LÄN</t>
        </is>
      </c>
      <c r="G374" t="inlineStr">
        <is>
          <t>PITEÅ</t>
        </is>
      </c>
      <c r="H374" t="inlineStr">
        <is>
          <t>Övriga Aktiebolag</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44082-2023</t>
        </is>
      </c>
      <c r="B375" t="inlineStr">
        <is>
          <t>avverkningsanmälan</t>
        </is>
      </c>
      <c r="C375" t="inlineStr">
        <is>
          <t>Föryngringsavverkning</t>
        </is>
      </c>
      <c r="D375" s="1" t="n">
        <v>45188</v>
      </c>
      <c r="E375" s="1" t="n">
        <v>46219</v>
      </c>
      <c r="F375" t="inlineStr">
        <is>
          <t>NORRBOTTENS LÄN</t>
        </is>
      </c>
      <c r="G375" t="inlineStr">
        <is>
          <t>PITEÅ</t>
        </is>
      </c>
      <c r="H375" t="inlineStr">
        <is>
          <t>Sveaskog</t>
        </is>
      </c>
      <c r="I375" t="n">
        <v>11.1</v>
      </c>
      <c r="J375" t="n">
        <v>0</v>
      </c>
      <c r="K375" t="n">
        <v>0</v>
      </c>
      <c r="L375" t="n">
        <v>0</v>
      </c>
      <c r="M375" t="n">
        <v>0</v>
      </c>
      <c r="N375" t="n">
        <v>0</v>
      </c>
      <c r="O375" t="n">
        <v>0</v>
      </c>
      <c r="P375" t="n">
        <v>0</v>
      </c>
      <c r="Q375" t="n">
        <v>0</v>
      </c>
      <c r="R375" t="n">
        <v>0</v>
      </c>
      <c r="S375" t="n">
        <v>0</v>
      </c>
      <c r="T375" t="n">
        <v>0</v>
      </c>
      <c r="U375" s="2" t="inlineStr"/>
    </row>
    <row r="376" ht="15" customHeight="1">
      <c r="A376" t="inlineStr">
        <is>
          <t>A 54104-2025</t>
        </is>
      </c>
      <c r="B376" t="inlineStr">
        <is>
          <t>avverkningsanmälan</t>
        </is>
      </c>
      <c r="C376" t="inlineStr">
        <is>
          <t>Föryngringsavverkning</t>
        </is>
      </c>
      <c r="D376" s="1" t="n">
        <v>45964</v>
      </c>
      <c r="E376" s="1" t="n">
        <v>46219</v>
      </c>
      <c r="F376" t="inlineStr">
        <is>
          <t>NORRBOTTENS LÄN</t>
        </is>
      </c>
      <c r="G376" t="inlineStr">
        <is>
          <t>PITEÅ</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7905-2024</t>
        </is>
      </c>
      <c r="B377" t="inlineStr">
        <is>
          <t>avverkningsanmälan</t>
        </is>
      </c>
      <c r="C377" t="inlineStr">
        <is>
          <t>Föryngringsavverkning</t>
        </is>
      </c>
      <c r="D377" s="1" t="n">
        <v>45350</v>
      </c>
      <c r="E377" s="1" t="n">
        <v>46219</v>
      </c>
      <c r="F377" t="inlineStr">
        <is>
          <t>NORRBOTTENS LÄN</t>
        </is>
      </c>
      <c r="G377" t="inlineStr">
        <is>
          <t>PITEÅ</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46410-2024</t>
        </is>
      </c>
      <c r="B378" t="inlineStr">
        <is>
          <t>avverkningsanmälan</t>
        </is>
      </c>
      <c r="C378" t="inlineStr">
        <is>
          <t>Föryngringsavverkning</t>
        </is>
      </c>
      <c r="D378" s="1" t="n">
        <v>45582</v>
      </c>
      <c r="E378" s="1" t="n">
        <v>46219</v>
      </c>
      <c r="F378" t="inlineStr">
        <is>
          <t>NORRBOTTENS LÄN</t>
        </is>
      </c>
      <c r="G378" t="inlineStr">
        <is>
          <t>PITEÅ</t>
        </is>
      </c>
      <c r="H378" t="inlineStr">
        <is>
          <t>Sveaskog</t>
        </is>
      </c>
      <c r="I378" t="n">
        <v>9.5</v>
      </c>
      <c r="J378" t="n">
        <v>0</v>
      </c>
      <c r="K378" t="n">
        <v>0</v>
      </c>
      <c r="L378" t="n">
        <v>0</v>
      </c>
      <c r="M378" t="n">
        <v>0</v>
      </c>
      <c r="N378" t="n">
        <v>0</v>
      </c>
      <c r="O378" t="n">
        <v>0</v>
      </c>
      <c r="P378" t="n">
        <v>0</v>
      </c>
      <c r="Q378" t="n">
        <v>0</v>
      </c>
      <c r="R378" t="n">
        <v>0</v>
      </c>
      <c r="S378" t="n">
        <v>0</v>
      </c>
      <c r="T378" t="n">
        <v>0</v>
      </c>
      <c r="U378" s="2" t="inlineStr"/>
    </row>
    <row r="379" ht="15" customHeight="1">
      <c r="A379" t="inlineStr">
        <is>
          <t>A 30295-2026</t>
        </is>
      </c>
      <c r="B379" t="inlineStr">
        <is>
          <t>avverkningsanmälan</t>
        </is>
      </c>
      <c r="C379" t="inlineStr">
        <is>
          <t>Föryngringsavverkning</t>
        </is>
      </c>
      <c r="D379" s="1" t="n">
        <v>46206</v>
      </c>
      <c r="E379" s="1" t="n">
        <v>46219</v>
      </c>
      <c r="F379" t="inlineStr">
        <is>
          <t>NORRBOTTENS LÄN</t>
        </is>
      </c>
      <c r="G379" t="inlineStr">
        <is>
          <t>PITEÅ</t>
        </is>
      </c>
      <c r="I379" t="n">
        <v>6.8</v>
      </c>
      <c r="J379" t="n">
        <v>0</v>
      </c>
      <c r="K379" t="n">
        <v>0</v>
      </c>
      <c r="L379" t="n">
        <v>0</v>
      </c>
      <c r="M379" t="n">
        <v>0</v>
      </c>
      <c r="N379" t="n">
        <v>0</v>
      </c>
      <c r="O379" t="n">
        <v>0</v>
      </c>
      <c r="P379" t="n">
        <v>0</v>
      </c>
      <c r="Q379" t="n">
        <v>0</v>
      </c>
      <c r="R379" t="n">
        <v>0</v>
      </c>
      <c r="S379" t="n">
        <v>0</v>
      </c>
      <c r="T379" t="n">
        <v>0</v>
      </c>
      <c r="U379" s="2" t="inlineStr"/>
    </row>
    <row r="380" ht="15" customHeight="1">
      <c r="A380" t="inlineStr">
        <is>
          <t>A 52655-2025</t>
        </is>
      </c>
      <c r="B380" t="inlineStr">
        <is>
          <t>avverkningsanmälan</t>
        </is>
      </c>
      <c r="C380" t="inlineStr">
        <is>
          <t>Föryngringsavverkning</t>
        </is>
      </c>
      <c r="D380" s="1" t="n">
        <v>45955</v>
      </c>
      <c r="E380" s="1" t="n">
        <v>46219</v>
      </c>
      <c r="F380" t="inlineStr">
        <is>
          <t>NORRBOTTENS LÄN</t>
        </is>
      </c>
      <c r="G380" t="inlineStr">
        <is>
          <t>PITEÅ</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56418-2024</t>
        </is>
      </c>
      <c r="B381" t="inlineStr">
        <is>
          <t>avverkningsanmälan</t>
        </is>
      </c>
      <c r="C381" t="inlineStr">
        <is>
          <t>Föryngringsavverkning</t>
        </is>
      </c>
      <c r="D381" s="1" t="n">
        <v>45625</v>
      </c>
      <c r="E381" s="1" t="n">
        <v>46219</v>
      </c>
      <c r="F381" t="inlineStr">
        <is>
          <t>NORRBOTTENS LÄN</t>
        </is>
      </c>
      <c r="G381" t="inlineStr">
        <is>
          <t>PITEÅ</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57207-2023</t>
        </is>
      </c>
      <c r="B382" t="inlineStr">
        <is>
          <t>avverkningsanmälan</t>
        </is>
      </c>
      <c r="C382" t="inlineStr">
        <is>
          <t>Föryngringsavverkning</t>
        </is>
      </c>
      <c r="D382" s="1" t="n">
        <v>45245</v>
      </c>
      <c r="E382" s="1" t="n">
        <v>46219</v>
      </c>
      <c r="F382" t="inlineStr">
        <is>
          <t>NORRBOTTENS LÄN</t>
        </is>
      </c>
      <c r="G382" t="inlineStr">
        <is>
          <t>PITEÅ</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37842-2025</t>
        </is>
      </c>
      <c r="B383" t="inlineStr">
        <is>
          <t>avverkningsanmälan</t>
        </is>
      </c>
      <c r="C383" t="inlineStr">
        <is>
          <t>Föryngringsavverkning</t>
        </is>
      </c>
      <c r="D383" s="1" t="n">
        <v>45881</v>
      </c>
      <c r="E383" s="1" t="n">
        <v>46219</v>
      </c>
      <c r="F383" t="inlineStr">
        <is>
          <t>NORRBOTTENS LÄN</t>
        </is>
      </c>
      <c r="G383" t="inlineStr">
        <is>
          <t>PITEÅ</t>
        </is>
      </c>
      <c r="I383" t="n">
        <v>13.7</v>
      </c>
      <c r="J383" t="n">
        <v>0</v>
      </c>
      <c r="K383" t="n">
        <v>0</v>
      </c>
      <c r="L383" t="n">
        <v>0</v>
      </c>
      <c r="M383" t="n">
        <v>0</v>
      </c>
      <c r="N383" t="n">
        <v>0</v>
      </c>
      <c r="O383" t="n">
        <v>0</v>
      </c>
      <c r="P383" t="n">
        <v>0</v>
      </c>
      <c r="Q383" t="n">
        <v>0</v>
      </c>
      <c r="R383" t="n">
        <v>0</v>
      </c>
      <c r="S383" t="n">
        <v>0</v>
      </c>
      <c r="T383" t="n">
        <v>0</v>
      </c>
      <c r="U383" s="2" t="inlineStr"/>
    </row>
    <row r="384" ht="15" customHeight="1">
      <c r="A384" t="inlineStr">
        <is>
          <t>A 29981-2026</t>
        </is>
      </c>
      <c r="B384" t="inlineStr">
        <is>
          <t>avverkningsanmälan</t>
        </is>
      </c>
      <c r="C384" t="inlineStr">
        <is>
          <t>Föryngringsavverkning</t>
        </is>
      </c>
      <c r="D384" s="1" t="n">
        <v>46205</v>
      </c>
      <c r="E384" s="1" t="n">
        <v>46219</v>
      </c>
      <c r="F384" t="inlineStr">
        <is>
          <t>NORRBOTTENS LÄN</t>
        </is>
      </c>
      <c r="G384" t="inlineStr">
        <is>
          <t>PITEÅ</t>
        </is>
      </c>
      <c r="H384" t="inlineStr">
        <is>
          <t>SCA</t>
        </is>
      </c>
      <c r="I384" t="n">
        <v>2.7</v>
      </c>
      <c r="J384" t="n">
        <v>0</v>
      </c>
      <c r="K384" t="n">
        <v>0</v>
      </c>
      <c r="L384" t="n">
        <v>0</v>
      </c>
      <c r="M384" t="n">
        <v>0</v>
      </c>
      <c r="N384" t="n">
        <v>0</v>
      </c>
      <c r="O384" t="n">
        <v>0</v>
      </c>
      <c r="P384" t="n">
        <v>0</v>
      </c>
      <c r="Q384" t="n">
        <v>0</v>
      </c>
      <c r="R384" t="n">
        <v>0</v>
      </c>
      <c r="S384" t="n">
        <v>0</v>
      </c>
      <c r="T384" t="n">
        <v>0</v>
      </c>
      <c r="U384" s="2" t="inlineStr"/>
    </row>
    <row r="385" ht="15" customHeight="1">
      <c r="A385" t="inlineStr">
        <is>
          <t>A 18269-2022</t>
        </is>
      </c>
      <c r="B385" t="inlineStr">
        <is>
          <t>avverkningsanmälan</t>
        </is>
      </c>
      <c r="C385" t="inlineStr">
        <is>
          <t>Föryngringsavverkning</t>
        </is>
      </c>
      <c r="D385" s="1" t="n">
        <v>44685</v>
      </c>
      <c r="E385" s="1" t="n">
        <v>46219</v>
      </c>
      <c r="F385" t="inlineStr">
        <is>
          <t>NORRBOTTENS LÄN</t>
        </is>
      </c>
      <c r="G385" t="inlineStr">
        <is>
          <t>PITEÅ</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55260-2025</t>
        </is>
      </c>
      <c r="B386" t="inlineStr">
        <is>
          <t>avverkningsanmälan</t>
        </is>
      </c>
      <c r="C386" t="inlineStr">
        <is>
          <t>Föryngringsavverkning</t>
        </is>
      </c>
      <c r="D386" s="1" t="n">
        <v>45968</v>
      </c>
      <c r="E386" s="1" t="n">
        <v>46219</v>
      </c>
      <c r="F386" t="inlineStr">
        <is>
          <t>NORRBOTTENS LÄN</t>
        </is>
      </c>
      <c r="G386" t="inlineStr">
        <is>
          <t>PITEÅ</t>
        </is>
      </c>
      <c r="H386" t="inlineStr">
        <is>
          <t>Sveaskog</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73026-2021</t>
        </is>
      </c>
      <c r="B387" t="inlineStr">
        <is>
          <t>avverkningsanmälan</t>
        </is>
      </c>
      <c r="C387" t="inlineStr">
        <is>
          <t>Föryngringsavverkning</t>
        </is>
      </c>
      <c r="D387" s="1" t="n">
        <v>44550</v>
      </c>
      <c r="E387" s="1" t="n">
        <v>46219</v>
      </c>
      <c r="F387" t="inlineStr">
        <is>
          <t>NORRBOTTENS LÄN</t>
        </is>
      </c>
      <c r="G387" t="inlineStr">
        <is>
          <t>PITEÅ</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23743-2026</t>
        </is>
      </c>
      <c r="B388" t="inlineStr">
        <is>
          <t>avverkningsanmälan</t>
        </is>
      </c>
      <c r="C388" t="inlineStr">
        <is>
          <t>Föryngringsavverkning</t>
        </is>
      </c>
      <c r="D388" s="1" t="n">
        <v>46164</v>
      </c>
      <c r="E388" s="1" t="n">
        <v>46219</v>
      </c>
      <c r="F388" t="inlineStr">
        <is>
          <t>NORRBOTTENS LÄN</t>
        </is>
      </c>
      <c r="G388" t="inlineStr">
        <is>
          <t>PITEÅ</t>
        </is>
      </c>
      <c r="I388" t="n">
        <v>4.1</v>
      </c>
      <c r="J388" t="n">
        <v>0</v>
      </c>
      <c r="K388" t="n">
        <v>0</v>
      </c>
      <c r="L388" t="n">
        <v>0</v>
      </c>
      <c r="M388" t="n">
        <v>0</v>
      </c>
      <c r="N388" t="n">
        <v>0</v>
      </c>
      <c r="O388" t="n">
        <v>0</v>
      </c>
      <c r="P388" t="n">
        <v>0</v>
      </c>
      <c r="Q388" t="n">
        <v>0</v>
      </c>
      <c r="R388" t="n">
        <v>0</v>
      </c>
      <c r="S388" t="n">
        <v>0</v>
      </c>
      <c r="T388" t="n">
        <v>0</v>
      </c>
      <c r="U388" s="2" t="inlineStr"/>
    </row>
    <row r="389" ht="15" customHeight="1">
      <c r="A389" t="inlineStr">
        <is>
          <t>A 30578-2026</t>
        </is>
      </c>
      <c r="B389" t="inlineStr">
        <is>
          <t>avverkningsanmälan</t>
        </is>
      </c>
      <c r="C389" t="inlineStr">
        <is>
          <t>Föryngringsavverkning</t>
        </is>
      </c>
      <c r="D389" s="1" t="n">
        <v>46210</v>
      </c>
      <c r="E389" s="1" t="n">
        <v>46219</v>
      </c>
      <c r="F389" t="inlineStr">
        <is>
          <t>NORRBOTTENS LÄN</t>
        </is>
      </c>
      <c r="G389" t="inlineStr">
        <is>
          <t>PITEÅ</t>
        </is>
      </c>
      <c r="H389" t="inlineStr">
        <is>
          <t>Sveaskog</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9833-2024</t>
        </is>
      </c>
      <c r="B390" t="inlineStr">
        <is>
          <t>avverkningsanmälan</t>
        </is>
      </c>
      <c r="C390" t="inlineStr">
        <is>
          <t>Föryngringsavverkning</t>
        </is>
      </c>
      <c r="D390" s="1" t="n">
        <v>45363</v>
      </c>
      <c r="E390" s="1" t="n">
        <v>46219</v>
      </c>
      <c r="F390" t="inlineStr">
        <is>
          <t>NORRBOTTENS LÄN</t>
        </is>
      </c>
      <c r="G390" t="inlineStr">
        <is>
          <t>PITEÅ</t>
        </is>
      </c>
      <c r="H390" t="inlineStr">
        <is>
          <t>SCA</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11844-2024</t>
        </is>
      </c>
      <c r="B391" t="inlineStr">
        <is>
          <t>avverkningsanmälan</t>
        </is>
      </c>
      <c r="C391" t="inlineStr">
        <is>
          <t>Föryngringsavverkning</t>
        </is>
      </c>
      <c r="D391" s="1" t="n">
        <v>45376</v>
      </c>
      <c r="E391" s="1" t="n">
        <v>46219</v>
      </c>
      <c r="F391" t="inlineStr">
        <is>
          <t>NORRBOTTENS LÄN</t>
        </is>
      </c>
      <c r="G391" t="inlineStr">
        <is>
          <t>PITEÅ</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55377-2025</t>
        </is>
      </c>
      <c r="B392" t="inlineStr">
        <is>
          <t>avverkningsanmälan</t>
        </is>
      </c>
      <c r="C392" t="inlineStr">
        <is>
          <t>Föryngringsavverkning</t>
        </is>
      </c>
      <c r="D392" s="1" t="n">
        <v>45971</v>
      </c>
      <c r="E392" s="1" t="n">
        <v>46219</v>
      </c>
      <c r="F392" t="inlineStr">
        <is>
          <t>NORRBOTTENS LÄN</t>
        </is>
      </c>
      <c r="G392" t="inlineStr">
        <is>
          <t>PITEÅ</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55473-2025</t>
        </is>
      </c>
      <c r="B393" t="inlineStr">
        <is>
          <t>avverkningsanmälan</t>
        </is>
      </c>
      <c r="C393" t="inlineStr">
        <is>
          <t>Föryngringsavverkning</t>
        </is>
      </c>
      <c r="D393" s="1" t="n">
        <v>45971</v>
      </c>
      <c r="E393" s="1" t="n">
        <v>46219</v>
      </c>
      <c r="F393" t="inlineStr">
        <is>
          <t>NORRBOTTENS LÄN</t>
        </is>
      </c>
      <c r="G393" t="inlineStr">
        <is>
          <t>PITEÅ</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44713-2024</t>
        </is>
      </c>
      <c r="B394" t="inlineStr">
        <is>
          <t>avverkningsanmälan</t>
        </is>
      </c>
      <c r="C394" t="inlineStr">
        <is>
          <t>Föryngringsavverkning</t>
        </is>
      </c>
      <c r="D394" s="1" t="n">
        <v>45574</v>
      </c>
      <c r="E394" s="1" t="n">
        <v>46219</v>
      </c>
      <c r="F394" t="inlineStr">
        <is>
          <t>NORRBOTTENS LÄN</t>
        </is>
      </c>
      <c r="G394" t="inlineStr">
        <is>
          <t>PITEÅ</t>
        </is>
      </c>
      <c r="H394" t="inlineStr">
        <is>
          <t>SCA</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44715-2024</t>
        </is>
      </c>
      <c r="B395" t="inlineStr">
        <is>
          <t>avverkningsanmälan</t>
        </is>
      </c>
      <c r="C395" t="inlineStr">
        <is>
          <t>Föryngringsavverkning</t>
        </is>
      </c>
      <c r="D395" s="1" t="n">
        <v>45574</v>
      </c>
      <c r="E395" s="1" t="n">
        <v>46219</v>
      </c>
      <c r="F395" t="inlineStr">
        <is>
          <t>NORRBOTTENS LÄN</t>
        </is>
      </c>
      <c r="G395" t="inlineStr">
        <is>
          <t>PITEÅ</t>
        </is>
      </c>
      <c r="H395" t="inlineStr">
        <is>
          <t>SCA</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23960-2026</t>
        </is>
      </c>
      <c r="B396" t="inlineStr">
        <is>
          <t>avverkningsanmälan</t>
        </is>
      </c>
      <c r="C396" t="inlineStr">
        <is>
          <t>Föryngringsavverkning</t>
        </is>
      </c>
      <c r="D396" s="1" t="n">
        <v>46167</v>
      </c>
      <c r="E396" s="1" t="n">
        <v>46219</v>
      </c>
      <c r="F396" t="inlineStr">
        <is>
          <t>NORRBOTTENS LÄN</t>
        </is>
      </c>
      <c r="G396" t="inlineStr">
        <is>
          <t>PITEÅ</t>
        </is>
      </c>
      <c r="H396" t="inlineStr">
        <is>
          <t>Övriga Aktiebolag</t>
        </is>
      </c>
      <c r="I396" t="n">
        <v>6.9</v>
      </c>
      <c r="J396" t="n">
        <v>0</v>
      </c>
      <c r="K396" t="n">
        <v>0</v>
      </c>
      <c r="L396" t="n">
        <v>0</v>
      </c>
      <c r="M396" t="n">
        <v>0</v>
      </c>
      <c r="N396" t="n">
        <v>0</v>
      </c>
      <c r="O396" t="n">
        <v>0</v>
      </c>
      <c r="P396" t="n">
        <v>0</v>
      </c>
      <c r="Q396" t="n">
        <v>0</v>
      </c>
      <c r="R396" t="n">
        <v>0</v>
      </c>
      <c r="S396" t="n">
        <v>0</v>
      </c>
      <c r="T396" t="n">
        <v>0</v>
      </c>
      <c r="U396" s="2" t="inlineStr"/>
    </row>
    <row r="397" ht="15" customHeight="1">
      <c r="A397" t="inlineStr">
        <is>
          <t>A 55500-2025</t>
        </is>
      </c>
      <c r="B397" t="inlineStr">
        <is>
          <t>avverkningsanmälan</t>
        </is>
      </c>
      <c r="C397" t="inlineStr">
        <is>
          <t>Föryngringsavverkning</t>
        </is>
      </c>
      <c r="D397" s="1" t="n">
        <v>45971</v>
      </c>
      <c r="E397" s="1" t="n">
        <v>46219</v>
      </c>
      <c r="F397" t="inlineStr">
        <is>
          <t>NORRBOTTENS LÄN</t>
        </is>
      </c>
      <c r="G397" t="inlineStr">
        <is>
          <t>PITEÅ</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34424-2023</t>
        </is>
      </c>
      <c r="B398" t="inlineStr">
        <is>
          <t>avverkningsanmälan</t>
        </is>
      </c>
      <c r="C398" t="inlineStr">
        <is>
          <t>Föryngringsavverkning</t>
        </is>
      </c>
      <c r="D398" s="1" t="n">
        <v>45139</v>
      </c>
      <c r="E398" s="1" t="n">
        <v>46219</v>
      </c>
      <c r="F398" t="inlineStr">
        <is>
          <t>NORRBOTTENS LÄN</t>
        </is>
      </c>
      <c r="G398" t="inlineStr">
        <is>
          <t>PITEÅ</t>
        </is>
      </c>
      <c r="I398" t="n">
        <v>4.7</v>
      </c>
      <c r="J398" t="n">
        <v>0</v>
      </c>
      <c r="K398" t="n">
        <v>0</v>
      </c>
      <c r="L398" t="n">
        <v>0</v>
      </c>
      <c r="M398" t="n">
        <v>0</v>
      </c>
      <c r="N398" t="n">
        <v>0</v>
      </c>
      <c r="O398" t="n">
        <v>0</v>
      </c>
      <c r="P398" t="n">
        <v>0</v>
      </c>
      <c r="Q398" t="n">
        <v>0</v>
      </c>
      <c r="R398" t="n">
        <v>0</v>
      </c>
      <c r="S398" t="n">
        <v>0</v>
      </c>
      <c r="T398" t="n">
        <v>0</v>
      </c>
      <c r="U398" s="2" t="inlineStr"/>
    </row>
    <row r="399" ht="15" customHeight="1">
      <c r="A399" t="inlineStr">
        <is>
          <t>A 52355-2022</t>
        </is>
      </c>
      <c r="B399" t="inlineStr">
        <is>
          <t>avverkningsanmälan</t>
        </is>
      </c>
      <c r="C399" t="inlineStr">
        <is>
          <t>Föryngringsavverkning</t>
        </is>
      </c>
      <c r="D399" s="1" t="n">
        <v>44874</v>
      </c>
      <c r="E399" s="1" t="n">
        <v>46219</v>
      </c>
      <c r="F399" t="inlineStr">
        <is>
          <t>NORRBOTTENS LÄN</t>
        </is>
      </c>
      <c r="G399" t="inlineStr">
        <is>
          <t>PITEÅ</t>
        </is>
      </c>
      <c r="I399" t="n">
        <v>11.1</v>
      </c>
      <c r="J399" t="n">
        <v>0</v>
      </c>
      <c r="K399" t="n">
        <v>0</v>
      </c>
      <c r="L399" t="n">
        <v>0</v>
      </c>
      <c r="M399" t="n">
        <v>0</v>
      </c>
      <c r="N399" t="n">
        <v>0</v>
      </c>
      <c r="O399" t="n">
        <v>0</v>
      </c>
      <c r="P399" t="n">
        <v>0</v>
      </c>
      <c r="Q399" t="n">
        <v>0</v>
      </c>
      <c r="R399" t="n">
        <v>0</v>
      </c>
      <c r="S399" t="n">
        <v>0</v>
      </c>
      <c r="T399" t="n">
        <v>0</v>
      </c>
      <c r="U399" s="2" t="inlineStr"/>
    </row>
    <row r="400" ht="15" customHeight="1">
      <c r="A400" t="inlineStr">
        <is>
          <t>A 58064-2023</t>
        </is>
      </c>
      <c r="B400" t="inlineStr">
        <is>
          <t>avverkningsanmälan</t>
        </is>
      </c>
      <c r="C400" t="inlineStr">
        <is>
          <t>Avverkning för annat ändamål</t>
        </is>
      </c>
      <c r="D400" s="1" t="n">
        <v>45247</v>
      </c>
      <c r="E400" s="1" t="n">
        <v>46219</v>
      </c>
      <c r="F400" t="inlineStr">
        <is>
          <t>NORRBOTTENS LÄN</t>
        </is>
      </c>
      <c r="G400" t="inlineStr">
        <is>
          <t>PITEÅ</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55319-2023</t>
        </is>
      </c>
      <c r="B401" t="inlineStr">
        <is>
          <t>avverkningsanmälan</t>
        </is>
      </c>
      <c r="C401" t="inlineStr">
        <is>
          <t>Föryngringsavverkning</t>
        </is>
      </c>
      <c r="D401" s="1" t="n">
        <v>45237</v>
      </c>
      <c r="E401" s="1" t="n">
        <v>46219</v>
      </c>
      <c r="F401" t="inlineStr">
        <is>
          <t>NORRBOTTENS LÄN</t>
        </is>
      </c>
      <c r="G401" t="inlineStr">
        <is>
          <t>PITEÅ</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15352-2024</t>
        </is>
      </c>
      <c r="B402" t="inlineStr">
        <is>
          <t>avverkningsanmälan</t>
        </is>
      </c>
      <c r="C402" t="inlineStr">
        <is>
          <t>Föryngringsavverkning</t>
        </is>
      </c>
      <c r="D402" s="1" t="n">
        <v>45400</v>
      </c>
      <c r="E402" s="1" t="n">
        <v>46219</v>
      </c>
      <c r="F402" t="inlineStr">
        <is>
          <t>NORRBOTTENS LÄN</t>
        </is>
      </c>
      <c r="G402" t="inlineStr">
        <is>
          <t>PITEÅ</t>
        </is>
      </c>
      <c r="I402" t="n">
        <v>4.4</v>
      </c>
      <c r="J402" t="n">
        <v>0</v>
      </c>
      <c r="K402" t="n">
        <v>0</v>
      </c>
      <c r="L402" t="n">
        <v>0</v>
      </c>
      <c r="M402" t="n">
        <v>0</v>
      </c>
      <c r="N402" t="n">
        <v>0</v>
      </c>
      <c r="O402" t="n">
        <v>0</v>
      </c>
      <c r="P402" t="n">
        <v>0</v>
      </c>
      <c r="Q402" t="n">
        <v>0</v>
      </c>
      <c r="R402" t="n">
        <v>0</v>
      </c>
      <c r="S402" t="n">
        <v>0</v>
      </c>
      <c r="T402" t="n">
        <v>0</v>
      </c>
      <c r="U402" s="2" t="inlineStr"/>
    </row>
    <row r="403" ht="15" customHeight="1">
      <c r="A403" t="inlineStr">
        <is>
          <t>A 6754-2025</t>
        </is>
      </c>
      <c r="B403" t="inlineStr">
        <is>
          <t>avverkningsanmälan</t>
        </is>
      </c>
      <c r="C403" t="inlineStr">
        <is>
          <t>Föryngringsavverkning</t>
        </is>
      </c>
      <c r="D403" s="1" t="n">
        <v>45700</v>
      </c>
      <c r="E403" s="1" t="n">
        <v>46219</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56233-2025</t>
        </is>
      </c>
      <c r="B404" t="inlineStr">
        <is>
          <t>avverkningsanmälan</t>
        </is>
      </c>
      <c r="C404" t="inlineStr">
        <is>
          <t>Föryngringsavverkning</t>
        </is>
      </c>
      <c r="D404" s="1" t="n">
        <v>45974</v>
      </c>
      <c r="E404" s="1" t="n">
        <v>46219</v>
      </c>
      <c r="F404" t="inlineStr">
        <is>
          <t>NORRBOTTENS LÄN</t>
        </is>
      </c>
      <c r="G404" t="inlineStr">
        <is>
          <t>PITEÅ</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A 54859-2023</t>
        </is>
      </c>
      <c r="B405" t="inlineStr">
        <is>
          <t>avverkningsanmälan</t>
        </is>
      </c>
      <c r="C405" t="inlineStr">
        <is>
          <t>Föryngringsavverkning</t>
        </is>
      </c>
      <c r="D405" s="1" t="n">
        <v>45229</v>
      </c>
      <c r="E405" s="1" t="n">
        <v>46219</v>
      </c>
      <c r="F405" t="inlineStr">
        <is>
          <t>NORRBOTTENS LÄN</t>
        </is>
      </c>
      <c r="G405" t="inlineStr">
        <is>
          <t>PITEÅ</t>
        </is>
      </c>
      <c r="H405" t="inlineStr">
        <is>
          <t>Kommuner</t>
        </is>
      </c>
      <c r="I405" t="n">
        <v>10.7</v>
      </c>
      <c r="J405" t="n">
        <v>0</v>
      </c>
      <c r="K405" t="n">
        <v>0</v>
      </c>
      <c r="L405" t="n">
        <v>0</v>
      </c>
      <c r="M405" t="n">
        <v>0</v>
      </c>
      <c r="N405" t="n">
        <v>0</v>
      </c>
      <c r="O405" t="n">
        <v>0</v>
      </c>
      <c r="P405" t="n">
        <v>0</v>
      </c>
      <c r="Q405" t="n">
        <v>0</v>
      </c>
      <c r="R405" t="n">
        <v>0</v>
      </c>
      <c r="S405" t="n">
        <v>0</v>
      </c>
      <c r="T405" t="n">
        <v>0</v>
      </c>
      <c r="U405" s="2" t="inlineStr"/>
    </row>
    <row r="406" ht="15" customHeight="1">
      <c r="A406" t="inlineStr">
        <is>
          <t>A 30553-2026</t>
        </is>
      </c>
      <c r="B406" t="inlineStr">
        <is>
          <t>avverkningsanmälan</t>
        </is>
      </c>
      <c r="C406" t="inlineStr">
        <is>
          <t>Föryngringsavverkning</t>
        </is>
      </c>
      <c r="D406" s="1" t="n">
        <v>46210</v>
      </c>
      <c r="E406" s="1" t="n">
        <v>46219</v>
      </c>
      <c r="F406" t="inlineStr">
        <is>
          <t>NORRBOTTENS LÄN</t>
        </is>
      </c>
      <c r="G406" t="inlineStr">
        <is>
          <t>PITEÅ</t>
        </is>
      </c>
      <c r="H406" t="inlineStr">
        <is>
          <t>Sveaskog</t>
        </is>
      </c>
      <c r="I406" t="n">
        <v>11.6</v>
      </c>
      <c r="J406" t="n">
        <v>0</v>
      </c>
      <c r="K406" t="n">
        <v>0</v>
      </c>
      <c r="L406" t="n">
        <v>0</v>
      </c>
      <c r="M406" t="n">
        <v>0</v>
      </c>
      <c r="N406" t="n">
        <v>0</v>
      </c>
      <c r="O406" t="n">
        <v>0</v>
      </c>
      <c r="P406" t="n">
        <v>0</v>
      </c>
      <c r="Q406" t="n">
        <v>0</v>
      </c>
      <c r="R406" t="n">
        <v>0</v>
      </c>
      <c r="S406" t="n">
        <v>0</v>
      </c>
      <c r="T406" t="n">
        <v>0</v>
      </c>
      <c r="U406" s="2" t="inlineStr"/>
    </row>
    <row r="407" ht="15" customHeight="1">
      <c r="A407" t="inlineStr">
        <is>
          <t>A 25835-2024</t>
        </is>
      </c>
      <c r="B407" t="inlineStr">
        <is>
          <t>avverkningsanmälan</t>
        </is>
      </c>
      <c r="C407" t="inlineStr">
        <is>
          <t>Föryngringsavverkning</t>
        </is>
      </c>
      <c r="D407" s="1" t="n">
        <v>45467</v>
      </c>
      <c r="E407" s="1" t="n">
        <v>46219</v>
      </c>
      <c r="F407" t="inlineStr">
        <is>
          <t>NORRBOTTENS LÄN</t>
        </is>
      </c>
      <c r="G407" t="inlineStr">
        <is>
          <t>PITEÅ</t>
        </is>
      </c>
      <c r="I407" t="n">
        <v>3.5</v>
      </c>
      <c r="J407" t="n">
        <v>0</v>
      </c>
      <c r="K407" t="n">
        <v>0</v>
      </c>
      <c r="L407" t="n">
        <v>0</v>
      </c>
      <c r="M407" t="n">
        <v>0</v>
      </c>
      <c r="N407" t="n">
        <v>0</v>
      </c>
      <c r="O407" t="n">
        <v>0</v>
      </c>
      <c r="P407" t="n">
        <v>0</v>
      </c>
      <c r="Q407" t="n">
        <v>0</v>
      </c>
      <c r="R407" t="n">
        <v>0</v>
      </c>
      <c r="S407" t="n">
        <v>0</v>
      </c>
      <c r="T407" t="n">
        <v>0</v>
      </c>
      <c r="U407" s="2" t="inlineStr"/>
    </row>
    <row r="408" ht="15" customHeight="1">
      <c r="A408" t="inlineStr">
        <is>
          <t>A 56136-2025</t>
        </is>
      </c>
      <c r="B408" t="inlineStr">
        <is>
          <t>avverkningsanmälan</t>
        </is>
      </c>
      <c r="C408" t="inlineStr">
        <is>
          <t>Föryngringsavverkning</t>
        </is>
      </c>
      <c r="D408" s="1" t="n">
        <v>45974</v>
      </c>
      <c r="E408" s="1" t="n">
        <v>46219</v>
      </c>
      <c r="F408" t="inlineStr">
        <is>
          <t>NORRBOTTENS LÄN</t>
        </is>
      </c>
      <c r="G408" t="inlineStr">
        <is>
          <t>PITEÅ</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69078-2021</t>
        </is>
      </c>
      <c r="B409" t="inlineStr">
        <is>
          <t>avverkningsanmälan</t>
        </is>
      </c>
      <c r="C409" t="inlineStr">
        <is>
          <t>Föryngringsavverkning</t>
        </is>
      </c>
      <c r="D409" s="1" t="n">
        <v>44529</v>
      </c>
      <c r="E409" s="1" t="n">
        <v>46219</v>
      </c>
      <c r="F409" t="inlineStr">
        <is>
          <t>NORRBOTTENS LÄN</t>
        </is>
      </c>
      <c r="G409" t="inlineStr">
        <is>
          <t>PITEÅ</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57162-2025</t>
        </is>
      </c>
      <c r="B410" t="inlineStr">
        <is>
          <t>avverkningsanmälan</t>
        </is>
      </c>
      <c r="C410" t="inlineStr">
        <is>
          <t>Föryngringsavverkning</t>
        </is>
      </c>
      <c r="D410" s="1" t="n">
        <v>45978</v>
      </c>
      <c r="E410" s="1" t="n">
        <v>46219</v>
      </c>
      <c r="F410" t="inlineStr">
        <is>
          <t>NORRBOTTENS LÄN</t>
        </is>
      </c>
      <c r="G410" t="inlineStr">
        <is>
          <t>PITEÅ</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24241-2026</t>
        </is>
      </c>
      <c r="B411" t="inlineStr">
        <is>
          <t>avverkningsanmälan</t>
        </is>
      </c>
      <c r="C411" t="inlineStr">
        <is>
          <t>Föryngringsavverkning</t>
        </is>
      </c>
      <c r="D411" s="1" t="n">
        <v>46168</v>
      </c>
      <c r="E411" s="1" t="n">
        <v>46219</v>
      </c>
      <c r="F411" t="inlineStr">
        <is>
          <t>NORRBOTTENS LÄN</t>
        </is>
      </c>
      <c r="G411" t="inlineStr">
        <is>
          <t>PITEÅ</t>
        </is>
      </c>
      <c r="I411" t="n">
        <v>7.1</v>
      </c>
      <c r="J411" t="n">
        <v>0</v>
      </c>
      <c r="K411" t="n">
        <v>0</v>
      </c>
      <c r="L411" t="n">
        <v>0</v>
      </c>
      <c r="M411" t="n">
        <v>0</v>
      </c>
      <c r="N411" t="n">
        <v>0</v>
      </c>
      <c r="O411" t="n">
        <v>0</v>
      </c>
      <c r="P411" t="n">
        <v>0</v>
      </c>
      <c r="Q411" t="n">
        <v>0</v>
      </c>
      <c r="R411" t="n">
        <v>0</v>
      </c>
      <c r="S411" t="n">
        <v>0</v>
      </c>
      <c r="T411" t="n">
        <v>0</v>
      </c>
      <c r="U411" s="2" t="inlineStr"/>
    </row>
    <row r="412" ht="15" customHeight="1">
      <c r="A412" t="inlineStr">
        <is>
          <t>A 24236-2026</t>
        </is>
      </c>
      <c r="B412" t="inlineStr">
        <is>
          <t>avverkningsanmälan</t>
        </is>
      </c>
      <c r="C412" t="inlineStr">
        <is>
          <t>Föryngringsavverkning</t>
        </is>
      </c>
      <c r="D412" s="1" t="n">
        <v>46168</v>
      </c>
      <c r="E412" s="1" t="n">
        <v>46219</v>
      </c>
      <c r="F412" t="inlineStr">
        <is>
          <t>NORRBOTTENS LÄN</t>
        </is>
      </c>
      <c r="G412" t="inlineStr">
        <is>
          <t>PITEÅ</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45728-2024</t>
        </is>
      </c>
      <c r="B413" t="inlineStr">
        <is>
          <t>avverkningsanmälan</t>
        </is>
      </c>
      <c r="C413" t="inlineStr">
        <is>
          <t>Föryngringsavverkning</t>
        </is>
      </c>
      <c r="D413" s="1" t="n">
        <v>45579</v>
      </c>
      <c r="E413" s="1" t="n">
        <v>46219</v>
      </c>
      <c r="F413" t="inlineStr">
        <is>
          <t>NORRBOTTENS LÄN</t>
        </is>
      </c>
      <c r="G413" t="inlineStr">
        <is>
          <t>PITEÅ</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45732-2024</t>
        </is>
      </c>
      <c r="B414" t="inlineStr">
        <is>
          <t>avverkningsanmälan</t>
        </is>
      </c>
      <c r="C414" t="inlineStr">
        <is>
          <t>Föryngringsavverkning</t>
        </is>
      </c>
      <c r="D414" s="1" t="n">
        <v>45579</v>
      </c>
      <c r="E414" s="1" t="n">
        <v>46219</v>
      </c>
      <c r="F414" t="inlineStr">
        <is>
          <t>NORRBOTTENS LÄN</t>
        </is>
      </c>
      <c r="G414" t="inlineStr">
        <is>
          <t>PITEÅ</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11971-2024</t>
        </is>
      </c>
      <c r="B415" t="inlineStr">
        <is>
          <t>avverkningsanmälan</t>
        </is>
      </c>
      <c r="C415" t="inlineStr">
        <is>
          <t>Föryngringsavverkning</t>
        </is>
      </c>
      <c r="D415" s="1" t="n">
        <v>45376</v>
      </c>
      <c r="E415" s="1" t="n">
        <v>46219</v>
      </c>
      <c r="F415" t="inlineStr">
        <is>
          <t>NORRBOTTENS LÄN</t>
        </is>
      </c>
      <c r="G415" t="inlineStr">
        <is>
          <t>PITEÅ</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56828-2025</t>
        </is>
      </c>
      <c r="B416" t="inlineStr">
        <is>
          <t>avverkningsanmälan</t>
        </is>
      </c>
      <c r="C416" t="inlineStr">
        <is>
          <t>Föryngringsavverkning</t>
        </is>
      </c>
      <c r="D416" s="1" t="n">
        <v>45978</v>
      </c>
      <c r="E416" s="1" t="n">
        <v>46219</v>
      </c>
      <c r="F416" t="inlineStr">
        <is>
          <t>NORRBOTTENS LÄN</t>
        </is>
      </c>
      <c r="G416" t="inlineStr">
        <is>
          <t>PITEÅ</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4232-2024</t>
        </is>
      </c>
      <c r="B417" t="inlineStr">
        <is>
          <t>avverkningsanmälan</t>
        </is>
      </c>
      <c r="C417" t="inlineStr">
        <is>
          <t>Föryngringsavverkning</t>
        </is>
      </c>
      <c r="D417" s="1" t="n">
        <v>45324</v>
      </c>
      <c r="E417" s="1" t="n">
        <v>46219</v>
      </c>
      <c r="F417" t="inlineStr">
        <is>
          <t>NORRBOTTENS LÄN</t>
        </is>
      </c>
      <c r="G417" t="inlineStr">
        <is>
          <t>PITEÅ</t>
        </is>
      </c>
      <c r="H417" t="inlineStr">
        <is>
          <t>Sveaskog</t>
        </is>
      </c>
      <c r="I417" t="n">
        <v>11.1</v>
      </c>
      <c r="J417" t="n">
        <v>0</v>
      </c>
      <c r="K417" t="n">
        <v>0</v>
      </c>
      <c r="L417" t="n">
        <v>0</v>
      </c>
      <c r="M417" t="n">
        <v>0</v>
      </c>
      <c r="N417" t="n">
        <v>0</v>
      </c>
      <c r="O417" t="n">
        <v>0</v>
      </c>
      <c r="P417" t="n">
        <v>0</v>
      </c>
      <c r="Q417" t="n">
        <v>0</v>
      </c>
      <c r="R417" t="n">
        <v>0</v>
      </c>
      <c r="S417" t="n">
        <v>0</v>
      </c>
      <c r="T417" t="n">
        <v>0</v>
      </c>
      <c r="U417" s="2" t="inlineStr"/>
    </row>
    <row r="418" ht="15" customHeight="1">
      <c r="A418" t="inlineStr">
        <is>
          <t>A 56619-2025</t>
        </is>
      </c>
      <c r="B418" t="inlineStr">
        <is>
          <t>avverkningsanmälan</t>
        </is>
      </c>
      <c r="C418" t="inlineStr">
        <is>
          <t>Föryngringsavverkning</t>
        </is>
      </c>
      <c r="D418" s="1" t="n">
        <v>45975</v>
      </c>
      <c r="E418" s="1" t="n">
        <v>46219</v>
      </c>
      <c r="F418" t="inlineStr">
        <is>
          <t>NORRBOTTENS LÄN</t>
        </is>
      </c>
      <c r="G418" t="inlineStr">
        <is>
          <t>PITEÅ</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56638-2025</t>
        </is>
      </c>
      <c r="B419" t="inlineStr">
        <is>
          <t>avverkningsanmälan</t>
        </is>
      </c>
      <c r="C419" t="inlineStr">
        <is>
          <t>Föryngringsavverkning</t>
        </is>
      </c>
      <c r="D419" s="1" t="n">
        <v>45975</v>
      </c>
      <c r="E419" s="1" t="n">
        <v>46219</v>
      </c>
      <c r="F419" t="inlineStr">
        <is>
          <t>NORRBOTTENS LÄN</t>
        </is>
      </c>
      <c r="G419" t="inlineStr">
        <is>
          <t>PITEÅ</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30873-2026</t>
        </is>
      </c>
      <c r="B420" t="inlineStr">
        <is>
          <t>avverkningsanmälan</t>
        </is>
      </c>
      <c r="C420" t="inlineStr">
        <is>
          <t>Föryngringsavverkning</t>
        </is>
      </c>
      <c r="D420" s="1" t="n">
        <v>46212</v>
      </c>
      <c r="E420" s="1" t="n">
        <v>46219</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34628-2023</t>
        </is>
      </c>
      <c r="B421" t="inlineStr">
        <is>
          <t>avverkningsanmälan</t>
        </is>
      </c>
      <c r="C421" t="inlineStr">
        <is>
          <t>Föryngringsavverkning</t>
        </is>
      </c>
      <c r="D421" s="1" t="n">
        <v>45140</v>
      </c>
      <c r="E421" s="1" t="n">
        <v>46219</v>
      </c>
      <c r="F421" t="inlineStr">
        <is>
          <t>NORRBOTTENS LÄN</t>
        </is>
      </c>
      <c r="G421" t="inlineStr">
        <is>
          <t>PITEÅ</t>
        </is>
      </c>
      <c r="H421" t="inlineStr">
        <is>
          <t>Sveaskog</t>
        </is>
      </c>
      <c r="I421" t="n">
        <v>4.9</v>
      </c>
      <c r="J421" t="n">
        <v>0</v>
      </c>
      <c r="K421" t="n">
        <v>0</v>
      </c>
      <c r="L421" t="n">
        <v>0</v>
      </c>
      <c r="M421" t="n">
        <v>0</v>
      </c>
      <c r="N421" t="n">
        <v>0</v>
      </c>
      <c r="O421" t="n">
        <v>0</v>
      </c>
      <c r="P421" t="n">
        <v>0</v>
      </c>
      <c r="Q421" t="n">
        <v>0</v>
      </c>
      <c r="R421" t="n">
        <v>0</v>
      </c>
      <c r="S421" t="n">
        <v>0</v>
      </c>
      <c r="T421" t="n">
        <v>0</v>
      </c>
      <c r="U421" s="2" t="inlineStr"/>
    </row>
    <row r="422" ht="15" customHeight="1">
      <c r="A422" t="inlineStr">
        <is>
          <t>A 30735-2026</t>
        </is>
      </c>
      <c r="B422" t="inlineStr">
        <is>
          <t>avverkningsanmälan</t>
        </is>
      </c>
      <c r="C422" t="inlineStr">
        <is>
          <t>Föryngringsavverkning</t>
        </is>
      </c>
      <c r="D422" s="1" t="n">
        <v>46211</v>
      </c>
      <c r="E422" s="1" t="n">
        <v>46219</v>
      </c>
      <c r="F422" t="inlineStr">
        <is>
          <t>NORRBOTTENS LÄN</t>
        </is>
      </c>
      <c r="G422" t="inlineStr">
        <is>
          <t>PITEÅ</t>
        </is>
      </c>
      <c r="H422" t="inlineStr">
        <is>
          <t>Sveaskog</t>
        </is>
      </c>
      <c r="I422" t="n">
        <v>6.8</v>
      </c>
      <c r="J422" t="n">
        <v>0</v>
      </c>
      <c r="K422" t="n">
        <v>0</v>
      </c>
      <c r="L422" t="n">
        <v>0</v>
      </c>
      <c r="M422" t="n">
        <v>0</v>
      </c>
      <c r="N422" t="n">
        <v>0</v>
      </c>
      <c r="O422" t="n">
        <v>0</v>
      </c>
      <c r="P422" t="n">
        <v>0</v>
      </c>
      <c r="Q422" t="n">
        <v>0</v>
      </c>
      <c r="R422" t="n">
        <v>0</v>
      </c>
      <c r="S422" t="n">
        <v>0</v>
      </c>
      <c r="T422" t="n">
        <v>0</v>
      </c>
      <c r="U422" s="2" t="inlineStr"/>
    </row>
    <row r="423" ht="15" customHeight="1">
      <c r="A423" t="inlineStr">
        <is>
          <t>A 30747-2026</t>
        </is>
      </c>
      <c r="B423" t="inlineStr">
        <is>
          <t>avverkningsanmälan</t>
        </is>
      </c>
      <c r="C423" t="inlineStr">
        <is>
          <t>Föryngringsavverkning</t>
        </is>
      </c>
      <c r="D423" s="1" t="n">
        <v>46211</v>
      </c>
      <c r="E423" s="1" t="n">
        <v>46219</v>
      </c>
      <c r="F423" t="inlineStr">
        <is>
          <t>NORRBOTTENS LÄN</t>
        </is>
      </c>
      <c r="G423" t="inlineStr">
        <is>
          <t>PITEÅ</t>
        </is>
      </c>
      <c r="I423" t="n">
        <v>10.9</v>
      </c>
      <c r="J423" t="n">
        <v>0</v>
      </c>
      <c r="K423" t="n">
        <v>0</v>
      </c>
      <c r="L423" t="n">
        <v>0</v>
      </c>
      <c r="M423" t="n">
        <v>0</v>
      </c>
      <c r="N423" t="n">
        <v>0</v>
      </c>
      <c r="O423" t="n">
        <v>0</v>
      </c>
      <c r="P423" t="n">
        <v>0</v>
      </c>
      <c r="Q423" t="n">
        <v>0</v>
      </c>
      <c r="R423" t="n">
        <v>0</v>
      </c>
      <c r="S423" t="n">
        <v>0</v>
      </c>
      <c r="T423" t="n">
        <v>0</v>
      </c>
      <c r="U423" s="2" t="inlineStr"/>
    </row>
    <row r="424" ht="15" customHeight="1">
      <c r="A424" t="inlineStr">
        <is>
          <t>A 30748-2026</t>
        </is>
      </c>
      <c r="B424" t="inlineStr">
        <is>
          <t>avverkningsanmälan</t>
        </is>
      </c>
      <c r="C424" t="inlineStr">
        <is>
          <t>Föryngringsavverkning</t>
        </is>
      </c>
      <c r="D424" s="1" t="n">
        <v>46211</v>
      </c>
      <c r="E424" s="1" t="n">
        <v>46219</v>
      </c>
      <c r="F424" t="inlineStr">
        <is>
          <t>NORRBOTTENS LÄN</t>
        </is>
      </c>
      <c r="G424" t="inlineStr">
        <is>
          <t>PITEÅ</t>
        </is>
      </c>
      <c r="I424" t="n">
        <v>2.9</v>
      </c>
      <c r="J424" t="n">
        <v>0</v>
      </c>
      <c r="K424" t="n">
        <v>0</v>
      </c>
      <c r="L424" t="n">
        <v>0</v>
      </c>
      <c r="M424" t="n">
        <v>0</v>
      </c>
      <c r="N424" t="n">
        <v>0</v>
      </c>
      <c r="O424" t="n">
        <v>0</v>
      </c>
      <c r="P424" t="n">
        <v>0</v>
      </c>
      <c r="Q424" t="n">
        <v>0</v>
      </c>
      <c r="R424" t="n">
        <v>0</v>
      </c>
      <c r="S424" t="n">
        <v>0</v>
      </c>
      <c r="T424" t="n">
        <v>0</v>
      </c>
      <c r="U424" s="2" t="inlineStr"/>
    </row>
    <row r="425" ht="15" customHeight="1">
      <c r="A425" t="inlineStr">
        <is>
          <t>A 57524-2025</t>
        </is>
      </c>
      <c r="B425" t="inlineStr">
        <is>
          <t>avverkningsanmälan</t>
        </is>
      </c>
      <c r="C425" t="inlineStr">
        <is>
          <t>Föryngringsavverkning</t>
        </is>
      </c>
      <c r="D425" s="1" t="n">
        <v>45980</v>
      </c>
      <c r="E425" s="1" t="n">
        <v>46219</v>
      </c>
      <c r="F425" t="inlineStr">
        <is>
          <t>NORRBOTTENS LÄN</t>
        </is>
      </c>
      <c r="G425" t="inlineStr">
        <is>
          <t>PITEÅ</t>
        </is>
      </c>
      <c r="H425" t="inlineStr">
        <is>
          <t>Sveaskog</t>
        </is>
      </c>
      <c r="I425" t="n">
        <v>13.2</v>
      </c>
      <c r="J425" t="n">
        <v>0</v>
      </c>
      <c r="K425" t="n">
        <v>0</v>
      </c>
      <c r="L425" t="n">
        <v>0</v>
      </c>
      <c r="M425" t="n">
        <v>0</v>
      </c>
      <c r="N425" t="n">
        <v>0</v>
      </c>
      <c r="O425" t="n">
        <v>0</v>
      </c>
      <c r="P425" t="n">
        <v>0</v>
      </c>
      <c r="Q425" t="n">
        <v>0</v>
      </c>
      <c r="R425" t="n">
        <v>0</v>
      </c>
      <c r="S425" t="n">
        <v>0</v>
      </c>
      <c r="T425" t="n">
        <v>0</v>
      </c>
      <c r="U425" s="2" t="inlineStr"/>
    </row>
    <row r="426" ht="15" customHeight="1">
      <c r="A426" t="inlineStr">
        <is>
          <t>A 30752-2026</t>
        </is>
      </c>
      <c r="B426" t="inlineStr">
        <is>
          <t>avverkningsanmälan</t>
        </is>
      </c>
      <c r="C426" t="inlineStr">
        <is>
          <t>Föryngringsavverkning</t>
        </is>
      </c>
      <c r="D426" s="1" t="n">
        <v>46212</v>
      </c>
      <c r="E426" s="1" t="n">
        <v>46219</v>
      </c>
      <c r="F426" t="inlineStr">
        <is>
          <t>NORRBOTTENS LÄN</t>
        </is>
      </c>
      <c r="G426" t="inlineStr">
        <is>
          <t>PITEÅ</t>
        </is>
      </c>
      <c r="I426" t="n">
        <v>21.3</v>
      </c>
      <c r="J426" t="n">
        <v>0</v>
      </c>
      <c r="K426" t="n">
        <v>0</v>
      </c>
      <c r="L426" t="n">
        <v>0</v>
      </c>
      <c r="M426" t="n">
        <v>0</v>
      </c>
      <c r="N426" t="n">
        <v>0</v>
      </c>
      <c r="O426" t="n">
        <v>0</v>
      </c>
      <c r="P426" t="n">
        <v>0</v>
      </c>
      <c r="Q426" t="n">
        <v>0</v>
      </c>
      <c r="R426" t="n">
        <v>0</v>
      </c>
      <c r="S426" t="n">
        <v>0</v>
      </c>
      <c r="T426" t="n">
        <v>0</v>
      </c>
      <c r="U426" s="2" t="inlineStr"/>
    </row>
    <row r="427" ht="15" customHeight="1">
      <c r="A427" t="inlineStr">
        <is>
          <t>A 30760-2026</t>
        </is>
      </c>
      <c r="B427" t="inlineStr">
        <is>
          <t>avverkningsanmälan</t>
        </is>
      </c>
      <c r="C427" t="inlineStr">
        <is>
          <t>Föryngringsavverkning</t>
        </is>
      </c>
      <c r="D427" s="1" t="n">
        <v>46212</v>
      </c>
      <c r="E427" s="1" t="n">
        <v>46219</v>
      </c>
      <c r="F427" t="inlineStr">
        <is>
          <t>NORRBOTTENS LÄN</t>
        </is>
      </c>
      <c r="G427" t="inlineStr">
        <is>
          <t>PITEÅ</t>
        </is>
      </c>
      <c r="H427" t="inlineStr">
        <is>
          <t>Sveaskog</t>
        </is>
      </c>
      <c r="I427" t="n">
        <v>9</v>
      </c>
      <c r="J427" t="n">
        <v>0</v>
      </c>
      <c r="K427" t="n">
        <v>0</v>
      </c>
      <c r="L427" t="n">
        <v>0</v>
      </c>
      <c r="M427" t="n">
        <v>0</v>
      </c>
      <c r="N427" t="n">
        <v>0</v>
      </c>
      <c r="O427" t="n">
        <v>0</v>
      </c>
      <c r="P427" t="n">
        <v>0</v>
      </c>
      <c r="Q427" t="n">
        <v>0</v>
      </c>
      <c r="R427" t="n">
        <v>0</v>
      </c>
      <c r="S427" t="n">
        <v>0</v>
      </c>
      <c r="T427" t="n">
        <v>0</v>
      </c>
      <c r="U427" s="2" t="inlineStr"/>
    </row>
    <row r="428" ht="15" customHeight="1">
      <c r="A428" t="inlineStr">
        <is>
          <t>A 30759-2026</t>
        </is>
      </c>
      <c r="B428" t="inlineStr">
        <is>
          <t>avverkningsanmälan</t>
        </is>
      </c>
      <c r="C428" t="inlineStr">
        <is>
          <t>Föryngringsavverkning</t>
        </is>
      </c>
      <c r="D428" s="1" t="n">
        <v>46212</v>
      </c>
      <c r="E428" s="1" t="n">
        <v>46219</v>
      </c>
      <c r="F428" t="inlineStr">
        <is>
          <t>NORRBOTTENS LÄN</t>
        </is>
      </c>
      <c r="G428" t="inlineStr">
        <is>
          <t>PITEÅ</t>
        </is>
      </c>
      <c r="H428" t="inlineStr">
        <is>
          <t>Sveaskog</t>
        </is>
      </c>
      <c r="I428" t="n">
        <v>8.699999999999999</v>
      </c>
      <c r="J428" t="n">
        <v>0</v>
      </c>
      <c r="K428" t="n">
        <v>0</v>
      </c>
      <c r="L428" t="n">
        <v>0</v>
      </c>
      <c r="M428" t="n">
        <v>0</v>
      </c>
      <c r="N428" t="n">
        <v>0</v>
      </c>
      <c r="O428" t="n">
        <v>0</v>
      </c>
      <c r="P428" t="n">
        <v>0</v>
      </c>
      <c r="Q428" t="n">
        <v>0</v>
      </c>
      <c r="R428" t="n">
        <v>0</v>
      </c>
      <c r="S428" t="n">
        <v>0</v>
      </c>
      <c r="T428" t="n">
        <v>0</v>
      </c>
      <c r="U428" s="2" t="inlineStr"/>
    </row>
    <row r="429" ht="15" customHeight="1">
      <c r="A429" t="inlineStr">
        <is>
          <t>A 30761-2026</t>
        </is>
      </c>
      <c r="B429" t="inlineStr">
        <is>
          <t>avverkningsanmälan</t>
        </is>
      </c>
      <c r="C429" t="inlineStr">
        <is>
          <t>Föryngringsavverkning</t>
        </is>
      </c>
      <c r="D429" s="1" t="n">
        <v>46212</v>
      </c>
      <c r="E429" s="1" t="n">
        <v>46219</v>
      </c>
      <c r="F429" t="inlineStr">
        <is>
          <t>NORRBOTTENS LÄN</t>
        </is>
      </c>
      <c r="G429" t="inlineStr">
        <is>
          <t>PITEÅ</t>
        </is>
      </c>
      <c r="H429" t="inlineStr">
        <is>
          <t>Sveaskog</t>
        </is>
      </c>
      <c r="I429" t="n">
        <v>4.4</v>
      </c>
      <c r="J429" t="n">
        <v>0</v>
      </c>
      <c r="K429" t="n">
        <v>0</v>
      </c>
      <c r="L429" t="n">
        <v>0</v>
      </c>
      <c r="M429" t="n">
        <v>0</v>
      </c>
      <c r="N429" t="n">
        <v>0</v>
      </c>
      <c r="O429" t="n">
        <v>0</v>
      </c>
      <c r="P429" t="n">
        <v>0</v>
      </c>
      <c r="Q429" t="n">
        <v>0</v>
      </c>
      <c r="R429" t="n">
        <v>0</v>
      </c>
      <c r="S429" t="n">
        <v>0</v>
      </c>
      <c r="T429" t="n">
        <v>0</v>
      </c>
      <c r="U429" s="2" t="inlineStr"/>
    </row>
    <row r="430" ht="15" customHeight="1">
      <c r="A430" t="inlineStr">
        <is>
          <t>A 57732-2025</t>
        </is>
      </c>
      <c r="B430" t="inlineStr">
        <is>
          <t>avverkningsanmälan</t>
        </is>
      </c>
      <c r="C430" t="inlineStr">
        <is>
          <t>Föryngringsavverkning</t>
        </is>
      </c>
      <c r="D430" s="1" t="n">
        <v>45981</v>
      </c>
      <c r="E430" s="1" t="n">
        <v>46219</v>
      </c>
      <c r="F430" t="inlineStr">
        <is>
          <t>NORRBOTTENS LÄN</t>
        </is>
      </c>
      <c r="G430" t="inlineStr">
        <is>
          <t>PITEÅ</t>
        </is>
      </c>
      <c r="I430" t="n">
        <v>8.4</v>
      </c>
      <c r="J430" t="n">
        <v>0</v>
      </c>
      <c r="K430" t="n">
        <v>0</v>
      </c>
      <c r="L430" t="n">
        <v>0</v>
      </c>
      <c r="M430" t="n">
        <v>0</v>
      </c>
      <c r="N430" t="n">
        <v>0</v>
      </c>
      <c r="O430" t="n">
        <v>0</v>
      </c>
      <c r="P430" t="n">
        <v>0</v>
      </c>
      <c r="Q430" t="n">
        <v>0</v>
      </c>
      <c r="R430" t="n">
        <v>0</v>
      </c>
      <c r="S430" t="n">
        <v>0</v>
      </c>
      <c r="T430" t="n">
        <v>0</v>
      </c>
      <c r="U430" s="2" t="inlineStr"/>
    </row>
    <row r="431" ht="15" customHeight="1">
      <c r="A431" t="inlineStr">
        <is>
          <t>A 57733-2025</t>
        </is>
      </c>
      <c r="B431" t="inlineStr">
        <is>
          <t>avverkningsanmälan</t>
        </is>
      </c>
      <c r="C431" t="inlineStr">
        <is>
          <t>Föryngringsavverkning</t>
        </is>
      </c>
      <c r="D431" s="1" t="n">
        <v>45981</v>
      </c>
      <c r="E431" s="1" t="n">
        <v>46219</v>
      </c>
      <c r="F431" t="inlineStr">
        <is>
          <t>NORRBOTTENS LÄN</t>
        </is>
      </c>
      <c r="G431" t="inlineStr">
        <is>
          <t>PITEÅ</t>
        </is>
      </c>
      <c r="I431" t="n">
        <v>5.2</v>
      </c>
      <c r="J431" t="n">
        <v>0</v>
      </c>
      <c r="K431" t="n">
        <v>0</v>
      </c>
      <c r="L431" t="n">
        <v>0</v>
      </c>
      <c r="M431" t="n">
        <v>0</v>
      </c>
      <c r="N431" t="n">
        <v>0</v>
      </c>
      <c r="O431" t="n">
        <v>0</v>
      </c>
      <c r="P431" t="n">
        <v>0</v>
      </c>
      <c r="Q431" t="n">
        <v>0</v>
      </c>
      <c r="R431" t="n">
        <v>0</v>
      </c>
      <c r="S431" t="n">
        <v>0</v>
      </c>
      <c r="T431" t="n">
        <v>0</v>
      </c>
      <c r="U431" s="2" t="inlineStr"/>
    </row>
    <row r="432" ht="15" customHeight="1">
      <c r="A432" t="inlineStr">
        <is>
          <t>A 57994-2025</t>
        </is>
      </c>
      <c r="B432" t="inlineStr">
        <is>
          <t>avverkningsanmälan</t>
        </is>
      </c>
      <c r="C432" t="inlineStr">
        <is>
          <t>Föryngringsavverkning</t>
        </is>
      </c>
      <c r="D432" s="1" t="n">
        <v>45982</v>
      </c>
      <c r="E432" s="1" t="n">
        <v>46219</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58078-2025</t>
        </is>
      </c>
      <c r="B433" t="inlineStr">
        <is>
          <t>avverkningsanmälan</t>
        </is>
      </c>
      <c r="C433" t="inlineStr">
        <is>
          <t>Avverkning för annat ändamål</t>
        </is>
      </c>
      <c r="D433" s="1" t="n">
        <v>45982</v>
      </c>
      <c r="E433" s="1" t="n">
        <v>46219</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57747-2025</t>
        </is>
      </c>
      <c r="B434" t="inlineStr">
        <is>
          <t>avverkningsanmälan</t>
        </is>
      </c>
      <c r="C434" t="inlineStr">
        <is>
          <t>Föryngringsavverkning</t>
        </is>
      </c>
      <c r="D434" s="1" t="n">
        <v>45981</v>
      </c>
      <c r="E434" s="1" t="n">
        <v>46219</v>
      </c>
      <c r="F434" t="inlineStr">
        <is>
          <t>NORRBOTTENS LÄN</t>
        </is>
      </c>
      <c r="G434" t="inlineStr">
        <is>
          <t>PITEÅ</t>
        </is>
      </c>
      <c r="I434" t="n">
        <v>5.5</v>
      </c>
      <c r="J434" t="n">
        <v>0</v>
      </c>
      <c r="K434" t="n">
        <v>0</v>
      </c>
      <c r="L434" t="n">
        <v>0</v>
      </c>
      <c r="M434" t="n">
        <v>0</v>
      </c>
      <c r="N434" t="n">
        <v>0</v>
      </c>
      <c r="O434" t="n">
        <v>0</v>
      </c>
      <c r="P434" t="n">
        <v>0</v>
      </c>
      <c r="Q434" t="n">
        <v>0</v>
      </c>
      <c r="R434" t="n">
        <v>0</v>
      </c>
      <c r="S434" t="n">
        <v>0</v>
      </c>
      <c r="T434" t="n">
        <v>0</v>
      </c>
      <c r="U434" s="2" t="inlineStr"/>
    </row>
    <row r="435" ht="15" customHeight="1">
      <c r="A435" t="inlineStr">
        <is>
          <t>A 57746-2025</t>
        </is>
      </c>
      <c r="B435" t="inlineStr">
        <is>
          <t>avverkningsanmälan</t>
        </is>
      </c>
      <c r="C435" t="inlineStr">
        <is>
          <t>Föryngringsavverkning</t>
        </is>
      </c>
      <c r="D435" s="1" t="n">
        <v>45981</v>
      </c>
      <c r="E435" s="1" t="n">
        <v>46219</v>
      </c>
      <c r="F435" t="inlineStr">
        <is>
          <t>NORRBOTTENS LÄN</t>
        </is>
      </c>
      <c r="G435" t="inlineStr">
        <is>
          <t>PITEÅ</t>
        </is>
      </c>
      <c r="I435" t="n">
        <v>6.3</v>
      </c>
      <c r="J435" t="n">
        <v>0</v>
      </c>
      <c r="K435" t="n">
        <v>0</v>
      </c>
      <c r="L435" t="n">
        <v>0</v>
      </c>
      <c r="M435" t="n">
        <v>0</v>
      </c>
      <c r="N435" t="n">
        <v>0</v>
      </c>
      <c r="O435" t="n">
        <v>0</v>
      </c>
      <c r="P435" t="n">
        <v>0</v>
      </c>
      <c r="Q435" t="n">
        <v>0</v>
      </c>
      <c r="R435" t="n">
        <v>0</v>
      </c>
      <c r="S435" t="n">
        <v>0</v>
      </c>
      <c r="T435" t="n">
        <v>0</v>
      </c>
      <c r="U435" s="2" t="inlineStr"/>
    </row>
    <row r="436" ht="15" customHeight="1">
      <c r="A436" t="inlineStr">
        <is>
          <t>A 30199-2026</t>
        </is>
      </c>
      <c r="B436" t="inlineStr">
        <is>
          <t>avverkningsanmälan</t>
        </is>
      </c>
      <c r="C436" t="inlineStr">
        <is>
          <t>Föryngringsavverkning</t>
        </is>
      </c>
      <c r="D436" s="1" t="n">
        <v>46206</v>
      </c>
      <c r="E436" s="1" t="n">
        <v>46219</v>
      </c>
      <c r="F436" t="inlineStr">
        <is>
          <t>NORRBOTTENS LÄN</t>
        </is>
      </c>
      <c r="G436" t="inlineStr">
        <is>
          <t>PITEÅ</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24697-2026</t>
        </is>
      </c>
      <c r="B437" t="inlineStr">
        <is>
          <t>avverkningsanmälan</t>
        </is>
      </c>
      <c r="C437" t="inlineStr">
        <is>
          <t>Föryngringsavverkning</t>
        </is>
      </c>
      <c r="D437" s="1" t="n">
        <v>46171</v>
      </c>
      <c r="E437" s="1" t="n">
        <v>46219</v>
      </c>
      <c r="F437" t="inlineStr">
        <is>
          <t>NORRBOTTENS LÄN</t>
        </is>
      </c>
      <c r="G437" t="inlineStr">
        <is>
          <t>PITEÅ</t>
        </is>
      </c>
      <c r="H437" t="inlineStr">
        <is>
          <t>SCA</t>
        </is>
      </c>
      <c r="I437" t="n">
        <v>4.2</v>
      </c>
      <c r="J437" t="n">
        <v>0</v>
      </c>
      <c r="K437" t="n">
        <v>0</v>
      </c>
      <c r="L437" t="n">
        <v>0</v>
      </c>
      <c r="M437" t="n">
        <v>0</v>
      </c>
      <c r="N437" t="n">
        <v>0</v>
      </c>
      <c r="O437" t="n">
        <v>0</v>
      </c>
      <c r="P437" t="n">
        <v>0</v>
      </c>
      <c r="Q437" t="n">
        <v>0</v>
      </c>
      <c r="R437" t="n">
        <v>0</v>
      </c>
      <c r="S437" t="n">
        <v>0</v>
      </c>
      <c r="T437" t="n">
        <v>0</v>
      </c>
      <c r="U437" s="2" t="inlineStr"/>
    </row>
    <row r="438" ht="15" customHeight="1">
      <c r="A438" t="inlineStr">
        <is>
          <t>A 58219-2025</t>
        </is>
      </c>
      <c r="B438" t="inlineStr">
        <is>
          <t>avverkningsanmälan</t>
        </is>
      </c>
      <c r="C438" t="inlineStr">
        <is>
          <t>Föryngringsavverkning</t>
        </is>
      </c>
      <c r="D438" s="1" t="n">
        <v>45985</v>
      </c>
      <c r="E438" s="1" t="n">
        <v>46219</v>
      </c>
      <c r="F438" t="inlineStr">
        <is>
          <t>NORRBOTTENS LÄN</t>
        </is>
      </c>
      <c r="G438" t="inlineStr">
        <is>
          <t>PITEÅ</t>
        </is>
      </c>
      <c r="H438" t="inlineStr">
        <is>
          <t>Övriga Aktiebolag</t>
        </is>
      </c>
      <c r="I438" t="n">
        <v>12.9</v>
      </c>
      <c r="J438" t="n">
        <v>0</v>
      </c>
      <c r="K438" t="n">
        <v>0</v>
      </c>
      <c r="L438" t="n">
        <v>0</v>
      </c>
      <c r="M438" t="n">
        <v>0</v>
      </c>
      <c r="N438" t="n">
        <v>0</v>
      </c>
      <c r="O438" t="n">
        <v>0</v>
      </c>
      <c r="P438" t="n">
        <v>0</v>
      </c>
      <c r="Q438" t="n">
        <v>0</v>
      </c>
      <c r="R438" t="n">
        <v>0</v>
      </c>
      <c r="S438" t="n">
        <v>0</v>
      </c>
      <c r="T438" t="n">
        <v>0</v>
      </c>
      <c r="U438" s="2" t="inlineStr"/>
    </row>
    <row r="439" ht="15" customHeight="1">
      <c r="A439" t="inlineStr">
        <is>
          <t>A 58352-2025</t>
        </is>
      </c>
      <c r="B439" t="inlineStr">
        <is>
          <t>avverkningsanmälan</t>
        </is>
      </c>
      <c r="C439" t="inlineStr">
        <is>
          <t>Föryngringsavverkning</t>
        </is>
      </c>
      <c r="D439" s="1" t="n">
        <v>45985</v>
      </c>
      <c r="E439" s="1" t="n">
        <v>46219</v>
      </c>
      <c r="F439" t="inlineStr">
        <is>
          <t>NORRBOTTENS LÄN</t>
        </is>
      </c>
      <c r="G439" t="inlineStr">
        <is>
          <t>PITEÅ</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29270-2026</t>
        </is>
      </c>
      <c r="B440" t="inlineStr">
        <is>
          <t>avverkningsanmälan</t>
        </is>
      </c>
      <c r="C440" t="inlineStr">
        <is>
          <t>Avverkning för annat ändamål</t>
        </is>
      </c>
      <c r="D440" s="1" t="n">
        <v>46197</v>
      </c>
      <c r="E440" s="1" t="n">
        <v>46219</v>
      </c>
      <c r="F440" t="inlineStr">
        <is>
          <t>NORRBOTTENS LÄN</t>
        </is>
      </c>
      <c r="G440" t="inlineStr">
        <is>
          <t>PITEÅ</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58580-2025</t>
        </is>
      </c>
      <c r="B441" t="inlineStr">
        <is>
          <t>avverkningsanmälan</t>
        </is>
      </c>
      <c r="C441" t="inlineStr">
        <is>
          <t>Föryngringsavverkning</t>
        </is>
      </c>
      <c r="D441" s="1" t="n">
        <v>45986</v>
      </c>
      <c r="E441" s="1" t="n">
        <v>46219</v>
      </c>
      <c r="F441" t="inlineStr">
        <is>
          <t>NORRBOTTENS LÄN</t>
        </is>
      </c>
      <c r="G441" t="inlineStr">
        <is>
          <t>PITEÅ</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58701-2025</t>
        </is>
      </c>
      <c r="B442" t="inlineStr">
        <is>
          <t>avverkningsanmälan</t>
        </is>
      </c>
      <c r="C442" t="inlineStr">
        <is>
          <t>Föryngringsavverkning</t>
        </is>
      </c>
      <c r="D442" s="1" t="n">
        <v>45986</v>
      </c>
      <c r="E442" s="1" t="n">
        <v>46219</v>
      </c>
      <c r="F442" t="inlineStr">
        <is>
          <t>NORRBOTTENS LÄN</t>
        </is>
      </c>
      <c r="G442" t="inlineStr">
        <is>
          <t>PITEÅ</t>
        </is>
      </c>
      <c r="H442" t="inlineStr">
        <is>
          <t>Sveaskog</t>
        </is>
      </c>
      <c r="I442" t="n">
        <v>8.6</v>
      </c>
      <c r="J442" t="n">
        <v>0</v>
      </c>
      <c r="K442" t="n">
        <v>0</v>
      </c>
      <c r="L442" t="n">
        <v>0</v>
      </c>
      <c r="M442" t="n">
        <v>0</v>
      </c>
      <c r="N442" t="n">
        <v>0</v>
      </c>
      <c r="O442" t="n">
        <v>0</v>
      </c>
      <c r="P442" t="n">
        <v>0</v>
      </c>
      <c r="Q442" t="n">
        <v>0</v>
      </c>
      <c r="R442" t="n">
        <v>0</v>
      </c>
      <c r="S442" t="n">
        <v>0</v>
      </c>
      <c r="T442" t="n">
        <v>0</v>
      </c>
      <c r="U442" s="2" t="inlineStr"/>
    </row>
    <row r="443" ht="15" customHeight="1">
      <c r="A443" t="inlineStr">
        <is>
          <t>A 58374-2025</t>
        </is>
      </c>
      <c r="B443" t="inlineStr">
        <is>
          <t>avverkningsanmälan</t>
        </is>
      </c>
      <c r="C443" t="inlineStr">
        <is>
          <t>Föryngringsavverkning</t>
        </is>
      </c>
      <c r="D443" s="1" t="n">
        <v>45985</v>
      </c>
      <c r="E443" s="1" t="n">
        <v>46219</v>
      </c>
      <c r="F443" t="inlineStr">
        <is>
          <t>NORRBOTTENS LÄN</t>
        </is>
      </c>
      <c r="G443" t="inlineStr">
        <is>
          <t>PITEÅ</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58375-2025</t>
        </is>
      </c>
      <c r="B444" t="inlineStr">
        <is>
          <t>avverkningsanmälan</t>
        </is>
      </c>
      <c r="C444" t="inlineStr">
        <is>
          <t>Föryngringsavverkning</t>
        </is>
      </c>
      <c r="D444" s="1" t="n">
        <v>45985</v>
      </c>
      <c r="E444" s="1" t="n">
        <v>46219</v>
      </c>
      <c r="F444" t="inlineStr">
        <is>
          <t>NORRBOTTENS LÄN</t>
        </is>
      </c>
      <c r="G444" t="inlineStr">
        <is>
          <t>PITEÅ</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56707-2024</t>
        </is>
      </c>
      <c r="B445" t="inlineStr">
        <is>
          <t>avverkningsanmälan</t>
        </is>
      </c>
      <c r="C445" t="inlineStr">
        <is>
          <t>Föryngringsavverkning</t>
        </is>
      </c>
      <c r="D445" s="1" t="n">
        <v>45627</v>
      </c>
      <c r="E445" s="1" t="n">
        <v>46219</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47446-2023</t>
        </is>
      </c>
      <c r="B446" t="inlineStr">
        <is>
          <t>avverkningsanmälan</t>
        </is>
      </c>
      <c r="C446" t="inlineStr">
        <is>
          <t>Föryngringsavverkning</t>
        </is>
      </c>
      <c r="D446" s="1" t="n">
        <v>45202</v>
      </c>
      <c r="E446" s="1" t="n">
        <v>46219</v>
      </c>
      <c r="F446" t="inlineStr">
        <is>
          <t>NORRBOTTENS LÄN</t>
        </is>
      </c>
      <c r="G446" t="inlineStr">
        <is>
          <t>PITEÅ</t>
        </is>
      </c>
      <c r="H446" t="inlineStr">
        <is>
          <t>Övriga Aktiebolag</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63224-2023</t>
        </is>
      </c>
      <c r="B447" t="inlineStr">
        <is>
          <t>avverkningsanmälan</t>
        </is>
      </c>
      <c r="C447" t="inlineStr">
        <is>
          <t>Föryngringsavverkning</t>
        </is>
      </c>
      <c r="D447" s="1" t="n">
        <v>45273</v>
      </c>
      <c r="E447" s="1" t="n">
        <v>46219</v>
      </c>
      <c r="F447" t="inlineStr">
        <is>
          <t>NORRBOTTENS LÄN</t>
        </is>
      </c>
      <c r="G447" t="inlineStr">
        <is>
          <t>PITEÅ</t>
        </is>
      </c>
      <c r="I447" t="n">
        <v>3.8</v>
      </c>
      <c r="J447" t="n">
        <v>0</v>
      </c>
      <c r="K447" t="n">
        <v>0</v>
      </c>
      <c r="L447" t="n">
        <v>0</v>
      </c>
      <c r="M447" t="n">
        <v>0</v>
      </c>
      <c r="N447" t="n">
        <v>0</v>
      </c>
      <c r="O447" t="n">
        <v>0</v>
      </c>
      <c r="P447" t="n">
        <v>0</v>
      </c>
      <c r="Q447" t="n">
        <v>0</v>
      </c>
      <c r="R447" t="n">
        <v>0</v>
      </c>
      <c r="S447" t="n">
        <v>0</v>
      </c>
      <c r="T447" t="n">
        <v>0</v>
      </c>
      <c r="U447" s="2" t="inlineStr"/>
    </row>
    <row r="448" ht="15" customHeight="1">
      <c r="A448" t="inlineStr">
        <is>
          <t>A 15469-2025</t>
        </is>
      </c>
      <c r="B448" t="inlineStr">
        <is>
          <t>avverkningsanmälan</t>
        </is>
      </c>
      <c r="C448" t="inlineStr">
        <is>
          <t>Föryngringsavverkning</t>
        </is>
      </c>
      <c r="D448" s="1" t="n">
        <v>45747</v>
      </c>
      <c r="E448" s="1" t="n">
        <v>46219</v>
      </c>
      <c r="F448" t="inlineStr">
        <is>
          <t>NORRBOTTENS LÄN</t>
        </is>
      </c>
      <c r="G448" t="inlineStr">
        <is>
          <t>PITEÅ</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5502-2024</t>
        </is>
      </c>
      <c r="B449" t="inlineStr">
        <is>
          <t>avverkningsanmälan</t>
        </is>
      </c>
      <c r="C449" t="inlineStr">
        <is>
          <t>Föryngringsavverkning</t>
        </is>
      </c>
      <c r="D449" s="1" t="n">
        <v>45331</v>
      </c>
      <c r="E449" s="1" t="n">
        <v>46219</v>
      </c>
      <c r="F449" t="inlineStr">
        <is>
          <t>NORRBOTTENS LÄN</t>
        </is>
      </c>
      <c r="G449" t="inlineStr">
        <is>
          <t>PITEÅ</t>
        </is>
      </c>
      <c r="I449" t="n">
        <v>2.8</v>
      </c>
      <c r="J449" t="n">
        <v>0</v>
      </c>
      <c r="K449" t="n">
        <v>0</v>
      </c>
      <c r="L449" t="n">
        <v>0</v>
      </c>
      <c r="M449" t="n">
        <v>0</v>
      </c>
      <c r="N449" t="n">
        <v>0</v>
      </c>
      <c r="O449" t="n">
        <v>0</v>
      </c>
      <c r="P449" t="n">
        <v>0</v>
      </c>
      <c r="Q449" t="n">
        <v>0</v>
      </c>
      <c r="R449" t="n">
        <v>0</v>
      </c>
      <c r="S449" t="n">
        <v>0</v>
      </c>
      <c r="T449" t="n">
        <v>0</v>
      </c>
      <c r="U449" s="2" t="inlineStr"/>
    </row>
    <row r="450" ht="15" customHeight="1">
      <c r="A450" t="inlineStr">
        <is>
          <t>A 32466-2024</t>
        </is>
      </c>
      <c r="B450" t="inlineStr">
        <is>
          <t>avverkningsanmälan</t>
        </is>
      </c>
      <c r="C450" t="inlineStr">
        <is>
          <t>Föryngringsavverkning</t>
        </is>
      </c>
      <c r="D450" s="1" t="n">
        <v>45512</v>
      </c>
      <c r="E450" s="1" t="n">
        <v>46219</v>
      </c>
      <c r="F450" t="inlineStr">
        <is>
          <t>NORRBOTTENS LÄN</t>
        </is>
      </c>
      <c r="G450" t="inlineStr">
        <is>
          <t>PITEÅ</t>
        </is>
      </c>
      <c r="H450" t="inlineStr">
        <is>
          <t>SCA</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59220-2025</t>
        </is>
      </c>
      <c r="B451" t="inlineStr">
        <is>
          <t>avverkningsanmälan</t>
        </is>
      </c>
      <c r="C451" t="inlineStr">
        <is>
          <t>Föryngringsavverkning</t>
        </is>
      </c>
      <c r="D451" s="1" t="n">
        <v>45988</v>
      </c>
      <c r="E451" s="1" t="n">
        <v>46219</v>
      </c>
      <c r="F451" t="inlineStr">
        <is>
          <t>NORRBOTTENS LÄN</t>
        </is>
      </c>
      <c r="G451" t="inlineStr">
        <is>
          <t>PITEÅ</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24642-2026</t>
        </is>
      </c>
      <c r="B452" t="inlineStr">
        <is>
          <t>avverkningsanmälan</t>
        </is>
      </c>
      <c r="C452" t="inlineStr">
        <is>
          <t>Föryngringsavverkning</t>
        </is>
      </c>
      <c r="D452" s="1" t="n">
        <v>46171</v>
      </c>
      <c r="E452" s="1" t="n">
        <v>46219</v>
      </c>
      <c r="F452" t="inlineStr">
        <is>
          <t>NORRBOTTENS LÄN</t>
        </is>
      </c>
      <c r="G452" t="inlineStr">
        <is>
          <t>PITEÅ</t>
        </is>
      </c>
      <c r="H452" t="inlineStr">
        <is>
          <t>SCA</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55826-2023</t>
        </is>
      </c>
      <c r="B453" t="inlineStr">
        <is>
          <t>avverkningsanmälan</t>
        </is>
      </c>
      <c r="C453" t="inlineStr">
        <is>
          <t>Föryngringsavverkning</t>
        </is>
      </c>
      <c r="D453" s="1" t="n">
        <v>45239</v>
      </c>
      <c r="E453" s="1" t="n">
        <v>46219</v>
      </c>
      <c r="F453" t="inlineStr">
        <is>
          <t>NORRBOTTENS LÄN</t>
        </is>
      </c>
      <c r="G453" t="inlineStr">
        <is>
          <t>PITEÅ</t>
        </is>
      </c>
      <c r="I453" t="n">
        <v>9.300000000000001</v>
      </c>
      <c r="J453" t="n">
        <v>0</v>
      </c>
      <c r="K453" t="n">
        <v>0</v>
      </c>
      <c r="L453" t="n">
        <v>0</v>
      </c>
      <c r="M453" t="n">
        <v>0</v>
      </c>
      <c r="N453" t="n">
        <v>0</v>
      </c>
      <c r="O453" t="n">
        <v>0</v>
      </c>
      <c r="P453" t="n">
        <v>0</v>
      </c>
      <c r="Q453" t="n">
        <v>0</v>
      </c>
      <c r="R453" t="n">
        <v>0</v>
      </c>
      <c r="S453" t="n">
        <v>0</v>
      </c>
      <c r="T453" t="n">
        <v>0</v>
      </c>
      <c r="U453" s="2" t="inlineStr"/>
    </row>
    <row r="454" ht="15" customHeight="1">
      <c r="A454" t="inlineStr">
        <is>
          <t>A 24718-2026</t>
        </is>
      </c>
      <c r="B454" t="inlineStr">
        <is>
          <t>avverkningsanmälan</t>
        </is>
      </c>
      <c r="C454" t="inlineStr">
        <is>
          <t>Föryngringsavverkning</t>
        </is>
      </c>
      <c r="D454" s="1" t="n">
        <v>46171</v>
      </c>
      <c r="E454" s="1" t="n">
        <v>46219</v>
      </c>
      <c r="F454" t="inlineStr">
        <is>
          <t>NORRBOTTENS LÄN</t>
        </is>
      </c>
      <c r="G454" t="inlineStr">
        <is>
          <t>PITEÅ</t>
        </is>
      </c>
      <c r="H454" t="inlineStr">
        <is>
          <t>SCA</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28720-2024</t>
        </is>
      </c>
      <c r="B455" t="inlineStr">
        <is>
          <t>avverkningsanmälan</t>
        </is>
      </c>
      <c r="C455" t="inlineStr">
        <is>
          <t>Föryngringsavverkning</t>
        </is>
      </c>
      <c r="D455" s="1" t="n">
        <v>45478</v>
      </c>
      <c r="E455" s="1" t="n">
        <v>46219</v>
      </c>
      <c r="F455" t="inlineStr">
        <is>
          <t>NORRBOTTENS LÄN</t>
        </is>
      </c>
      <c r="G455" t="inlineStr">
        <is>
          <t>PITEÅ</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7083-2025</t>
        </is>
      </c>
      <c r="B456" t="inlineStr">
        <is>
          <t>avverkningsanmälan</t>
        </is>
      </c>
      <c r="C456" t="inlineStr">
        <is>
          <t>Föryngringsavverkning</t>
        </is>
      </c>
      <c r="D456" s="1" t="n">
        <v>45701</v>
      </c>
      <c r="E456" s="1" t="n">
        <v>46219</v>
      </c>
      <c r="F456" t="inlineStr">
        <is>
          <t>NORRBOTTENS LÄN</t>
        </is>
      </c>
      <c r="G456" t="inlineStr">
        <is>
          <t>PITEÅ</t>
        </is>
      </c>
      <c r="I456" t="n">
        <v>10.5</v>
      </c>
      <c r="J456" t="n">
        <v>0</v>
      </c>
      <c r="K456" t="n">
        <v>0</v>
      </c>
      <c r="L456" t="n">
        <v>0</v>
      </c>
      <c r="M456" t="n">
        <v>0</v>
      </c>
      <c r="N456" t="n">
        <v>0</v>
      </c>
      <c r="O456" t="n">
        <v>0</v>
      </c>
      <c r="P456" t="n">
        <v>0</v>
      </c>
      <c r="Q456" t="n">
        <v>0</v>
      </c>
      <c r="R456" t="n">
        <v>0</v>
      </c>
      <c r="S456" t="n">
        <v>0</v>
      </c>
      <c r="T456" t="n">
        <v>0</v>
      </c>
      <c r="U456" s="2" t="inlineStr"/>
    </row>
    <row r="457" ht="15" customHeight="1">
      <c r="A457" t="inlineStr">
        <is>
          <t>A 31202-2026</t>
        </is>
      </c>
      <c r="B457" t="inlineStr">
        <is>
          <t>avverkningsanmälan</t>
        </is>
      </c>
      <c r="C457" t="inlineStr">
        <is>
          <t>Föryngringsavverkning</t>
        </is>
      </c>
      <c r="D457" s="1" t="n">
        <v>46217</v>
      </c>
      <c r="E457" s="1" t="n">
        <v>46219</v>
      </c>
      <c r="F457" t="inlineStr">
        <is>
          <t>NORRBOTTENS LÄN</t>
        </is>
      </c>
      <c r="G457" t="inlineStr">
        <is>
          <t>PITEÅ</t>
        </is>
      </c>
      <c r="H457" t="inlineStr">
        <is>
          <t>Övriga statliga verk och myndigheter</t>
        </is>
      </c>
      <c r="I457" t="n">
        <v>3.3</v>
      </c>
      <c r="J457" t="n">
        <v>0</v>
      </c>
      <c r="K457" t="n">
        <v>0</v>
      </c>
      <c r="L457" t="n">
        <v>0</v>
      </c>
      <c r="M457" t="n">
        <v>0</v>
      </c>
      <c r="N457" t="n">
        <v>0</v>
      </c>
      <c r="O457" t="n">
        <v>0</v>
      </c>
      <c r="P457" t="n">
        <v>0</v>
      </c>
      <c r="Q457" t="n">
        <v>0</v>
      </c>
      <c r="R457" t="n">
        <v>0</v>
      </c>
      <c r="S457" t="n">
        <v>0</v>
      </c>
      <c r="T457" t="n">
        <v>0</v>
      </c>
      <c r="U457" s="2" t="inlineStr"/>
    </row>
    <row r="458" ht="15" customHeight="1">
      <c r="A458" t="inlineStr">
        <is>
          <t>A 59421-2025</t>
        </is>
      </c>
      <c r="B458" t="inlineStr">
        <is>
          <t>avverkningsanmälan</t>
        </is>
      </c>
      <c r="C458" t="inlineStr">
        <is>
          <t>Föryngringsavverkning</t>
        </is>
      </c>
      <c r="D458" s="1" t="n">
        <v>45989</v>
      </c>
      <c r="E458" s="1" t="n">
        <v>46219</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29269-2026</t>
        </is>
      </c>
      <c r="B459" t="inlineStr">
        <is>
          <t>avverkningsanmälan</t>
        </is>
      </c>
      <c r="C459" t="inlineStr">
        <is>
          <t>Avverkning för annat ändamål</t>
        </is>
      </c>
      <c r="D459" s="1" t="n">
        <v>46197</v>
      </c>
      <c r="E459" s="1" t="n">
        <v>46219</v>
      </c>
      <c r="F459" t="inlineStr">
        <is>
          <t>NORRBOTTENS LÄN</t>
        </is>
      </c>
      <c r="G459" t="inlineStr">
        <is>
          <t>PITEÅ</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21343-2024</t>
        </is>
      </c>
      <c r="B460" t="inlineStr">
        <is>
          <t>avverkningsanmälan</t>
        </is>
      </c>
      <c r="C460" t="inlineStr">
        <is>
          <t>Föryngringsavverkning</t>
        </is>
      </c>
      <c r="D460" s="1" t="n">
        <v>45440</v>
      </c>
      <c r="E460" s="1" t="n">
        <v>46219</v>
      </c>
      <c r="F460" t="inlineStr">
        <is>
          <t>NORRBOTTENS LÄN</t>
        </is>
      </c>
      <c r="G460" t="inlineStr">
        <is>
          <t>PITEÅ</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60099-2025</t>
        </is>
      </c>
      <c r="B461" t="inlineStr">
        <is>
          <t>avverkningsanmälan</t>
        </is>
      </c>
      <c r="C461" t="inlineStr">
        <is>
          <t>Föryngringsavverkning</t>
        </is>
      </c>
      <c r="D461" s="1" t="n">
        <v>45993</v>
      </c>
      <c r="E461" s="1" t="n">
        <v>46219</v>
      </c>
      <c r="F461" t="inlineStr">
        <is>
          <t>NORRBOTTENS LÄN</t>
        </is>
      </c>
      <c r="G461" t="inlineStr">
        <is>
          <t>PITEÅ</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54755-2024</t>
        </is>
      </c>
      <c r="B462" t="inlineStr">
        <is>
          <t>avverkningsanmälan</t>
        </is>
      </c>
      <c r="C462" t="inlineStr">
        <is>
          <t>Föryngringsavverkning</t>
        </is>
      </c>
      <c r="D462" s="1" t="n">
        <v>45618</v>
      </c>
      <c r="E462" s="1" t="n">
        <v>46219</v>
      </c>
      <c r="F462" t="inlineStr">
        <is>
          <t>NORRBOTTENS LÄN</t>
        </is>
      </c>
      <c r="G462" t="inlineStr">
        <is>
          <t>PITEÅ</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54761-2024</t>
        </is>
      </c>
      <c r="B463" t="inlineStr">
        <is>
          <t>avverkningsanmälan</t>
        </is>
      </c>
      <c r="C463" t="inlineStr">
        <is>
          <t>Föryngringsavverkning</t>
        </is>
      </c>
      <c r="D463" s="1" t="n">
        <v>45618</v>
      </c>
      <c r="E463" s="1" t="n">
        <v>46219</v>
      </c>
      <c r="F463" t="inlineStr">
        <is>
          <t>NORRBOTTENS LÄN</t>
        </is>
      </c>
      <c r="G463" t="inlineStr">
        <is>
          <t>PITEÅ</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29268-2026</t>
        </is>
      </c>
      <c r="B464" t="inlineStr">
        <is>
          <t>avverkningsanmälan</t>
        </is>
      </c>
      <c r="C464" t="inlineStr">
        <is>
          <t>Avverkning för annat ändamål</t>
        </is>
      </c>
      <c r="D464" s="1" t="n">
        <v>46197</v>
      </c>
      <c r="E464" s="1" t="n">
        <v>46219</v>
      </c>
      <c r="F464" t="inlineStr">
        <is>
          <t>NORRBOTTENS LÄN</t>
        </is>
      </c>
      <c r="G464" t="inlineStr">
        <is>
          <t>PITEÅ</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60101-2025</t>
        </is>
      </c>
      <c r="B465" t="inlineStr">
        <is>
          <t>avverkningsanmälan</t>
        </is>
      </c>
      <c r="C465" t="inlineStr">
        <is>
          <t>Föryngringsavverkning</t>
        </is>
      </c>
      <c r="D465" s="1" t="n">
        <v>45993</v>
      </c>
      <c r="E465" s="1" t="n">
        <v>46219</v>
      </c>
      <c r="F465" t="inlineStr">
        <is>
          <t>NORRBOTTENS LÄN</t>
        </is>
      </c>
      <c r="G465" t="inlineStr">
        <is>
          <t>PITEÅ</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14778-2025</t>
        </is>
      </c>
      <c r="B466" t="inlineStr">
        <is>
          <t>avverkningsanmälan</t>
        </is>
      </c>
      <c r="C466" t="inlineStr">
        <is>
          <t>Föryngringsavverkning</t>
        </is>
      </c>
      <c r="D466" s="1" t="n">
        <v>45742</v>
      </c>
      <c r="E466" s="1" t="n">
        <v>46219</v>
      </c>
      <c r="F466" t="inlineStr">
        <is>
          <t>NORRBOTTENS LÄN</t>
        </is>
      </c>
      <c r="G466" t="inlineStr">
        <is>
          <t>PITEÅ</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14560-2025</t>
        </is>
      </c>
      <c r="B467" t="inlineStr">
        <is>
          <t>avverkningsanmälan</t>
        </is>
      </c>
      <c r="C467" t="inlineStr">
        <is>
          <t>Föryngringsavverkning</t>
        </is>
      </c>
      <c r="D467" s="1" t="n">
        <v>45741</v>
      </c>
      <c r="E467" s="1" t="n">
        <v>46219</v>
      </c>
      <c r="F467" t="inlineStr">
        <is>
          <t>NORRBOTTENS LÄN</t>
        </is>
      </c>
      <c r="G467" t="inlineStr">
        <is>
          <t>PITEÅ</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60444-2025</t>
        </is>
      </c>
      <c r="B468" t="inlineStr">
        <is>
          <t>avverkningsanmälan</t>
        </is>
      </c>
      <c r="C468" t="inlineStr">
        <is>
          <t>Föryngringsavverkning</t>
        </is>
      </c>
      <c r="D468" s="1" t="n">
        <v>45995</v>
      </c>
      <c r="E468" s="1" t="n">
        <v>46219</v>
      </c>
      <c r="F468" t="inlineStr">
        <is>
          <t>NORRBOTTENS LÄN</t>
        </is>
      </c>
      <c r="G468" t="inlineStr">
        <is>
          <t>PITEÅ</t>
        </is>
      </c>
      <c r="I468" t="n">
        <v>17.3</v>
      </c>
      <c r="J468" t="n">
        <v>0</v>
      </c>
      <c r="K468" t="n">
        <v>0</v>
      </c>
      <c r="L468" t="n">
        <v>0</v>
      </c>
      <c r="M468" t="n">
        <v>0</v>
      </c>
      <c r="N468" t="n">
        <v>0</v>
      </c>
      <c r="O468" t="n">
        <v>0</v>
      </c>
      <c r="P468" t="n">
        <v>0</v>
      </c>
      <c r="Q468" t="n">
        <v>0</v>
      </c>
      <c r="R468" t="n">
        <v>0</v>
      </c>
      <c r="S468" t="n">
        <v>0</v>
      </c>
      <c r="T468" t="n">
        <v>0</v>
      </c>
      <c r="U468" s="2" t="inlineStr"/>
    </row>
    <row r="469" ht="15" customHeight="1">
      <c r="A469" t="inlineStr">
        <is>
          <t>A 60439-2025</t>
        </is>
      </c>
      <c r="B469" t="inlineStr">
        <is>
          <t>avverkningsanmälan</t>
        </is>
      </c>
      <c r="C469" t="inlineStr">
        <is>
          <t>Föryngringsavverkning</t>
        </is>
      </c>
      <c r="D469" s="1" t="n">
        <v>45995</v>
      </c>
      <c r="E469" s="1" t="n">
        <v>46219</v>
      </c>
      <c r="F469" t="inlineStr">
        <is>
          <t>NORRBOTTENS LÄN</t>
        </is>
      </c>
      <c r="G469" t="inlineStr">
        <is>
          <t>PITEÅ</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60442-2025</t>
        </is>
      </c>
      <c r="B470" t="inlineStr">
        <is>
          <t>avverkningsanmälan</t>
        </is>
      </c>
      <c r="C470" t="inlineStr">
        <is>
          <t>Föryngringsavverkning</t>
        </is>
      </c>
      <c r="D470" s="1" t="n">
        <v>45995</v>
      </c>
      <c r="E470" s="1" t="n">
        <v>46219</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60443-2025</t>
        </is>
      </c>
      <c r="B471" t="inlineStr">
        <is>
          <t>avverkningsanmälan</t>
        </is>
      </c>
      <c r="C471" t="inlineStr">
        <is>
          <t>Föryngringsavverkning</t>
        </is>
      </c>
      <c r="D471" s="1" t="n">
        <v>45995</v>
      </c>
      <c r="E471" s="1" t="n">
        <v>46219</v>
      </c>
      <c r="F471" t="inlineStr">
        <is>
          <t>NORRBOTTENS LÄN</t>
        </is>
      </c>
      <c r="G471" t="inlineStr">
        <is>
          <t>PITEÅ</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31186-2026</t>
        </is>
      </c>
      <c r="B472" t="inlineStr">
        <is>
          <t>avverkningsanmälan</t>
        </is>
      </c>
      <c r="C472" t="inlineStr">
        <is>
          <t>Föryngringsavverkning</t>
        </is>
      </c>
      <c r="D472" s="1" t="n">
        <v>46217</v>
      </c>
      <c r="E472" s="1" t="n">
        <v>46219</v>
      </c>
      <c r="F472" t="inlineStr">
        <is>
          <t>NORRBOTTENS LÄN</t>
        </is>
      </c>
      <c r="G472" t="inlineStr">
        <is>
          <t>PITEÅ</t>
        </is>
      </c>
      <c r="H472" t="inlineStr">
        <is>
          <t>Övriga statliga verk och myndigheter</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31213-2026</t>
        </is>
      </c>
      <c r="B473" t="inlineStr">
        <is>
          <t>avverkningsanmälan</t>
        </is>
      </c>
      <c r="C473" t="inlineStr">
        <is>
          <t>Föryngringsavverkning</t>
        </is>
      </c>
      <c r="D473" s="1" t="n">
        <v>46217</v>
      </c>
      <c r="E473" s="1" t="n">
        <v>46219</v>
      </c>
      <c r="F473" t="inlineStr">
        <is>
          <t>NORRBOTTENS LÄN</t>
        </is>
      </c>
      <c r="G473" t="inlineStr">
        <is>
          <t>PITEÅ</t>
        </is>
      </c>
      <c r="H473" t="inlineStr">
        <is>
          <t>Övriga statliga verk och myndigheter</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56073-2022</t>
        </is>
      </c>
      <c r="B474" t="inlineStr">
        <is>
          <t>avverkningsanmälan</t>
        </is>
      </c>
      <c r="C474" t="inlineStr">
        <is>
          <t>Föryngringsavverkning</t>
        </is>
      </c>
      <c r="D474" s="1" t="n">
        <v>44889</v>
      </c>
      <c r="E474" s="1" t="n">
        <v>46219</v>
      </c>
      <c r="F474" t="inlineStr">
        <is>
          <t>NORRBOTTENS LÄN</t>
        </is>
      </c>
      <c r="G474" t="inlineStr">
        <is>
          <t>PITEÅ</t>
        </is>
      </c>
      <c r="H474" t="inlineStr">
        <is>
          <t>Sveaskog</t>
        </is>
      </c>
      <c r="I474" t="n">
        <v>10.4</v>
      </c>
      <c r="J474" t="n">
        <v>0</v>
      </c>
      <c r="K474" t="n">
        <v>0</v>
      </c>
      <c r="L474" t="n">
        <v>0</v>
      </c>
      <c r="M474" t="n">
        <v>0</v>
      </c>
      <c r="N474" t="n">
        <v>0</v>
      </c>
      <c r="O474" t="n">
        <v>0</v>
      </c>
      <c r="P474" t="n">
        <v>0</v>
      </c>
      <c r="Q474" t="n">
        <v>0</v>
      </c>
      <c r="R474" t="n">
        <v>0</v>
      </c>
      <c r="S474" t="n">
        <v>0</v>
      </c>
      <c r="T474" t="n">
        <v>0</v>
      </c>
      <c r="U474" s="2" t="inlineStr"/>
    </row>
    <row r="475" ht="15" customHeight="1">
      <c r="A475" t="inlineStr">
        <is>
          <t>A 31159-2024</t>
        </is>
      </c>
      <c r="B475" t="inlineStr">
        <is>
          <t>avverkningsanmälan</t>
        </is>
      </c>
      <c r="C475" t="inlineStr">
        <is>
          <t>Föryngringsavverkning</t>
        </is>
      </c>
      <c r="D475" s="1" t="n">
        <v>45503</v>
      </c>
      <c r="E475" s="1" t="n">
        <v>46219</v>
      </c>
      <c r="F475" t="inlineStr">
        <is>
          <t>NORRBOTTENS LÄN</t>
        </is>
      </c>
      <c r="G475" t="inlineStr">
        <is>
          <t>PITEÅ</t>
        </is>
      </c>
      <c r="I475" t="n">
        <v>6.2</v>
      </c>
      <c r="J475" t="n">
        <v>0</v>
      </c>
      <c r="K475" t="n">
        <v>0</v>
      </c>
      <c r="L475" t="n">
        <v>0</v>
      </c>
      <c r="M475" t="n">
        <v>0</v>
      </c>
      <c r="N475" t="n">
        <v>0</v>
      </c>
      <c r="O475" t="n">
        <v>0</v>
      </c>
      <c r="P475" t="n">
        <v>0</v>
      </c>
      <c r="Q475" t="n">
        <v>0</v>
      </c>
      <c r="R475" t="n">
        <v>0</v>
      </c>
      <c r="S475" t="n">
        <v>0</v>
      </c>
      <c r="T475" t="n">
        <v>0</v>
      </c>
      <c r="U475" s="2" t="inlineStr"/>
    </row>
    <row r="476" ht="15" customHeight="1">
      <c r="A476" t="inlineStr">
        <is>
          <t>A 52403-2025</t>
        </is>
      </c>
      <c r="B476" t="inlineStr">
        <is>
          <t>avverkningsanmälan</t>
        </is>
      </c>
      <c r="C476" t="inlineStr">
        <is>
          <t>Avverkning för annat ändamål</t>
        </is>
      </c>
      <c r="D476" s="1" t="n">
        <v>45952</v>
      </c>
      <c r="E476" s="1" t="n">
        <v>46219</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25115-2026</t>
        </is>
      </c>
      <c r="B477" t="inlineStr">
        <is>
          <t>avverkningsanmälan</t>
        </is>
      </c>
      <c r="C477" t="inlineStr">
        <is>
          <t>Föryngringsavverkning</t>
        </is>
      </c>
      <c r="D477" s="1" t="n">
        <v>46175</v>
      </c>
      <c r="E477" s="1" t="n">
        <v>46219</v>
      </c>
      <c r="F477" t="inlineStr">
        <is>
          <t>NORRBOTTENS LÄN</t>
        </is>
      </c>
      <c r="G477" t="inlineStr">
        <is>
          <t>PITEÅ</t>
        </is>
      </c>
      <c r="H477" t="inlineStr">
        <is>
          <t>SCA</t>
        </is>
      </c>
      <c r="I477" t="n">
        <v>5</v>
      </c>
      <c r="J477" t="n">
        <v>0</v>
      </c>
      <c r="K477" t="n">
        <v>0</v>
      </c>
      <c r="L477" t="n">
        <v>0</v>
      </c>
      <c r="M477" t="n">
        <v>0</v>
      </c>
      <c r="N477" t="n">
        <v>0</v>
      </c>
      <c r="O477" t="n">
        <v>0</v>
      </c>
      <c r="P477" t="n">
        <v>0</v>
      </c>
      <c r="Q477" t="n">
        <v>0</v>
      </c>
      <c r="R477" t="n">
        <v>0</v>
      </c>
      <c r="S477" t="n">
        <v>0</v>
      </c>
      <c r="T477" t="n">
        <v>0</v>
      </c>
      <c r="U477" s="2" t="inlineStr"/>
    </row>
    <row r="478" ht="15" customHeight="1">
      <c r="A478" t="inlineStr">
        <is>
          <t>A 15607-2024</t>
        </is>
      </c>
      <c r="B478" t="inlineStr">
        <is>
          <t>avverkningsanmälan</t>
        </is>
      </c>
      <c r="C478" t="inlineStr">
        <is>
          <t>Föryngringsavverkning</t>
        </is>
      </c>
      <c r="D478" s="1" t="n">
        <v>45401</v>
      </c>
      <c r="E478" s="1" t="n">
        <v>46219</v>
      </c>
      <c r="F478" t="inlineStr">
        <is>
          <t>NORRBOTTENS LÄN</t>
        </is>
      </c>
      <c r="G478" t="inlineStr">
        <is>
          <t>PITEÅ</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61597-2025</t>
        </is>
      </c>
      <c r="B479" t="inlineStr">
        <is>
          <t>avverkningsanmälan</t>
        </is>
      </c>
      <c r="C479" t="inlineStr">
        <is>
          <t>Avverkning för annat ändamål</t>
        </is>
      </c>
      <c r="D479" s="1" t="n">
        <v>46002</v>
      </c>
      <c r="E479" s="1" t="n">
        <v>46219</v>
      </c>
      <c r="F479" t="inlineStr">
        <is>
          <t>NORRBOTTENS LÄN</t>
        </is>
      </c>
      <c r="G479" t="inlineStr">
        <is>
          <t>PITEÅ</t>
        </is>
      </c>
      <c r="H479" t="inlineStr">
        <is>
          <t>Sveaskog</t>
        </is>
      </c>
      <c r="I479" t="n">
        <v>4.4</v>
      </c>
      <c r="J479" t="n">
        <v>0</v>
      </c>
      <c r="K479" t="n">
        <v>0</v>
      </c>
      <c r="L479" t="n">
        <v>0</v>
      </c>
      <c r="M479" t="n">
        <v>0</v>
      </c>
      <c r="N479" t="n">
        <v>0</v>
      </c>
      <c r="O479" t="n">
        <v>0</v>
      </c>
      <c r="P479" t="n">
        <v>0</v>
      </c>
      <c r="Q479" t="n">
        <v>0</v>
      </c>
      <c r="R479" t="n">
        <v>0</v>
      </c>
      <c r="S479" t="n">
        <v>0</v>
      </c>
      <c r="T479" t="n">
        <v>0</v>
      </c>
      <c r="U479" s="2" t="inlineStr"/>
    </row>
    <row r="480" ht="15" customHeight="1">
      <c r="A480" t="inlineStr">
        <is>
          <t>A 41195-2024</t>
        </is>
      </c>
      <c r="B480" t="inlineStr">
        <is>
          <t>avverkningsanmälan</t>
        </is>
      </c>
      <c r="C480" t="inlineStr">
        <is>
          <t>Föryngringsavverkning</t>
        </is>
      </c>
      <c r="D480" s="1" t="n">
        <v>45559</v>
      </c>
      <c r="E480" s="1" t="n">
        <v>46219</v>
      </c>
      <c r="F480" t="inlineStr">
        <is>
          <t>NORRBOTTENS LÄN</t>
        </is>
      </c>
      <c r="G480" t="inlineStr">
        <is>
          <t>PITEÅ</t>
        </is>
      </c>
      <c r="I480" t="n">
        <v>2.2</v>
      </c>
      <c r="J480" t="n">
        <v>0</v>
      </c>
      <c r="K480" t="n">
        <v>0</v>
      </c>
      <c r="L480" t="n">
        <v>0</v>
      </c>
      <c r="M480" t="n">
        <v>0</v>
      </c>
      <c r="N480" t="n">
        <v>0</v>
      </c>
      <c r="O480" t="n">
        <v>0</v>
      </c>
      <c r="P480" t="n">
        <v>0</v>
      </c>
      <c r="Q480" t="n">
        <v>0</v>
      </c>
      <c r="R480" t="n">
        <v>0</v>
      </c>
      <c r="S480" t="n">
        <v>0</v>
      </c>
      <c r="T480" t="n">
        <v>0</v>
      </c>
      <c r="U480" s="2" t="inlineStr"/>
    </row>
    <row r="481" ht="15" customHeight="1">
      <c r="A481" t="inlineStr">
        <is>
          <t>A 34862-2024</t>
        </is>
      </c>
      <c r="B481" t="inlineStr">
        <is>
          <t>avverkningsanmälan</t>
        </is>
      </c>
      <c r="C481" t="inlineStr">
        <is>
          <t>Föryngringsavverkning</t>
        </is>
      </c>
      <c r="D481" s="1" t="n">
        <v>45527</v>
      </c>
      <c r="E481" s="1" t="n">
        <v>46219</v>
      </c>
      <c r="F481" t="inlineStr">
        <is>
          <t>NORRBOTTENS LÄN</t>
        </is>
      </c>
      <c r="G481" t="inlineStr">
        <is>
          <t>PITEÅ</t>
        </is>
      </c>
      <c r="H481" t="inlineStr">
        <is>
          <t>SCA</t>
        </is>
      </c>
      <c r="I481" t="n">
        <v>7.5</v>
      </c>
      <c r="J481" t="n">
        <v>0</v>
      </c>
      <c r="K481" t="n">
        <v>0</v>
      </c>
      <c r="L481" t="n">
        <v>0</v>
      </c>
      <c r="M481" t="n">
        <v>0</v>
      </c>
      <c r="N481" t="n">
        <v>0</v>
      </c>
      <c r="O481" t="n">
        <v>0</v>
      </c>
      <c r="P481" t="n">
        <v>0</v>
      </c>
      <c r="Q481" t="n">
        <v>0</v>
      </c>
      <c r="R481" t="n">
        <v>0</v>
      </c>
      <c r="S481" t="n">
        <v>0</v>
      </c>
      <c r="T481" t="n">
        <v>0</v>
      </c>
      <c r="U481" s="2" t="inlineStr"/>
    </row>
    <row r="482" ht="15" customHeight="1">
      <c r="A482" t="inlineStr">
        <is>
          <t>A 61708-2025</t>
        </is>
      </c>
      <c r="B482" t="inlineStr">
        <is>
          <t>avverkningsanmälan</t>
        </is>
      </c>
      <c r="C482" t="inlineStr">
        <is>
          <t>Föryngringsavverkning</t>
        </is>
      </c>
      <c r="D482" s="1" t="n">
        <v>46002</v>
      </c>
      <c r="E482" s="1" t="n">
        <v>46219</v>
      </c>
      <c r="F482" t="inlineStr">
        <is>
          <t>NORRBOTTENS LÄN</t>
        </is>
      </c>
      <c r="G482" t="inlineStr">
        <is>
          <t>PITEÅ</t>
        </is>
      </c>
      <c r="H482" t="inlineStr">
        <is>
          <t>Sveaskog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62198-2025</t>
        </is>
      </c>
      <c r="B483" t="inlineStr">
        <is>
          <t>avverkningsanmälan</t>
        </is>
      </c>
      <c r="C483" t="inlineStr">
        <is>
          <t>Föryngringsavverkning</t>
        </is>
      </c>
      <c r="D483" s="1" t="n">
        <v>46006</v>
      </c>
      <c r="E483" s="1" t="n">
        <v>46219</v>
      </c>
      <c r="F483" t="inlineStr">
        <is>
          <t>NORRBOTTENS LÄN</t>
        </is>
      </c>
      <c r="G483" t="inlineStr">
        <is>
          <t>PITEÅ</t>
        </is>
      </c>
      <c r="H483" t="inlineStr">
        <is>
          <t>SCA</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62214-2025</t>
        </is>
      </c>
      <c r="B484" t="inlineStr">
        <is>
          <t>avverkningsanmälan</t>
        </is>
      </c>
      <c r="C484" t="inlineStr">
        <is>
          <t>Föryngringsavverkning</t>
        </is>
      </c>
      <c r="D484" s="1" t="n">
        <v>46006</v>
      </c>
      <c r="E484" s="1" t="n">
        <v>46219</v>
      </c>
      <c r="F484" t="inlineStr">
        <is>
          <t>NORRBOTTENS LÄN</t>
        </is>
      </c>
      <c r="G484" t="inlineStr">
        <is>
          <t>PITEÅ</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34922-2024</t>
        </is>
      </c>
      <c r="B485" t="inlineStr">
        <is>
          <t>avverkningsanmälan</t>
        </is>
      </c>
      <c r="C485" t="inlineStr">
        <is>
          <t>Föryngringsavverkning</t>
        </is>
      </c>
      <c r="D485" s="1" t="n">
        <v>45527</v>
      </c>
      <c r="E485" s="1" t="n">
        <v>46219</v>
      </c>
      <c r="F485" t="inlineStr">
        <is>
          <t>NORRBOTTENS LÄN</t>
        </is>
      </c>
      <c r="G485" t="inlineStr">
        <is>
          <t>PITEÅ</t>
        </is>
      </c>
      <c r="H485" t="inlineStr">
        <is>
          <t>Sveaskog</t>
        </is>
      </c>
      <c r="I485" t="n">
        <v>18.1</v>
      </c>
      <c r="J485" t="n">
        <v>0</v>
      </c>
      <c r="K485" t="n">
        <v>0</v>
      </c>
      <c r="L485" t="n">
        <v>0</v>
      </c>
      <c r="M485" t="n">
        <v>0</v>
      </c>
      <c r="N485" t="n">
        <v>0</v>
      </c>
      <c r="O485" t="n">
        <v>0</v>
      </c>
      <c r="P485" t="n">
        <v>0</v>
      </c>
      <c r="Q485" t="n">
        <v>0</v>
      </c>
      <c r="R485" t="n">
        <v>0</v>
      </c>
      <c r="S485" t="n">
        <v>0</v>
      </c>
      <c r="T485" t="n">
        <v>0</v>
      </c>
      <c r="U485" s="2" t="inlineStr"/>
    </row>
    <row r="486" ht="15" customHeight="1">
      <c r="A486" t="inlineStr">
        <is>
          <t>A 63875-2023</t>
        </is>
      </c>
      <c r="B486" t="inlineStr">
        <is>
          <t>avverkningsanmälan</t>
        </is>
      </c>
      <c r="C486" t="inlineStr">
        <is>
          <t>Föryngringsavverkning</t>
        </is>
      </c>
      <c r="D486" s="1" t="n">
        <v>45278</v>
      </c>
      <c r="E486" s="1" t="n">
        <v>46219</v>
      </c>
      <c r="F486" t="inlineStr">
        <is>
          <t>NORRBOTTENS LÄN</t>
        </is>
      </c>
      <c r="G486" t="inlineStr">
        <is>
          <t>PITEÅ</t>
        </is>
      </c>
      <c r="I486" t="n">
        <v>4.8</v>
      </c>
      <c r="J486" t="n">
        <v>0</v>
      </c>
      <c r="K486" t="n">
        <v>0</v>
      </c>
      <c r="L486" t="n">
        <v>0</v>
      </c>
      <c r="M486" t="n">
        <v>0</v>
      </c>
      <c r="N486" t="n">
        <v>0</v>
      </c>
      <c r="O486" t="n">
        <v>0</v>
      </c>
      <c r="P486" t="n">
        <v>0</v>
      </c>
      <c r="Q486" t="n">
        <v>0</v>
      </c>
      <c r="R486" t="n">
        <v>0</v>
      </c>
      <c r="S486" t="n">
        <v>0</v>
      </c>
      <c r="T486" t="n">
        <v>0</v>
      </c>
      <c r="U486" s="2" t="inlineStr"/>
    </row>
    <row r="487" ht="15" customHeight="1">
      <c r="A487" t="inlineStr">
        <is>
          <t>A 62199-2025</t>
        </is>
      </c>
      <c r="B487" t="inlineStr">
        <is>
          <t>avverkningsanmälan</t>
        </is>
      </c>
      <c r="C487" t="inlineStr">
        <is>
          <t>Föryngringsavverkning</t>
        </is>
      </c>
      <c r="D487" s="1" t="n">
        <v>46006</v>
      </c>
      <c r="E487" s="1" t="n">
        <v>46219</v>
      </c>
      <c r="F487" t="inlineStr">
        <is>
          <t>NORRBOTTENS LÄN</t>
        </is>
      </c>
      <c r="G487" t="inlineStr">
        <is>
          <t>PITEÅ</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25342-2024</t>
        </is>
      </c>
      <c r="B488" t="inlineStr">
        <is>
          <t>avverkningsanmälan</t>
        </is>
      </c>
      <c r="C488" t="inlineStr">
        <is>
          <t>Avverkning för annat ändamål</t>
        </is>
      </c>
      <c r="D488" s="1" t="n">
        <v>45462</v>
      </c>
      <c r="E488" s="1" t="n">
        <v>46219</v>
      </c>
      <c r="F488" t="inlineStr">
        <is>
          <t>NORRBOTTENS LÄN</t>
        </is>
      </c>
      <c r="G488" t="inlineStr">
        <is>
          <t>PITEÅ</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62300-2025</t>
        </is>
      </c>
      <c r="B489" t="inlineStr">
        <is>
          <t>avverkningsanmälan</t>
        </is>
      </c>
      <c r="C489" t="inlineStr">
        <is>
          <t>Föryngringsavverkning</t>
        </is>
      </c>
      <c r="D489" s="1" t="n">
        <v>46006</v>
      </c>
      <c r="E489" s="1" t="n">
        <v>46219</v>
      </c>
      <c r="F489" t="inlineStr">
        <is>
          <t>NORRBOTTENS LÄN</t>
        </is>
      </c>
      <c r="G489" t="inlineStr">
        <is>
          <t>PITEÅ</t>
        </is>
      </c>
      <c r="I489" t="n">
        <v>9</v>
      </c>
      <c r="J489" t="n">
        <v>0</v>
      </c>
      <c r="K489" t="n">
        <v>0</v>
      </c>
      <c r="L489" t="n">
        <v>0</v>
      </c>
      <c r="M489" t="n">
        <v>0</v>
      </c>
      <c r="N489" t="n">
        <v>0</v>
      </c>
      <c r="O489" t="n">
        <v>0</v>
      </c>
      <c r="P489" t="n">
        <v>0</v>
      </c>
      <c r="Q489" t="n">
        <v>0</v>
      </c>
      <c r="R489" t="n">
        <v>0</v>
      </c>
      <c r="S489" t="n">
        <v>0</v>
      </c>
      <c r="T489" t="n">
        <v>0</v>
      </c>
      <c r="U489" s="2" t="inlineStr"/>
    </row>
    <row r="490" ht="15" customHeight="1">
      <c r="A490" t="inlineStr">
        <is>
          <t>A 44403-2024</t>
        </is>
      </c>
      <c r="B490" t="inlineStr">
        <is>
          <t>avverkningsanmälan</t>
        </is>
      </c>
      <c r="C490" t="inlineStr">
        <is>
          <t>Föryngringsavverkning</t>
        </is>
      </c>
      <c r="D490" s="1" t="n">
        <v>45573</v>
      </c>
      <c r="E490" s="1" t="n">
        <v>46219</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64571-2023</t>
        </is>
      </c>
      <c r="B491" t="inlineStr">
        <is>
          <t>avverkningsanmälan</t>
        </is>
      </c>
      <c r="C491" t="inlineStr">
        <is>
          <t>Föryngringsavverkning</t>
        </is>
      </c>
      <c r="D491" s="1" t="n">
        <v>45281</v>
      </c>
      <c r="E491" s="1" t="n">
        <v>46219</v>
      </c>
      <c r="F491" t="inlineStr">
        <is>
          <t>NORRBOTTENS LÄN</t>
        </is>
      </c>
      <c r="G491" t="inlineStr">
        <is>
          <t>PITEÅ</t>
        </is>
      </c>
      <c r="I491" t="n">
        <v>4.1</v>
      </c>
      <c r="J491" t="n">
        <v>0</v>
      </c>
      <c r="K491" t="n">
        <v>0</v>
      </c>
      <c r="L491" t="n">
        <v>0</v>
      </c>
      <c r="M491" t="n">
        <v>0</v>
      </c>
      <c r="N491" t="n">
        <v>0</v>
      </c>
      <c r="O491" t="n">
        <v>0</v>
      </c>
      <c r="P491" t="n">
        <v>0</v>
      </c>
      <c r="Q491" t="n">
        <v>0</v>
      </c>
      <c r="R491" t="n">
        <v>0</v>
      </c>
      <c r="S491" t="n">
        <v>0</v>
      </c>
      <c r="T491" t="n">
        <v>0</v>
      </c>
      <c r="U491" s="2" t="inlineStr"/>
    </row>
    <row r="492" ht="15" customHeight="1">
      <c r="A492" t="inlineStr">
        <is>
          <t>A 62290-2025</t>
        </is>
      </c>
      <c r="B492" t="inlineStr">
        <is>
          <t>avverkningsanmälan</t>
        </is>
      </c>
      <c r="C492" t="inlineStr">
        <is>
          <t>Föryngringsavverkning</t>
        </is>
      </c>
      <c r="D492" s="1" t="n">
        <v>46006</v>
      </c>
      <c r="E492" s="1" t="n">
        <v>46219</v>
      </c>
      <c r="F492" t="inlineStr">
        <is>
          <t>NORRBOTTENS LÄN</t>
        </is>
      </c>
      <c r="G492" t="inlineStr">
        <is>
          <t>PITEÅ</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45329-2024</t>
        </is>
      </c>
      <c r="B493" t="inlineStr">
        <is>
          <t>avverkningsanmälan</t>
        </is>
      </c>
      <c r="C493" t="inlineStr">
        <is>
          <t>Föryngringsavverkning</t>
        </is>
      </c>
      <c r="D493" s="1" t="n">
        <v>45576</v>
      </c>
      <c r="E493" s="1" t="n">
        <v>46219</v>
      </c>
      <c r="F493" t="inlineStr">
        <is>
          <t>NORRBOTTENS LÄN</t>
        </is>
      </c>
      <c r="G493" t="inlineStr">
        <is>
          <t>PITEÅ</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37030-2022</t>
        </is>
      </c>
      <c r="B494" t="inlineStr">
        <is>
          <t>avverkningsanmälan</t>
        </is>
      </c>
      <c r="C494" t="inlineStr">
        <is>
          <t>Föryngringsavverkning</t>
        </is>
      </c>
      <c r="D494" s="1" t="n">
        <v>44806</v>
      </c>
      <c r="E494" s="1" t="n">
        <v>46219</v>
      </c>
      <c r="F494" t="inlineStr">
        <is>
          <t>NORRBOTTENS LÄN</t>
        </is>
      </c>
      <c r="G494" t="inlineStr">
        <is>
          <t>PITEÅ</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62291-2025</t>
        </is>
      </c>
      <c r="B495" t="inlineStr">
        <is>
          <t>avverkningsanmälan</t>
        </is>
      </c>
      <c r="C495" t="inlineStr">
        <is>
          <t>Föryngringsavverkning</t>
        </is>
      </c>
      <c r="D495" s="1" t="n">
        <v>46006</v>
      </c>
      <c r="E495" s="1" t="n">
        <v>46219</v>
      </c>
      <c r="F495" t="inlineStr">
        <is>
          <t>NORRBOTTENS LÄN</t>
        </is>
      </c>
      <c r="G495" t="inlineStr">
        <is>
          <t>PITEÅ</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62284-2025</t>
        </is>
      </c>
      <c r="B496" t="inlineStr">
        <is>
          <t>avverkningsanmälan</t>
        </is>
      </c>
      <c r="C496" t="inlineStr">
        <is>
          <t>Föryngringsavverkning</t>
        </is>
      </c>
      <c r="D496" s="1" t="n">
        <v>46006</v>
      </c>
      <c r="E496" s="1" t="n">
        <v>46219</v>
      </c>
      <c r="F496" t="inlineStr">
        <is>
          <t>NORRBOTTENS LÄN</t>
        </is>
      </c>
      <c r="G496" t="inlineStr">
        <is>
          <t>PITEÅ</t>
        </is>
      </c>
      <c r="I496" t="n">
        <v>3.4</v>
      </c>
      <c r="J496" t="n">
        <v>0</v>
      </c>
      <c r="K496" t="n">
        <v>0</v>
      </c>
      <c r="L496" t="n">
        <v>0</v>
      </c>
      <c r="M496" t="n">
        <v>0</v>
      </c>
      <c r="N496" t="n">
        <v>0</v>
      </c>
      <c r="O496" t="n">
        <v>0</v>
      </c>
      <c r="P496" t="n">
        <v>0</v>
      </c>
      <c r="Q496" t="n">
        <v>0</v>
      </c>
      <c r="R496" t="n">
        <v>0</v>
      </c>
      <c r="S496" t="n">
        <v>0</v>
      </c>
      <c r="T496" t="n">
        <v>0</v>
      </c>
      <c r="U496" s="2" t="inlineStr"/>
    </row>
    <row r="497" ht="15" customHeight="1">
      <c r="A497" t="inlineStr">
        <is>
          <t>A 62287-2025</t>
        </is>
      </c>
      <c r="B497" t="inlineStr">
        <is>
          <t>avverkningsanmälan</t>
        </is>
      </c>
      <c r="C497" t="inlineStr">
        <is>
          <t>Föryngringsavverkning</t>
        </is>
      </c>
      <c r="D497" s="1" t="n">
        <v>46006</v>
      </c>
      <c r="E497" s="1" t="n">
        <v>46219</v>
      </c>
      <c r="F497" t="inlineStr">
        <is>
          <t>NORRBOTTENS LÄN</t>
        </is>
      </c>
      <c r="G497" t="inlineStr">
        <is>
          <t>PITEÅ</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62288-2025</t>
        </is>
      </c>
      <c r="B498" t="inlineStr">
        <is>
          <t>avverkningsanmälan</t>
        </is>
      </c>
      <c r="C498" t="inlineStr">
        <is>
          <t>Föryngringsavverkning</t>
        </is>
      </c>
      <c r="D498" s="1" t="n">
        <v>46006</v>
      </c>
      <c r="E498" s="1" t="n">
        <v>46219</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62237-2025</t>
        </is>
      </c>
      <c r="B499" t="inlineStr">
        <is>
          <t>avverkningsanmälan</t>
        </is>
      </c>
      <c r="C499" t="inlineStr">
        <is>
          <t>Föryngringsavverkning</t>
        </is>
      </c>
      <c r="D499" s="1" t="n">
        <v>46006</v>
      </c>
      <c r="E499" s="1" t="n">
        <v>46219</v>
      </c>
      <c r="F499" t="inlineStr">
        <is>
          <t>NORRBOTTENS LÄN</t>
        </is>
      </c>
      <c r="G499" t="inlineStr">
        <is>
          <t>PITEÅ</t>
        </is>
      </c>
      <c r="I499" t="n">
        <v>2.7</v>
      </c>
      <c r="J499" t="n">
        <v>0</v>
      </c>
      <c r="K499" t="n">
        <v>0</v>
      </c>
      <c r="L499" t="n">
        <v>0</v>
      </c>
      <c r="M499" t="n">
        <v>0</v>
      </c>
      <c r="N499" t="n">
        <v>0</v>
      </c>
      <c r="O499" t="n">
        <v>0</v>
      </c>
      <c r="P499" t="n">
        <v>0</v>
      </c>
      <c r="Q499" t="n">
        <v>0</v>
      </c>
      <c r="R499" t="n">
        <v>0</v>
      </c>
      <c r="S499" t="n">
        <v>0</v>
      </c>
      <c r="T499" t="n">
        <v>0</v>
      </c>
      <c r="U499" s="2" t="inlineStr"/>
    </row>
    <row r="500" ht="15" customHeight="1">
      <c r="A500" t="inlineStr">
        <is>
          <t>A 57908-2024</t>
        </is>
      </c>
      <c r="B500" t="inlineStr">
        <is>
          <t>avverkningsanmälan</t>
        </is>
      </c>
      <c r="C500" t="inlineStr">
        <is>
          <t>Föryngringsavverkning</t>
        </is>
      </c>
      <c r="D500" s="1" t="n">
        <v>45631</v>
      </c>
      <c r="E500" s="1" t="n">
        <v>46219</v>
      </c>
      <c r="F500" t="inlineStr">
        <is>
          <t>NORRBOTTENS LÄN</t>
        </is>
      </c>
      <c r="G500" t="inlineStr">
        <is>
          <t>PITEÅ</t>
        </is>
      </c>
      <c r="I500" t="n">
        <v>6.1</v>
      </c>
      <c r="J500" t="n">
        <v>0</v>
      </c>
      <c r="K500" t="n">
        <v>0</v>
      </c>
      <c r="L500" t="n">
        <v>0</v>
      </c>
      <c r="M500" t="n">
        <v>0</v>
      </c>
      <c r="N500" t="n">
        <v>0</v>
      </c>
      <c r="O500" t="n">
        <v>0</v>
      </c>
      <c r="P500" t="n">
        <v>0</v>
      </c>
      <c r="Q500" t="n">
        <v>0</v>
      </c>
      <c r="R500" t="n">
        <v>0</v>
      </c>
      <c r="S500" t="n">
        <v>0</v>
      </c>
      <c r="T500" t="n">
        <v>0</v>
      </c>
      <c r="U500" s="2" t="inlineStr"/>
    </row>
    <row r="501" ht="15" customHeight="1">
      <c r="A501" t="inlineStr">
        <is>
          <t>A 62680-2025</t>
        </is>
      </c>
      <c r="B501" t="inlineStr">
        <is>
          <t>avverkningsanmälan</t>
        </is>
      </c>
      <c r="C501" t="inlineStr">
        <is>
          <t>Föryngringsavverkning</t>
        </is>
      </c>
      <c r="D501" s="1" t="n">
        <v>46008</v>
      </c>
      <c r="E501" s="1" t="n">
        <v>46219</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62727-2025</t>
        </is>
      </c>
      <c r="B502" t="inlineStr">
        <is>
          <t>avverkningsanmälan</t>
        </is>
      </c>
      <c r="C502" t="inlineStr">
        <is>
          <t>Föryngringsavverkning</t>
        </is>
      </c>
      <c r="D502" s="1" t="n">
        <v>46008</v>
      </c>
      <c r="E502" s="1" t="n">
        <v>46219</v>
      </c>
      <c r="F502" t="inlineStr">
        <is>
          <t>NORRBOTTENS LÄN</t>
        </is>
      </c>
      <c r="G502" t="inlineStr">
        <is>
          <t>PITEÅ</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46808-2025</t>
        </is>
      </c>
      <c r="B503" t="inlineStr">
        <is>
          <t>avverkningsanmälan</t>
        </is>
      </c>
      <c r="C503" t="inlineStr">
        <is>
          <t>Föryngringsavverkning</t>
        </is>
      </c>
      <c r="D503" s="1" t="n">
        <v>45926</v>
      </c>
      <c r="E503" s="1" t="n">
        <v>46219</v>
      </c>
      <c r="F503" t="inlineStr">
        <is>
          <t>NORRBOTTENS LÄN</t>
        </is>
      </c>
      <c r="G503" t="inlineStr">
        <is>
          <t>PITEÅ</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63167-2025</t>
        </is>
      </c>
      <c r="B504" t="inlineStr">
        <is>
          <t>avverkningsanmälan</t>
        </is>
      </c>
      <c r="C504" t="inlineStr">
        <is>
          <t>Föryngringsavverkning</t>
        </is>
      </c>
      <c r="D504" s="1" t="n">
        <v>46010</v>
      </c>
      <c r="E504" s="1" t="n">
        <v>46219</v>
      </c>
      <c r="F504" t="inlineStr">
        <is>
          <t>NORRBOTTENS LÄN</t>
        </is>
      </c>
      <c r="G504" t="inlineStr">
        <is>
          <t>PITEÅ</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20087-2024</t>
        </is>
      </c>
      <c r="B505" t="inlineStr">
        <is>
          <t>avverkningsanmälan</t>
        </is>
      </c>
      <c r="C505" t="inlineStr">
        <is>
          <t>Föryngringsavverkning</t>
        </is>
      </c>
      <c r="D505" s="1" t="n">
        <v>45434</v>
      </c>
      <c r="E505" s="1" t="n">
        <v>46219</v>
      </c>
      <c r="F505" t="inlineStr">
        <is>
          <t>NORRBOTTENS LÄN</t>
        </is>
      </c>
      <c r="G505" t="inlineStr">
        <is>
          <t>PITEÅ</t>
        </is>
      </c>
      <c r="I505" t="n">
        <v>4.3</v>
      </c>
      <c r="J505" t="n">
        <v>0</v>
      </c>
      <c r="K505" t="n">
        <v>0</v>
      </c>
      <c r="L505" t="n">
        <v>0</v>
      </c>
      <c r="M505" t="n">
        <v>0</v>
      </c>
      <c r="N505" t="n">
        <v>0</v>
      </c>
      <c r="O505" t="n">
        <v>0</v>
      </c>
      <c r="P505" t="n">
        <v>0</v>
      </c>
      <c r="Q505" t="n">
        <v>0</v>
      </c>
      <c r="R505" t="n">
        <v>0</v>
      </c>
      <c r="S505" t="n">
        <v>0</v>
      </c>
      <c r="T505" t="n">
        <v>0</v>
      </c>
      <c r="U505" s="2" t="inlineStr"/>
    </row>
    <row r="506" ht="15" customHeight="1">
      <c r="A506" t="inlineStr">
        <is>
          <t>A 63175-2025</t>
        </is>
      </c>
      <c r="B506" t="inlineStr">
        <is>
          <t>avverkningsanmälan</t>
        </is>
      </c>
      <c r="C506" t="inlineStr">
        <is>
          <t>Föryngringsavverkning</t>
        </is>
      </c>
      <c r="D506" s="1" t="n">
        <v>46010</v>
      </c>
      <c r="E506" s="1" t="n">
        <v>46219</v>
      </c>
      <c r="F506" t="inlineStr">
        <is>
          <t>NORRBOTTENS LÄN</t>
        </is>
      </c>
      <c r="G506" t="inlineStr">
        <is>
          <t>PITEÅ</t>
        </is>
      </c>
      <c r="I506" t="n">
        <v>6.5</v>
      </c>
      <c r="J506" t="n">
        <v>0</v>
      </c>
      <c r="K506" t="n">
        <v>0</v>
      </c>
      <c r="L506" t="n">
        <v>0</v>
      </c>
      <c r="M506" t="n">
        <v>0</v>
      </c>
      <c r="N506" t="n">
        <v>0</v>
      </c>
      <c r="O506" t="n">
        <v>0</v>
      </c>
      <c r="P506" t="n">
        <v>0</v>
      </c>
      <c r="Q506" t="n">
        <v>0</v>
      </c>
      <c r="R506" t="n">
        <v>0</v>
      </c>
      <c r="S506" t="n">
        <v>0</v>
      </c>
      <c r="T506" t="n">
        <v>0</v>
      </c>
      <c r="U506" s="2" t="inlineStr"/>
    </row>
    <row r="507" ht="15" customHeight="1">
      <c r="A507" t="inlineStr">
        <is>
          <t>A 46803-2025</t>
        </is>
      </c>
      <c r="B507" t="inlineStr">
        <is>
          <t>avverkningsanmälan</t>
        </is>
      </c>
      <c r="C507" t="inlineStr">
        <is>
          <t>Föryngringsavverkning</t>
        </is>
      </c>
      <c r="D507" s="1" t="n">
        <v>45926</v>
      </c>
      <c r="E507" s="1" t="n">
        <v>46219</v>
      </c>
      <c r="F507" t="inlineStr">
        <is>
          <t>NORRBOTTENS LÄN</t>
        </is>
      </c>
      <c r="G507" t="inlineStr">
        <is>
          <t>PITEÅ</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46806-2025</t>
        </is>
      </c>
      <c r="B508" t="inlineStr">
        <is>
          <t>avverkningsanmälan</t>
        </is>
      </c>
      <c r="C508" t="inlineStr">
        <is>
          <t>Föryngringsavverkning</t>
        </is>
      </c>
      <c r="D508" s="1" t="n">
        <v>45926</v>
      </c>
      <c r="E508" s="1" t="n">
        <v>46219</v>
      </c>
      <c r="F508" t="inlineStr">
        <is>
          <t>NORRBOTTENS LÄN</t>
        </is>
      </c>
      <c r="G508" t="inlineStr">
        <is>
          <t>PITEÅ</t>
        </is>
      </c>
      <c r="I508" t="n">
        <v>3</v>
      </c>
      <c r="J508" t="n">
        <v>0</v>
      </c>
      <c r="K508" t="n">
        <v>0</v>
      </c>
      <c r="L508" t="n">
        <v>0</v>
      </c>
      <c r="M508" t="n">
        <v>0</v>
      </c>
      <c r="N508" t="n">
        <v>0</v>
      </c>
      <c r="O508" t="n">
        <v>0</v>
      </c>
      <c r="P508" t="n">
        <v>0</v>
      </c>
      <c r="Q508" t="n">
        <v>0</v>
      </c>
      <c r="R508" t="n">
        <v>0</v>
      </c>
      <c r="S508" t="n">
        <v>0</v>
      </c>
      <c r="T508" t="n">
        <v>0</v>
      </c>
      <c r="U508" s="2" t="inlineStr"/>
    </row>
    <row r="509" ht="15" customHeight="1">
      <c r="A509" t="inlineStr">
        <is>
          <t>A 47323-2025</t>
        </is>
      </c>
      <c r="B509" t="inlineStr">
        <is>
          <t>avverkningsanmälan</t>
        </is>
      </c>
      <c r="C509" t="inlineStr">
        <is>
          <t>Föryngringsavverkning</t>
        </is>
      </c>
      <c r="D509" s="1" t="n">
        <v>45930</v>
      </c>
      <c r="E509" s="1" t="n">
        <v>46219</v>
      </c>
      <c r="F509" t="inlineStr">
        <is>
          <t>NORRBOTTENS LÄN</t>
        </is>
      </c>
      <c r="G509" t="inlineStr">
        <is>
          <t>PITEÅ</t>
        </is>
      </c>
      <c r="I509" t="n">
        <v>4.6</v>
      </c>
      <c r="J509" t="n">
        <v>0</v>
      </c>
      <c r="K509" t="n">
        <v>0</v>
      </c>
      <c r="L509" t="n">
        <v>0</v>
      </c>
      <c r="M509" t="n">
        <v>0</v>
      </c>
      <c r="N509" t="n">
        <v>0</v>
      </c>
      <c r="O509" t="n">
        <v>0</v>
      </c>
      <c r="P509" t="n">
        <v>0</v>
      </c>
      <c r="Q509" t="n">
        <v>0</v>
      </c>
      <c r="R509" t="n">
        <v>0</v>
      </c>
      <c r="S509" t="n">
        <v>0</v>
      </c>
      <c r="T509" t="n">
        <v>0</v>
      </c>
      <c r="U509" s="2" t="inlineStr"/>
    </row>
    <row r="510" ht="15" customHeight="1">
      <c r="A510" t="inlineStr">
        <is>
          <t>A 63424-2025</t>
        </is>
      </c>
      <c r="B510" t="inlineStr">
        <is>
          <t>avverkningsanmälan</t>
        </is>
      </c>
      <c r="C510" t="inlineStr">
        <is>
          <t>Föryngringsavverkning</t>
        </is>
      </c>
      <c r="D510" s="1" t="n">
        <v>46013</v>
      </c>
      <c r="E510" s="1" t="n">
        <v>46219</v>
      </c>
      <c r="F510" t="inlineStr">
        <is>
          <t>NORRBOTTENS LÄN</t>
        </is>
      </c>
      <c r="G510" t="inlineStr">
        <is>
          <t>PITEÅ</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63566-2025</t>
        </is>
      </c>
      <c r="B511" t="inlineStr">
        <is>
          <t>avverkningsanmälan</t>
        </is>
      </c>
      <c r="C511" t="inlineStr">
        <is>
          <t>Föryngringsavverkning</t>
        </is>
      </c>
      <c r="D511" s="1" t="n">
        <v>46013</v>
      </c>
      <c r="E511" s="1" t="n">
        <v>46219</v>
      </c>
      <c r="F511" t="inlineStr">
        <is>
          <t>NORRBOTTENS LÄN</t>
        </is>
      </c>
      <c r="G511" t="inlineStr">
        <is>
          <t>PITEÅ</t>
        </is>
      </c>
      <c r="I511" t="n">
        <v>4.3</v>
      </c>
      <c r="J511" t="n">
        <v>0</v>
      </c>
      <c r="K511" t="n">
        <v>0</v>
      </c>
      <c r="L511" t="n">
        <v>0</v>
      </c>
      <c r="M511" t="n">
        <v>0</v>
      </c>
      <c r="N511" t="n">
        <v>0</v>
      </c>
      <c r="O511" t="n">
        <v>0</v>
      </c>
      <c r="P511" t="n">
        <v>0</v>
      </c>
      <c r="Q511" t="n">
        <v>0</v>
      </c>
      <c r="R511" t="n">
        <v>0</v>
      </c>
      <c r="S511" t="n">
        <v>0</v>
      </c>
      <c r="T511" t="n">
        <v>0</v>
      </c>
      <c r="U511" s="2" t="inlineStr"/>
    </row>
    <row r="512" ht="15" customHeight="1">
      <c r="A512" t="inlineStr">
        <is>
          <t>A 63179-2023</t>
        </is>
      </c>
      <c r="B512" t="inlineStr">
        <is>
          <t>avverkningsanmälan</t>
        </is>
      </c>
      <c r="C512" t="inlineStr">
        <is>
          <t>Föryngringsavverkning</t>
        </is>
      </c>
      <c r="D512" s="1" t="n">
        <v>45273</v>
      </c>
      <c r="E512" s="1" t="n">
        <v>46219</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32936-2023</t>
        </is>
      </c>
      <c r="B513" t="inlineStr">
        <is>
          <t>avverkningsanmälan</t>
        </is>
      </c>
      <c r="C513" t="inlineStr">
        <is>
          <t>Avverkning för annat ändamål</t>
        </is>
      </c>
      <c r="D513" s="1" t="n">
        <v>45125</v>
      </c>
      <c r="E513" s="1" t="n">
        <v>46219</v>
      </c>
      <c r="F513" t="inlineStr">
        <is>
          <t>NORRBOTTENS LÄN</t>
        </is>
      </c>
      <c r="G513" t="inlineStr">
        <is>
          <t>PITEÅ</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32939-2023</t>
        </is>
      </c>
      <c r="B514" t="inlineStr">
        <is>
          <t>avverkningsanmälan</t>
        </is>
      </c>
      <c r="C514" t="inlineStr">
        <is>
          <t>Avverkning för annat ändamål</t>
        </is>
      </c>
      <c r="D514" s="1" t="n">
        <v>45125</v>
      </c>
      <c r="E514" s="1" t="n">
        <v>46219</v>
      </c>
      <c r="F514" t="inlineStr">
        <is>
          <t>NORRBOTTENS LÄN</t>
        </is>
      </c>
      <c r="G514" t="inlineStr">
        <is>
          <t>PITEÅ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44712-2024</t>
        </is>
      </c>
      <c r="B515" t="inlineStr">
        <is>
          <t>avverkningsanmälan</t>
        </is>
      </c>
      <c r="C515" t="inlineStr">
        <is>
          <t>Föryngringsavverkning</t>
        </is>
      </c>
      <c r="D515" s="1" t="n">
        <v>45574</v>
      </c>
      <c r="E515" s="1" t="n">
        <v>46219</v>
      </c>
      <c r="F515" t="inlineStr">
        <is>
          <t>NORRBOTTENS LÄN</t>
        </is>
      </c>
      <c r="G515" t="inlineStr">
        <is>
          <t>PITEÅ</t>
        </is>
      </c>
      <c r="H515" t="inlineStr">
        <is>
          <t>SCA</t>
        </is>
      </c>
      <c r="I515" t="n">
        <v>2</v>
      </c>
      <c r="J515" t="n">
        <v>0</v>
      </c>
      <c r="K515" t="n">
        <v>0</v>
      </c>
      <c r="L515" t="n">
        <v>0</v>
      </c>
      <c r="M515" t="n">
        <v>0</v>
      </c>
      <c r="N515" t="n">
        <v>0</v>
      </c>
      <c r="O515" t="n">
        <v>0</v>
      </c>
      <c r="P515" t="n">
        <v>0</v>
      </c>
      <c r="Q515" t="n">
        <v>0</v>
      </c>
      <c r="R515" t="n">
        <v>0</v>
      </c>
      <c r="S515" t="n">
        <v>0</v>
      </c>
      <c r="T515" t="n">
        <v>0</v>
      </c>
      <c r="U515" s="2" t="inlineStr"/>
    </row>
    <row r="516" ht="15" customHeight="1">
      <c r="A516" t="inlineStr">
        <is>
          <t>A 44716-2024</t>
        </is>
      </c>
      <c r="B516" t="inlineStr">
        <is>
          <t>avverkningsanmälan</t>
        </is>
      </c>
      <c r="C516" t="inlineStr">
        <is>
          <t>Föryngringsavverkning</t>
        </is>
      </c>
      <c r="D516" s="1" t="n">
        <v>45574</v>
      </c>
      <c r="E516" s="1" t="n">
        <v>46219</v>
      </c>
      <c r="F516" t="inlineStr">
        <is>
          <t>NORRBOTTENS LÄN</t>
        </is>
      </c>
      <c r="G516" t="inlineStr">
        <is>
          <t>PITEÅ</t>
        </is>
      </c>
      <c r="H516" t="inlineStr">
        <is>
          <t>SCA</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18057-2024</t>
        </is>
      </c>
      <c r="B517" t="inlineStr">
        <is>
          <t>avverkningsanmälan</t>
        </is>
      </c>
      <c r="C517" t="inlineStr">
        <is>
          <t>Föryngringsavverkning</t>
        </is>
      </c>
      <c r="D517" s="1" t="n">
        <v>45420</v>
      </c>
      <c r="E517" s="1" t="n">
        <v>46219</v>
      </c>
      <c r="F517" t="inlineStr">
        <is>
          <t>NORRBOTTENS LÄN</t>
        </is>
      </c>
      <c r="G517" t="inlineStr">
        <is>
          <t>PITEÅ</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41157-2024</t>
        </is>
      </c>
      <c r="B518" t="inlineStr">
        <is>
          <t>avverkningsanmälan</t>
        </is>
      </c>
      <c r="C518" t="inlineStr">
        <is>
          <t>Föryngringsavverkning</t>
        </is>
      </c>
      <c r="D518" s="1" t="n">
        <v>45559</v>
      </c>
      <c r="E518" s="1" t="n">
        <v>46219</v>
      </c>
      <c r="F518" t="inlineStr">
        <is>
          <t>NORRBOTTENS LÄN</t>
        </is>
      </c>
      <c r="G518" t="inlineStr">
        <is>
          <t>PITEÅ</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63567-2025</t>
        </is>
      </c>
      <c r="B519" t="inlineStr">
        <is>
          <t>avverkningsanmälan</t>
        </is>
      </c>
      <c r="C519" t="inlineStr">
        <is>
          <t>Föryngringsavverkning</t>
        </is>
      </c>
      <c r="D519" s="1" t="n">
        <v>46013</v>
      </c>
      <c r="E519" s="1" t="n">
        <v>46219</v>
      </c>
      <c r="F519" t="inlineStr">
        <is>
          <t>NORRBOTTENS LÄN</t>
        </is>
      </c>
      <c r="G519" t="inlineStr">
        <is>
          <t>PITEÅ</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49520-2024</t>
        </is>
      </c>
      <c r="B520" t="inlineStr">
        <is>
          <t>avverkningsanmälan</t>
        </is>
      </c>
      <c r="C520" t="inlineStr">
        <is>
          <t>Föryngringsavverkning</t>
        </is>
      </c>
      <c r="D520" s="1" t="n">
        <v>45596</v>
      </c>
      <c r="E520" s="1" t="n">
        <v>46219</v>
      </c>
      <c r="F520" t="inlineStr">
        <is>
          <t>NORRBOTTENS LÄN</t>
        </is>
      </c>
      <c r="G520" t="inlineStr">
        <is>
          <t>PITEÅ</t>
        </is>
      </c>
      <c r="H520" t="inlineStr">
        <is>
          <t>Sveaskog</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28718-2024</t>
        </is>
      </c>
      <c r="B521" t="inlineStr">
        <is>
          <t>avverkningsanmälan</t>
        </is>
      </c>
      <c r="C521" t="inlineStr">
        <is>
          <t>Föryngringsavverkning</t>
        </is>
      </c>
      <c r="D521" s="1" t="n">
        <v>45478</v>
      </c>
      <c r="E521" s="1" t="n">
        <v>46219</v>
      </c>
      <c r="F521" t="inlineStr">
        <is>
          <t>NORRBOTTENS LÄN</t>
        </is>
      </c>
      <c r="G521" t="inlineStr">
        <is>
          <t>PITEÅ</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48533-2025</t>
        </is>
      </c>
      <c r="B522" t="inlineStr">
        <is>
          <t>avverkningsanmälan</t>
        </is>
      </c>
      <c r="C522" t="inlineStr">
        <is>
          <t>Föryngringsavverkning</t>
        </is>
      </c>
      <c r="D522" s="1" t="n">
        <v>45936</v>
      </c>
      <c r="E522" s="1" t="n">
        <v>46219</v>
      </c>
      <c r="F522" t="inlineStr">
        <is>
          <t>NORRBOTTENS LÄN</t>
        </is>
      </c>
      <c r="G522" t="inlineStr">
        <is>
          <t>PITEÅ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51606-2025</t>
        </is>
      </c>
      <c r="B523" t="inlineStr">
        <is>
          <t>avverkningsanmälan</t>
        </is>
      </c>
      <c r="C523" t="inlineStr">
        <is>
          <t>Föryngringsavverkning</t>
        </is>
      </c>
      <c r="D523" s="1" t="n">
        <v>45951</v>
      </c>
      <c r="E523" s="1" t="n">
        <v>46219</v>
      </c>
      <c r="F523" t="inlineStr">
        <is>
          <t>NORRBOTTENS LÄN</t>
        </is>
      </c>
      <c r="G523" t="inlineStr">
        <is>
          <t>PITEÅ</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58601-2025</t>
        </is>
      </c>
      <c r="B524" t="inlineStr">
        <is>
          <t>avverkningsanmälan</t>
        </is>
      </c>
      <c r="C524" t="inlineStr">
        <is>
          <t>Föryngringsavverkning</t>
        </is>
      </c>
      <c r="D524" s="1" t="n">
        <v>45986</v>
      </c>
      <c r="E524" s="1" t="n">
        <v>46219</v>
      </c>
      <c r="F524" t="inlineStr">
        <is>
          <t>NORRBOTTENS LÄN</t>
        </is>
      </c>
      <c r="G524" t="inlineStr">
        <is>
          <t>PITEÅ</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49340-2025</t>
        </is>
      </c>
      <c r="B525" t="inlineStr">
        <is>
          <t>avverkningsanmälan</t>
        </is>
      </c>
      <c r="C525" t="inlineStr">
        <is>
          <t>Föryngringsavverkning</t>
        </is>
      </c>
      <c r="D525" s="1" t="n">
        <v>45938</v>
      </c>
      <c r="E525" s="1" t="n">
        <v>46219</v>
      </c>
      <c r="F525" t="inlineStr">
        <is>
          <t>NORRBOTTENS LÄN</t>
        </is>
      </c>
      <c r="G525" t="inlineStr">
        <is>
          <t>PITEÅ</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48532-2025</t>
        </is>
      </c>
      <c r="B526" t="inlineStr">
        <is>
          <t>avverkningsanmälan</t>
        </is>
      </c>
      <c r="C526" t="inlineStr">
        <is>
          <t>Föryngringsavverkning</t>
        </is>
      </c>
      <c r="D526" s="1" t="n">
        <v>45936</v>
      </c>
      <c r="E526" s="1" t="n">
        <v>46219</v>
      </c>
      <c r="F526" t="inlineStr">
        <is>
          <t>NORRBOTTENS LÄN</t>
        </is>
      </c>
      <c r="G526" t="inlineStr">
        <is>
          <t>PITEÅ</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48554-2025</t>
        </is>
      </c>
      <c r="B527" t="inlineStr">
        <is>
          <t>avverkningsanmälan</t>
        </is>
      </c>
      <c r="C527" t="inlineStr">
        <is>
          <t>Föryngringsavverkning</t>
        </is>
      </c>
      <c r="D527" s="1" t="n">
        <v>45936</v>
      </c>
      <c r="E527" s="1" t="n">
        <v>46219</v>
      </c>
      <c r="F527" t="inlineStr">
        <is>
          <t>NORRBOTTENS LÄN</t>
        </is>
      </c>
      <c r="G527" t="inlineStr">
        <is>
          <t>PITEÅ</t>
        </is>
      </c>
      <c r="I527" t="n">
        <v>5.3</v>
      </c>
      <c r="J527" t="n">
        <v>0</v>
      </c>
      <c r="K527" t="n">
        <v>0</v>
      </c>
      <c r="L527" t="n">
        <v>0</v>
      </c>
      <c r="M527" t="n">
        <v>0</v>
      </c>
      <c r="N527" t="n">
        <v>0</v>
      </c>
      <c r="O527" t="n">
        <v>0</v>
      </c>
      <c r="P527" t="n">
        <v>0</v>
      </c>
      <c r="Q527" t="n">
        <v>0</v>
      </c>
      <c r="R527" t="n">
        <v>0</v>
      </c>
      <c r="S527" t="n">
        <v>0</v>
      </c>
      <c r="T527" t="n">
        <v>0</v>
      </c>
      <c r="U527" s="2" t="inlineStr"/>
    </row>
    <row r="528" ht="15" customHeight="1">
      <c r="A528" t="inlineStr">
        <is>
          <t>A 48555-2025</t>
        </is>
      </c>
      <c r="B528" t="inlineStr">
        <is>
          <t>avverkningsanmälan</t>
        </is>
      </c>
      <c r="C528" t="inlineStr">
        <is>
          <t>Föryngringsavverkning</t>
        </is>
      </c>
      <c r="D528" s="1" t="n">
        <v>45936</v>
      </c>
      <c r="E528" s="1" t="n">
        <v>46219</v>
      </c>
      <c r="F528" t="inlineStr">
        <is>
          <t>NORRBOTTENS LÄN</t>
        </is>
      </c>
      <c r="G528" t="inlineStr">
        <is>
          <t>PITEÅ</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48569-2025</t>
        </is>
      </c>
      <c r="B529" t="inlineStr">
        <is>
          <t>avverkningsanmälan</t>
        </is>
      </c>
      <c r="C529" t="inlineStr">
        <is>
          <t>Föryngringsavverkning</t>
        </is>
      </c>
      <c r="D529" s="1" t="n">
        <v>45936</v>
      </c>
      <c r="E529" s="1" t="n">
        <v>46219</v>
      </c>
      <c r="F529" t="inlineStr">
        <is>
          <t>NORRBOTTENS LÄN</t>
        </is>
      </c>
      <c r="G529" t="inlineStr">
        <is>
          <t>PITEÅ</t>
        </is>
      </c>
      <c r="I529" t="n">
        <v>0.2</v>
      </c>
      <c r="J529" t="n">
        <v>0</v>
      </c>
      <c r="K529" t="n">
        <v>0</v>
      </c>
      <c r="L529" t="n">
        <v>0</v>
      </c>
      <c r="M529" t="n">
        <v>0</v>
      </c>
      <c r="N529" t="n">
        <v>0</v>
      </c>
      <c r="O529" t="n">
        <v>0</v>
      </c>
      <c r="P529" t="n">
        <v>0</v>
      </c>
      <c r="Q529" t="n">
        <v>0</v>
      </c>
      <c r="R529" t="n">
        <v>0</v>
      </c>
      <c r="S529" t="n">
        <v>0</v>
      </c>
      <c r="T529" t="n">
        <v>0</v>
      </c>
      <c r="U529" s="2" t="inlineStr"/>
    </row>
    <row r="530" ht="15" customHeight="1">
      <c r="A530" t="inlineStr">
        <is>
          <t>A 48624-2023</t>
        </is>
      </c>
      <c r="B530" t="inlineStr">
        <is>
          <t>avverkningsanmälan</t>
        </is>
      </c>
      <c r="C530" t="inlineStr">
        <is>
          <t>Föryngringsavverkning</t>
        </is>
      </c>
      <c r="D530" s="1" t="n">
        <v>45208</v>
      </c>
      <c r="E530" s="1" t="n">
        <v>46219</v>
      </c>
      <c r="F530" t="inlineStr">
        <is>
          <t>NORRBOTTENS LÄN</t>
        </is>
      </c>
      <c r="G530" t="inlineStr">
        <is>
          <t>PITEÅ</t>
        </is>
      </c>
      <c r="I530" t="n">
        <v>4.4</v>
      </c>
      <c r="J530" t="n">
        <v>0</v>
      </c>
      <c r="K530" t="n">
        <v>0</v>
      </c>
      <c r="L530" t="n">
        <v>0</v>
      </c>
      <c r="M530" t="n">
        <v>0</v>
      </c>
      <c r="N530" t="n">
        <v>0</v>
      </c>
      <c r="O530" t="n">
        <v>0</v>
      </c>
      <c r="P530" t="n">
        <v>0</v>
      </c>
      <c r="Q530" t="n">
        <v>0</v>
      </c>
      <c r="R530" t="n">
        <v>0</v>
      </c>
      <c r="S530" t="n">
        <v>0</v>
      </c>
      <c r="T530" t="n">
        <v>0</v>
      </c>
      <c r="U530" s="2" t="inlineStr"/>
    </row>
    <row r="531" ht="15" customHeight="1">
      <c r="A531" t="inlineStr">
        <is>
          <t>A 47025-2024</t>
        </is>
      </c>
      <c r="B531" t="inlineStr">
        <is>
          <t>avverkningsanmälan</t>
        </is>
      </c>
      <c r="C531" t="inlineStr">
        <is>
          <t>Föryngringsavverkning</t>
        </is>
      </c>
      <c r="D531" s="1" t="n">
        <v>45586</v>
      </c>
      <c r="E531" s="1" t="n">
        <v>46219</v>
      </c>
      <c r="F531" t="inlineStr">
        <is>
          <t>NORRBOTTENS LÄN</t>
        </is>
      </c>
      <c r="G531" t="inlineStr">
        <is>
          <t>PITEÅ</t>
        </is>
      </c>
      <c r="H531" t="inlineStr">
        <is>
          <t>Övriga Aktiebolag</t>
        </is>
      </c>
      <c r="I531" t="n">
        <v>6.7</v>
      </c>
      <c r="J531" t="n">
        <v>0</v>
      </c>
      <c r="K531" t="n">
        <v>0</v>
      </c>
      <c r="L531" t="n">
        <v>0</v>
      </c>
      <c r="M531" t="n">
        <v>0</v>
      </c>
      <c r="N531" t="n">
        <v>0</v>
      </c>
      <c r="O531" t="n">
        <v>0</v>
      </c>
      <c r="P531" t="n">
        <v>0</v>
      </c>
      <c r="Q531" t="n">
        <v>0</v>
      </c>
      <c r="R531" t="n">
        <v>0</v>
      </c>
      <c r="S531" t="n">
        <v>0</v>
      </c>
      <c r="T531" t="n">
        <v>0</v>
      </c>
      <c r="U531" s="2" t="inlineStr"/>
    </row>
    <row r="532" ht="15" customHeight="1">
      <c r="A532" t="inlineStr">
        <is>
          <t>A 59678-2024</t>
        </is>
      </c>
      <c r="B532" t="inlineStr">
        <is>
          <t>avverkningsanmälan</t>
        </is>
      </c>
      <c r="C532" t="inlineStr">
        <is>
          <t>Föryngringsavverkning</t>
        </is>
      </c>
      <c r="D532" s="1" t="n">
        <v>45639</v>
      </c>
      <c r="E532" s="1" t="n">
        <v>46219</v>
      </c>
      <c r="F532" t="inlineStr">
        <is>
          <t>NORRBOTTENS LÄN</t>
        </is>
      </c>
      <c r="G532" t="inlineStr">
        <is>
          <t>PITEÅ</t>
        </is>
      </c>
      <c r="I532" t="n">
        <v>0.3</v>
      </c>
      <c r="J532" t="n">
        <v>0</v>
      </c>
      <c r="K532" t="n">
        <v>0</v>
      </c>
      <c r="L532" t="n">
        <v>0</v>
      </c>
      <c r="M532" t="n">
        <v>0</v>
      </c>
      <c r="N532" t="n">
        <v>0</v>
      </c>
      <c r="O532" t="n">
        <v>0</v>
      </c>
      <c r="P532" t="n">
        <v>0</v>
      </c>
      <c r="Q532" t="n">
        <v>0</v>
      </c>
      <c r="R532" t="n">
        <v>0</v>
      </c>
      <c r="S532" t="n">
        <v>0</v>
      </c>
      <c r="T532" t="n">
        <v>0</v>
      </c>
      <c r="U532" s="2" t="inlineStr"/>
    </row>
    <row r="533" ht="15" customHeight="1">
      <c r="A533" t="inlineStr">
        <is>
          <t>A 47194-2024</t>
        </is>
      </c>
      <c r="B533" t="inlineStr">
        <is>
          <t>avverkningsanmälan</t>
        </is>
      </c>
      <c r="C533" t="inlineStr">
        <is>
          <t>Föryngringsavverkning</t>
        </is>
      </c>
      <c r="D533" s="1" t="n">
        <v>45586</v>
      </c>
      <c r="E533" s="1" t="n">
        <v>46219</v>
      </c>
      <c r="F533" t="inlineStr">
        <is>
          <t>NORRBOTTENS LÄN</t>
        </is>
      </c>
      <c r="G533" t="inlineStr">
        <is>
          <t>PITEÅ</t>
        </is>
      </c>
      <c r="H533" t="inlineStr">
        <is>
          <t>Sveaskog</t>
        </is>
      </c>
      <c r="I533" t="n">
        <v>10</v>
      </c>
      <c r="J533" t="n">
        <v>0</v>
      </c>
      <c r="K533" t="n">
        <v>0</v>
      </c>
      <c r="L533" t="n">
        <v>0</v>
      </c>
      <c r="M533" t="n">
        <v>0</v>
      </c>
      <c r="N533" t="n">
        <v>0</v>
      </c>
      <c r="O533" t="n">
        <v>0</v>
      </c>
      <c r="P533" t="n">
        <v>0</v>
      </c>
      <c r="Q533" t="n">
        <v>0</v>
      </c>
      <c r="R533" t="n">
        <v>0</v>
      </c>
      <c r="S533" t="n">
        <v>0</v>
      </c>
      <c r="T533" t="n">
        <v>0</v>
      </c>
      <c r="U533" s="2" t="inlineStr"/>
    </row>
    <row r="534" ht="15" customHeight="1">
      <c r="A534" t="inlineStr">
        <is>
          <t>A 58994-2025</t>
        </is>
      </c>
      <c r="B534" t="inlineStr">
        <is>
          <t>avverkningsanmälan</t>
        </is>
      </c>
      <c r="C534" t="inlineStr">
        <is>
          <t>Föryngringsavverkning</t>
        </is>
      </c>
      <c r="D534" s="1" t="n">
        <v>45987</v>
      </c>
      <c r="E534" s="1" t="n">
        <v>46219</v>
      </c>
      <c r="F534" t="inlineStr">
        <is>
          <t>NORRBOTTENS LÄN</t>
        </is>
      </c>
      <c r="G534" t="inlineStr">
        <is>
          <t>PITEÅ</t>
        </is>
      </c>
      <c r="I534" t="n">
        <v>2.5</v>
      </c>
      <c r="J534" t="n">
        <v>0</v>
      </c>
      <c r="K534" t="n">
        <v>0</v>
      </c>
      <c r="L534" t="n">
        <v>0</v>
      </c>
      <c r="M534" t="n">
        <v>0</v>
      </c>
      <c r="N534" t="n">
        <v>0</v>
      </c>
      <c r="O534" t="n">
        <v>0</v>
      </c>
      <c r="P534" t="n">
        <v>0</v>
      </c>
      <c r="Q534" t="n">
        <v>0</v>
      </c>
      <c r="R534" t="n">
        <v>0</v>
      </c>
      <c r="S534" t="n">
        <v>0</v>
      </c>
      <c r="T534" t="n">
        <v>0</v>
      </c>
      <c r="U534" s="2" t="inlineStr"/>
      <c r="X534">
        <f>HYPERLINK("https://klasma.github.io/Logging_2581/knärot/A 58994-2025 karta knärot.png", "A 58994-2025")</f>
        <v/>
      </c>
      <c r="Y534">
        <f>HYPERLINK("https://klasma.github.io/Logging_2581/klagomål/A 58994-2025 FSC-klagomål.docx", "A 58994-2025")</f>
        <v/>
      </c>
      <c r="Z534">
        <f>HYPERLINK("https://klasma.github.io/Logging_2581/klagomålsmail/A 58994-2025 FSC-klagomål mail.docx", "A 58994-2025")</f>
        <v/>
      </c>
      <c r="AA534">
        <f>HYPERLINK("https://klasma.github.io/Logging_2581/tillsyn/A 58994-2025 tillsynsbegäran.docx", "A 58994-2025")</f>
        <v/>
      </c>
      <c r="AB534">
        <f>HYPERLINK("https://klasma.github.io/Logging_2581/tillsynsmail/A 58994-2025 tillsynsbegäran mail.docx", "A 58994-2025")</f>
        <v/>
      </c>
    </row>
    <row r="535" ht="15" customHeight="1">
      <c r="A535" t="inlineStr">
        <is>
          <t>A 5184-2025</t>
        </is>
      </c>
      <c r="B535" t="inlineStr">
        <is>
          <t>avverkningsanmälan</t>
        </is>
      </c>
      <c r="C535" t="inlineStr">
        <is>
          <t>Föryngringsavverkning</t>
        </is>
      </c>
      <c r="D535" s="1" t="n">
        <v>45691</v>
      </c>
      <c r="E535" s="1" t="n">
        <v>46219</v>
      </c>
      <c r="F535" t="inlineStr">
        <is>
          <t>NORRBOTTENS LÄN</t>
        </is>
      </c>
      <c r="G535" t="inlineStr">
        <is>
          <t>PITEÅ</t>
        </is>
      </c>
      <c r="H535" t="inlineStr">
        <is>
          <t>Övriga Aktiebolag</t>
        </is>
      </c>
      <c r="I535" t="n">
        <v>6.3</v>
      </c>
      <c r="J535" t="n">
        <v>0</v>
      </c>
      <c r="K535" t="n">
        <v>0</v>
      </c>
      <c r="L535" t="n">
        <v>0</v>
      </c>
      <c r="M535" t="n">
        <v>0</v>
      </c>
      <c r="N535" t="n">
        <v>0</v>
      </c>
      <c r="O535" t="n">
        <v>0</v>
      </c>
      <c r="P535" t="n">
        <v>0</v>
      </c>
      <c r="Q535" t="n">
        <v>0</v>
      </c>
      <c r="R535" t="n">
        <v>0</v>
      </c>
      <c r="S535" t="n">
        <v>0</v>
      </c>
      <c r="T535" t="n">
        <v>0</v>
      </c>
      <c r="U535" s="2" t="inlineStr"/>
    </row>
    <row r="536" ht="15" customHeight="1">
      <c r="A536" t="inlineStr">
        <is>
          <t>A 43911-2023</t>
        </is>
      </c>
      <c r="B536" t="inlineStr">
        <is>
          <t>avverkningsanmälan</t>
        </is>
      </c>
      <c r="C536" t="inlineStr">
        <is>
          <t>Föryngringsavverkning</t>
        </is>
      </c>
      <c r="D536" s="1" t="n">
        <v>45187</v>
      </c>
      <c r="E536" s="1" t="n">
        <v>46219</v>
      </c>
      <c r="F536" t="inlineStr">
        <is>
          <t>NORRBOTTENS LÄN</t>
        </is>
      </c>
      <c r="G536" t="inlineStr">
        <is>
          <t>PITEÅ</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11413-2025</t>
        </is>
      </c>
      <c r="B537" t="inlineStr">
        <is>
          <t>avverkningsanmälan</t>
        </is>
      </c>
      <c r="C537" t="inlineStr">
        <is>
          <t>Föryngringsavverkning</t>
        </is>
      </c>
      <c r="D537" s="1" t="n">
        <v>45726</v>
      </c>
      <c r="E537" s="1" t="n">
        <v>46219</v>
      </c>
      <c r="F537" t="inlineStr">
        <is>
          <t>NORRBOTTENS LÄN</t>
        </is>
      </c>
      <c r="G537" t="inlineStr">
        <is>
          <t>PITEÅ</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60739-2024</t>
        </is>
      </c>
      <c r="B538" t="inlineStr">
        <is>
          <t>avverkningsanmälan</t>
        </is>
      </c>
      <c r="C538" t="inlineStr">
        <is>
          <t>Föryngringsavverkning</t>
        </is>
      </c>
      <c r="D538" s="1" t="n">
        <v>45644</v>
      </c>
      <c r="E538" s="1" t="n">
        <v>46219</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53751-2023</t>
        </is>
      </c>
      <c r="B539" t="inlineStr">
        <is>
          <t>avverkningsanmälan</t>
        </is>
      </c>
      <c r="C539" t="inlineStr">
        <is>
          <t>Föryngringsavverkning</t>
        </is>
      </c>
      <c r="D539" s="1" t="n">
        <v>45230</v>
      </c>
      <c r="E539" s="1" t="n">
        <v>46219</v>
      </c>
      <c r="F539" t="inlineStr">
        <is>
          <t>NORRBOTTENS LÄN</t>
        </is>
      </c>
      <c r="G539" t="inlineStr">
        <is>
          <t>PITEÅ</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50438-2024</t>
        </is>
      </c>
      <c r="B540" t="inlineStr">
        <is>
          <t>avverkningsanmälan</t>
        </is>
      </c>
      <c r="C540" t="inlineStr">
        <is>
          <t>Föryngringsavverkning</t>
        </is>
      </c>
      <c r="D540" s="1" t="n">
        <v>45601</v>
      </c>
      <c r="E540" s="1" t="n">
        <v>46219</v>
      </c>
      <c r="F540" t="inlineStr">
        <is>
          <t>NORRBOTTENS LÄN</t>
        </is>
      </c>
      <c r="G540" t="inlineStr">
        <is>
          <t>PITEÅ</t>
        </is>
      </c>
      <c r="I540" t="n">
        <v>38.7</v>
      </c>
      <c r="J540" t="n">
        <v>0</v>
      </c>
      <c r="K540" t="n">
        <v>0</v>
      </c>
      <c r="L540" t="n">
        <v>0</v>
      </c>
      <c r="M540" t="n">
        <v>0</v>
      </c>
      <c r="N540" t="n">
        <v>0</v>
      </c>
      <c r="O540" t="n">
        <v>0</v>
      </c>
      <c r="P540" t="n">
        <v>0</v>
      </c>
      <c r="Q540" t="n">
        <v>0</v>
      </c>
      <c r="R540" t="n">
        <v>0</v>
      </c>
      <c r="S540" t="n">
        <v>0</v>
      </c>
      <c r="T540" t="n">
        <v>0</v>
      </c>
      <c r="U540" s="2" t="inlineStr"/>
    </row>
    <row r="541" ht="15" customHeight="1">
      <c r="A541" t="inlineStr">
        <is>
          <t>A 20448-2023</t>
        </is>
      </c>
      <c r="B541" t="inlineStr">
        <is>
          <t>avverkningsanmälan</t>
        </is>
      </c>
      <c r="C541" t="inlineStr">
        <is>
          <t>Föryngringsavverkning</t>
        </is>
      </c>
      <c r="D541" s="1" t="n">
        <v>45056</v>
      </c>
      <c r="E541" s="1" t="n">
        <v>46219</v>
      </c>
      <c r="F541" t="inlineStr">
        <is>
          <t>NORRBOTTENS LÄN</t>
        </is>
      </c>
      <c r="G541" t="inlineStr">
        <is>
          <t>PITEÅ</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20449-2023</t>
        </is>
      </c>
      <c r="B542" t="inlineStr">
        <is>
          <t>avverkningsanmälan</t>
        </is>
      </c>
      <c r="C542" t="inlineStr">
        <is>
          <t>Avverkning för annat ändamål</t>
        </is>
      </c>
      <c r="D542" s="1" t="n">
        <v>45056</v>
      </c>
      <c r="E542" s="1" t="n">
        <v>46219</v>
      </c>
      <c r="F542" t="inlineStr">
        <is>
          <t>NORRBOTTENS LÄN</t>
        </is>
      </c>
      <c r="G542" t="inlineStr">
        <is>
          <t>PITEÅ</t>
        </is>
      </c>
      <c r="I542" t="n">
        <v>8.6</v>
      </c>
      <c r="J542" t="n">
        <v>0</v>
      </c>
      <c r="K542" t="n">
        <v>0</v>
      </c>
      <c r="L542" t="n">
        <v>0</v>
      </c>
      <c r="M542" t="n">
        <v>0</v>
      </c>
      <c r="N542" t="n">
        <v>0</v>
      </c>
      <c r="O542" t="n">
        <v>0</v>
      </c>
      <c r="P542" t="n">
        <v>0</v>
      </c>
      <c r="Q542" t="n">
        <v>0</v>
      </c>
      <c r="R542" t="n">
        <v>0</v>
      </c>
      <c r="S542" t="n">
        <v>0</v>
      </c>
      <c r="T542" t="n">
        <v>0</v>
      </c>
      <c r="U542" s="2" t="inlineStr"/>
    </row>
    <row r="543" ht="15" customHeight="1">
      <c r="A543" t="inlineStr">
        <is>
          <t>A 18771-2023</t>
        </is>
      </c>
      <c r="B543" t="inlineStr">
        <is>
          <t>avverkningsanmälan</t>
        </is>
      </c>
      <c r="C543" t="inlineStr">
        <is>
          <t>Föryngringsavverkning</t>
        </is>
      </c>
      <c r="D543" s="1" t="n">
        <v>45043</v>
      </c>
      <c r="E543" s="1" t="n">
        <v>46219</v>
      </c>
      <c r="F543" t="inlineStr">
        <is>
          <t>NORRBOTTENS LÄN</t>
        </is>
      </c>
      <c r="G543" t="inlineStr">
        <is>
          <t>PITEÅ</t>
        </is>
      </c>
      <c r="H543" t="inlineStr">
        <is>
          <t>SCA</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51642-2024</t>
        </is>
      </c>
      <c r="B544" t="inlineStr">
        <is>
          <t>avverkningsanmälan</t>
        </is>
      </c>
      <c r="C544" t="inlineStr">
        <is>
          <t>Föryngringsavverkning</t>
        </is>
      </c>
      <c r="D544" s="1" t="n">
        <v>45605</v>
      </c>
      <c r="E544" s="1" t="n">
        <v>46219</v>
      </c>
      <c r="F544" t="inlineStr">
        <is>
          <t>NORRBOTTENS LÄN</t>
        </is>
      </c>
      <c r="G544" t="inlineStr">
        <is>
          <t>PITEÅ</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20646-2025</t>
        </is>
      </c>
      <c r="B545" t="inlineStr">
        <is>
          <t>avverkningsanmälan</t>
        </is>
      </c>
      <c r="C545" t="inlineStr">
        <is>
          <t>Föryngringsavverkning</t>
        </is>
      </c>
      <c r="D545" s="1" t="n">
        <v>45776</v>
      </c>
      <c r="E545" s="1" t="n">
        <v>46219</v>
      </c>
      <c r="F545" t="inlineStr">
        <is>
          <t>NORRBOTTENS LÄN</t>
        </is>
      </c>
      <c r="G545" t="inlineStr">
        <is>
          <t>PITEÅ</t>
        </is>
      </c>
      <c r="I545" t="n">
        <v>4.7</v>
      </c>
      <c r="J545" t="n">
        <v>0</v>
      </c>
      <c r="K545" t="n">
        <v>0</v>
      </c>
      <c r="L545" t="n">
        <v>0</v>
      </c>
      <c r="M545" t="n">
        <v>0</v>
      </c>
      <c r="N545" t="n">
        <v>0</v>
      </c>
      <c r="O545" t="n">
        <v>0</v>
      </c>
      <c r="P545" t="n">
        <v>0</v>
      </c>
      <c r="Q545" t="n">
        <v>0</v>
      </c>
      <c r="R545" t="n">
        <v>0</v>
      </c>
      <c r="S545" t="n">
        <v>0</v>
      </c>
      <c r="T545" t="n">
        <v>0</v>
      </c>
      <c r="U545" s="2" t="inlineStr"/>
    </row>
    <row r="546" ht="15" customHeight="1">
      <c r="A546" t="inlineStr">
        <is>
          <t>A 51655-2025</t>
        </is>
      </c>
      <c r="B546" t="inlineStr">
        <is>
          <t>avverkningsanmälan</t>
        </is>
      </c>
      <c r="C546" t="inlineStr">
        <is>
          <t>Föryngringsavverkning</t>
        </is>
      </c>
      <c r="D546" s="1" t="n">
        <v>45951</v>
      </c>
      <c r="E546" s="1" t="n">
        <v>46219</v>
      </c>
      <c r="F546" t="inlineStr">
        <is>
          <t>NORRBOTTENS LÄN</t>
        </is>
      </c>
      <c r="G546" t="inlineStr">
        <is>
          <t>PITEÅ</t>
        </is>
      </c>
      <c r="I546" t="n">
        <v>2.7</v>
      </c>
      <c r="J546" t="n">
        <v>0</v>
      </c>
      <c r="K546" t="n">
        <v>0</v>
      </c>
      <c r="L546" t="n">
        <v>0</v>
      </c>
      <c r="M546" t="n">
        <v>0</v>
      </c>
      <c r="N546" t="n">
        <v>0</v>
      </c>
      <c r="O546" t="n">
        <v>0</v>
      </c>
      <c r="P546" t="n">
        <v>0</v>
      </c>
      <c r="Q546" t="n">
        <v>0</v>
      </c>
      <c r="R546" t="n">
        <v>0</v>
      </c>
      <c r="S546" t="n">
        <v>0</v>
      </c>
      <c r="T546" t="n">
        <v>0</v>
      </c>
      <c r="U546" s="2" t="inlineStr"/>
    </row>
    <row r="547" ht="15" customHeight="1">
      <c r="A547" t="inlineStr">
        <is>
          <t>A 7459-2024</t>
        </is>
      </c>
      <c r="B547" t="inlineStr">
        <is>
          <t>avverkningsanmälan</t>
        </is>
      </c>
      <c r="C547" t="inlineStr">
        <is>
          <t>Föryngringsavverkning</t>
        </is>
      </c>
      <c r="D547" s="1" t="n">
        <v>45345</v>
      </c>
      <c r="E547" s="1" t="n">
        <v>46219</v>
      </c>
      <c r="F547" t="inlineStr">
        <is>
          <t>NORRBOTTENS LÄN</t>
        </is>
      </c>
      <c r="G547" t="inlineStr">
        <is>
          <t>PITEÅ</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A 3870-2025</t>
        </is>
      </c>
      <c r="B548" t="inlineStr">
        <is>
          <t>avverkningsanmälan</t>
        </is>
      </c>
      <c r="C548" t="inlineStr">
        <is>
          <t>Föryngringsavverkning</t>
        </is>
      </c>
      <c r="D548" s="1" t="n">
        <v>45684</v>
      </c>
      <c r="E548" s="1" t="n">
        <v>46219</v>
      </c>
      <c r="F548" t="inlineStr">
        <is>
          <t>NORRBOTTENS LÄN</t>
        </is>
      </c>
      <c r="G548" t="inlineStr">
        <is>
          <t>PITEÅ</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1301-2026</t>
        </is>
      </c>
      <c r="B549" t="inlineStr">
        <is>
          <t>avverkningsanmälan</t>
        </is>
      </c>
      <c r="C549" t="inlineStr">
        <is>
          <t>Föryngringsavverkning</t>
        </is>
      </c>
      <c r="D549" s="1" t="n">
        <v>46031</v>
      </c>
      <c r="E549" s="1" t="n">
        <v>46219</v>
      </c>
      <c r="F549" t="inlineStr">
        <is>
          <t>NORRBOTTENS LÄN</t>
        </is>
      </c>
      <c r="G549" t="inlineStr">
        <is>
          <t>PITEÅ</t>
        </is>
      </c>
      <c r="I549" t="n">
        <v>17.1</v>
      </c>
      <c r="J549" t="n">
        <v>0</v>
      </c>
      <c r="K549" t="n">
        <v>0</v>
      </c>
      <c r="L549" t="n">
        <v>0</v>
      </c>
      <c r="M549" t="n">
        <v>0</v>
      </c>
      <c r="N549" t="n">
        <v>0</v>
      </c>
      <c r="O549" t="n">
        <v>0</v>
      </c>
      <c r="P549" t="n">
        <v>0</v>
      </c>
      <c r="Q549" t="n">
        <v>0</v>
      </c>
      <c r="R549" t="n">
        <v>0</v>
      </c>
      <c r="S549" t="n">
        <v>0</v>
      </c>
      <c r="T549" t="n">
        <v>0</v>
      </c>
      <c r="U549" s="2" t="inlineStr"/>
    </row>
    <row r="550" ht="15" customHeight="1">
      <c r="A550" t="inlineStr">
        <is>
          <t>A 2103-2026</t>
        </is>
      </c>
      <c r="B550" t="inlineStr">
        <is>
          <t>avverkningsanmälan</t>
        </is>
      </c>
      <c r="C550" t="inlineStr">
        <is>
          <t>Föryngringsavverkning</t>
        </is>
      </c>
      <c r="D550" s="1" t="n">
        <v>46036</v>
      </c>
      <c r="E550" s="1" t="n">
        <v>46219</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s="2" t="inlineStr"/>
    </row>
    <row r="551" ht="15" customHeight="1">
      <c r="A551" t="inlineStr">
        <is>
          <t>A 9112-2024</t>
        </is>
      </c>
      <c r="B551" t="inlineStr">
        <is>
          <t>avverkningsanmälan</t>
        </is>
      </c>
      <c r="C551" t="inlineStr">
        <is>
          <t>Föryngringsavverkning</t>
        </is>
      </c>
      <c r="D551" s="1" t="n">
        <v>45357</v>
      </c>
      <c r="E551" s="1" t="n">
        <v>46219</v>
      </c>
      <c r="F551" t="inlineStr">
        <is>
          <t>NORRBOTTENS LÄN</t>
        </is>
      </c>
      <c r="G551" t="inlineStr">
        <is>
          <t>PITEÅ</t>
        </is>
      </c>
      <c r="I551" t="n">
        <v>5.4</v>
      </c>
      <c r="J551" t="n">
        <v>0</v>
      </c>
      <c r="K551" t="n">
        <v>0</v>
      </c>
      <c r="L551" t="n">
        <v>0</v>
      </c>
      <c r="M551" t="n">
        <v>0</v>
      </c>
      <c r="N551" t="n">
        <v>0</v>
      </c>
      <c r="O551" t="n">
        <v>0</v>
      </c>
      <c r="P551" t="n">
        <v>0</v>
      </c>
      <c r="Q551" t="n">
        <v>0</v>
      </c>
      <c r="R551" t="n">
        <v>0</v>
      </c>
      <c r="S551" t="n">
        <v>0</v>
      </c>
      <c r="T551" t="n">
        <v>0</v>
      </c>
      <c r="U551" s="2" t="inlineStr"/>
    </row>
    <row r="552" ht="15" customHeight="1">
      <c r="A552" t="inlineStr">
        <is>
          <t>A 2139-2026</t>
        </is>
      </c>
      <c r="B552" t="inlineStr">
        <is>
          <t>avverkningsanmälan</t>
        </is>
      </c>
      <c r="C552" t="inlineStr">
        <is>
          <t>Föryngringsavverkning</t>
        </is>
      </c>
      <c r="D552" s="1" t="n">
        <v>46036</v>
      </c>
      <c r="E552" s="1" t="n">
        <v>46219</v>
      </c>
      <c r="F552" t="inlineStr">
        <is>
          <t>NORRBOTTENS LÄN</t>
        </is>
      </c>
      <c r="G552" t="inlineStr">
        <is>
          <t>PITEÅ</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15199-2022</t>
        </is>
      </c>
      <c r="B553" t="inlineStr">
        <is>
          <t>avverkningsanmälan</t>
        </is>
      </c>
      <c r="C553" t="inlineStr">
        <is>
          <t>Föryngringsavverkning</t>
        </is>
      </c>
      <c r="D553" s="1" t="n">
        <v>44658</v>
      </c>
      <c r="E553" s="1" t="n">
        <v>46219</v>
      </c>
      <c r="F553" t="inlineStr">
        <is>
          <t>NORRBOTTENS LÄN</t>
        </is>
      </c>
      <c r="G553" t="inlineStr">
        <is>
          <t>PITEÅ</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15906-2025</t>
        </is>
      </c>
      <c r="B554" t="inlineStr">
        <is>
          <t>avverkningsanmälan</t>
        </is>
      </c>
      <c r="C554" t="inlineStr">
        <is>
          <t>Föryngringsavverkning</t>
        </is>
      </c>
      <c r="D554" s="1" t="n">
        <v>45749</v>
      </c>
      <c r="E554" s="1" t="n">
        <v>46219</v>
      </c>
      <c r="F554" t="inlineStr">
        <is>
          <t>NORRBOTTENS LÄN</t>
        </is>
      </c>
      <c r="G554" t="inlineStr">
        <is>
          <t>PITEÅ</t>
        </is>
      </c>
      <c r="I554" t="n">
        <v>11.1</v>
      </c>
      <c r="J554" t="n">
        <v>0</v>
      </c>
      <c r="K554" t="n">
        <v>0</v>
      </c>
      <c r="L554" t="n">
        <v>0</v>
      </c>
      <c r="M554" t="n">
        <v>0</v>
      </c>
      <c r="N554" t="n">
        <v>0</v>
      </c>
      <c r="O554" t="n">
        <v>0</v>
      </c>
      <c r="P554" t="n">
        <v>0</v>
      </c>
      <c r="Q554" t="n">
        <v>0</v>
      </c>
      <c r="R554" t="n">
        <v>0</v>
      </c>
      <c r="S554" t="n">
        <v>0</v>
      </c>
      <c r="T554" t="n">
        <v>0</v>
      </c>
      <c r="U554" s="2" t="inlineStr"/>
    </row>
    <row r="555" ht="15" customHeight="1">
      <c r="A555" t="inlineStr">
        <is>
          <t>A 16044-2024</t>
        </is>
      </c>
      <c r="B555" t="inlineStr">
        <is>
          <t>avverkningsanmälan</t>
        </is>
      </c>
      <c r="C555" t="inlineStr">
        <is>
          <t>Föryngringsavverkning</t>
        </is>
      </c>
      <c r="D555" s="1" t="n">
        <v>45405</v>
      </c>
      <c r="E555" s="1" t="n">
        <v>46219</v>
      </c>
      <c r="F555" t="inlineStr">
        <is>
          <t>NORRBOTTENS LÄN</t>
        </is>
      </c>
      <c r="G555" t="inlineStr">
        <is>
          <t>PITEÅ</t>
        </is>
      </c>
      <c r="I555" t="n">
        <v>4.3</v>
      </c>
      <c r="J555" t="n">
        <v>0</v>
      </c>
      <c r="K555" t="n">
        <v>0</v>
      </c>
      <c r="L555" t="n">
        <v>0</v>
      </c>
      <c r="M555" t="n">
        <v>0</v>
      </c>
      <c r="N555" t="n">
        <v>0</v>
      </c>
      <c r="O555" t="n">
        <v>0</v>
      </c>
      <c r="P555" t="n">
        <v>0</v>
      </c>
      <c r="Q555" t="n">
        <v>0</v>
      </c>
      <c r="R555" t="n">
        <v>0</v>
      </c>
      <c r="S555" t="n">
        <v>0</v>
      </c>
      <c r="T555" t="n">
        <v>0</v>
      </c>
      <c r="U555" s="2" t="inlineStr"/>
    </row>
    <row r="556" ht="15" customHeight="1">
      <c r="A556" t="inlineStr">
        <is>
          <t>A 2136-2026</t>
        </is>
      </c>
      <c r="B556" t="inlineStr">
        <is>
          <t>avverkningsanmälan</t>
        </is>
      </c>
      <c r="C556" t="inlineStr">
        <is>
          <t>Föryngringsavverkning</t>
        </is>
      </c>
      <c r="D556" s="1" t="n">
        <v>46036</v>
      </c>
      <c r="E556" s="1" t="n">
        <v>46219</v>
      </c>
      <c r="F556" t="inlineStr">
        <is>
          <t>NORRBOTTENS LÄN</t>
        </is>
      </c>
      <c r="G556" t="inlineStr">
        <is>
          <t>PITEÅ</t>
        </is>
      </c>
      <c r="I556" t="n">
        <v>1</v>
      </c>
      <c r="J556" t="n">
        <v>0</v>
      </c>
      <c r="K556" t="n">
        <v>0</v>
      </c>
      <c r="L556" t="n">
        <v>0</v>
      </c>
      <c r="M556" t="n">
        <v>0</v>
      </c>
      <c r="N556" t="n">
        <v>0</v>
      </c>
      <c r="O556" t="n">
        <v>0</v>
      </c>
      <c r="P556" t="n">
        <v>0</v>
      </c>
      <c r="Q556" t="n">
        <v>0</v>
      </c>
      <c r="R556" t="n">
        <v>0</v>
      </c>
      <c r="S556" t="n">
        <v>0</v>
      </c>
      <c r="T556" t="n">
        <v>0</v>
      </c>
      <c r="U556" s="2" t="inlineStr"/>
    </row>
    <row r="557" ht="15" customHeight="1">
      <c r="A557" t="inlineStr">
        <is>
          <t>A 20082-2024</t>
        </is>
      </c>
      <c r="B557" t="inlineStr">
        <is>
          <t>avverkningsanmälan</t>
        </is>
      </c>
      <c r="C557" t="inlineStr">
        <is>
          <t>Föryngringsavverkning</t>
        </is>
      </c>
      <c r="D557" s="1" t="n">
        <v>45434</v>
      </c>
      <c r="E557" s="1" t="n">
        <v>46219</v>
      </c>
      <c r="F557" t="inlineStr">
        <is>
          <t>NORRBOTTENS LÄN</t>
        </is>
      </c>
      <c r="G557" t="inlineStr">
        <is>
          <t>PITEÅ</t>
        </is>
      </c>
      <c r="I557" t="n">
        <v>2.7</v>
      </c>
      <c r="J557" t="n">
        <v>0</v>
      </c>
      <c r="K557" t="n">
        <v>0</v>
      </c>
      <c r="L557" t="n">
        <v>0</v>
      </c>
      <c r="M557" t="n">
        <v>0</v>
      </c>
      <c r="N557" t="n">
        <v>0</v>
      </c>
      <c r="O557" t="n">
        <v>0</v>
      </c>
      <c r="P557" t="n">
        <v>0</v>
      </c>
      <c r="Q557" t="n">
        <v>0</v>
      </c>
      <c r="R557" t="n">
        <v>0</v>
      </c>
      <c r="S557" t="n">
        <v>0</v>
      </c>
      <c r="T557" t="n">
        <v>0</v>
      </c>
      <c r="U557" s="2" t="inlineStr"/>
    </row>
    <row r="558" ht="15" customHeight="1">
      <c r="A558" t="inlineStr">
        <is>
          <t>A 21498-2025</t>
        </is>
      </c>
      <c r="B558" t="inlineStr">
        <is>
          <t>avverkningsanmälan</t>
        </is>
      </c>
      <c r="C558" t="inlineStr">
        <is>
          <t>Föryngringsavverkning</t>
        </is>
      </c>
      <c r="D558" s="1" t="n">
        <v>45782</v>
      </c>
      <c r="E558" s="1" t="n">
        <v>46219</v>
      </c>
      <c r="F558" t="inlineStr">
        <is>
          <t>NORRBOTTENS LÄN</t>
        </is>
      </c>
      <c r="G558" t="inlineStr">
        <is>
          <t>PITEÅ</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21540-2025</t>
        </is>
      </c>
      <c r="B559" t="inlineStr">
        <is>
          <t>avverkningsanmälan</t>
        </is>
      </c>
      <c r="C559" t="inlineStr">
        <is>
          <t>Föryngringsavverkning</t>
        </is>
      </c>
      <c r="D559" s="1" t="n">
        <v>45782</v>
      </c>
      <c r="E559" s="1" t="n">
        <v>46219</v>
      </c>
      <c r="F559" t="inlineStr">
        <is>
          <t>NORRBOTTENS LÄN</t>
        </is>
      </c>
      <c r="G559" t="inlineStr">
        <is>
          <t>PITEÅ</t>
        </is>
      </c>
      <c r="I559" t="n">
        <v>6.8</v>
      </c>
      <c r="J559" t="n">
        <v>0</v>
      </c>
      <c r="K559" t="n">
        <v>0</v>
      </c>
      <c r="L559" t="n">
        <v>0</v>
      </c>
      <c r="M559" t="n">
        <v>0</v>
      </c>
      <c r="N559" t="n">
        <v>0</v>
      </c>
      <c r="O559" t="n">
        <v>0</v>
      </c>
      <c r="P559" t="n">
        <v>0</v>
      </c>
      <c r="Q559" t="n">
        <v>0</v>
      </c>
      <c r="R559" t="n">
        <v>0</v>
      </c>
      <c r="S559" t="n">
        <v>0</v>
      </c>
      <c r="T559" t="n">
        <v>0</v>
      </c>
      <c r="U559" s="2" t="inlineStr"/>
    </row>
    <row r="560" ht="15" customHeight="1">
      <c r="A560" t="inlineStr">
        <is>
          <t>A 2783-2026</t>
        </is>
      </c>
      <c r="B560" t="inlineStr">
        <is>
          <t>avverkningsanmälan</t>
        </is>
      </c>
      <c r="C560" t="inlineStr">
        <is>
          <t>Föryngringsavverkning</t>
        </is>
      </c>
      <c r="D560" s="1" t="n">
        <v>46038</v>
      </c>
      <c r="E560" s="1" t="n">
        <v>46219</v>
      </c>
      <c r="F560" t="inlineStr">
        <is>
          <t>NORRBOTTENS LÄN</t>
        </is>
      </c>
      <c r="G560" t="inlineStr">
        <is>
          <t>PITEÅ</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21593-2025</t>
        </is>
      </c>
      <c r="B561" t="inlineStr">
        <is>
          <t>avverkningsanmälan</t>
        </is>
      </c>
      <c r="C561" t="inlineStr">
        <is>
          <t>Föryngringsavverkning</t>
        </is>
      </c>
      <c r="D561" s="1" t="n">
        <v>45783</v>
      </c>
      <c r="E561" s="1" t="n">
        <v>46219</v>
      </c>
      <c r="F561" t="inlineStr">
        <is>
          <t>NORRBOTTENS LÄN</t>
        </is>
      </c>
      <c r="G561" t="inlineStr">
        <is>
          <t>PITEÅ</t>
        </is>
      </c>
      <c r="H561" t="inlineStr">
        <is>
          <t>SCA</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27689-2023</t>
        </is>
      </c>
      <c r="B562" t="inlineStr">
        <is>
          <t>avverkningsanmälan</t>
        </is>
      </c>
      <c r="C562" t="inlineStr">
        <is>
          <t>Föryngringsavverkning</t>
        </is>
      </c>
      <c r="D562" s="1" t="n">
        <v>45097</v>
      </c>
      <c r="E562" s="1" t="n">
        <v>46219</v>
      </c>
      <c r="F562" t="inlineStr">
        <is>
          <t>NORRBOTTENS LÄN</t>
        </is>
      </c>
      <c r="G562" t="inlineStr">
        <is>
          <t>PITEÅ</t>
        </is>
      </c>
      <c r="H562" t="inlineStr">
        <is>
          <t>SCA</t>
        </is>
      </c>
      <c r="I562" t="n">
        <v>5.5</v>
      </c>
      <c r="J562" t="n">
        <v>0</v>
      </c>
      <c r="K562" t="n">
        <v>0</v>
      </c>
      <c r="L562" t="n">
        <v>0</v>
      </c>
      <c r="M562" t="n">
        <v>0</v>
      </c>
      <c r="N562" t="n">
        <v>0</v>
      </c>
      <c r="O562" t="n">
        <v>0</v>
      </c>
      <c r="P562" t="n">
        <v>0</v>
      </c>
      <c r="Q562" t="n">
        <v>0</v>
      </c>
      <c r="R562" t="n">
        <v>0</v>
      </c>
      <c r="S562" t="n">
        <v>0</v>
      </c>
      <c r="T562" t="n">
        <v>0</v>
      </c>
      <c r="U562" s="2" t="inlineStr"/>
    </row>
    <row r="563" ht="15" customHeight="1">
      <c r="A563" t="inlineStr">
        <is>
          <t>A 3488-2026</t>
        </is>
      </c>
      <c r="B563" t="inlineStr">
        <is>
          <t>avverkningsanmälan</t>
        </is>
      </c>
      <c r="C563" t="inlineStr">
        <is>
          <t>Föryngringsavverkning</t>
        </is>
      </c>
      <c r="D563" s="1" t="n">
        <v>46042</v>
      </c>
      <c r="E563" s="1" t="n">
        <v>46219</v>
      </c>
      <c r="F563" t="inlineStr">
        <is>
          <t>NORRBOTTENS LÄN</t>
        </is>
      </c>
      <c r="G563" t="inlineStr">
        <is>
          <t>PITEÅ</t>
        </is>
      </c>
      <c r="I563" t="n">
        <v>3.6</v>
      </c>
      <c r="J563" t="n">
        <v>0</v>
      </c>
      <c r="K563" t="n">
        <v>0</v>
      </c>
      <c r="L563" t="n">
        <v>0</v>
      </c>
      <c r="M563" t="n">
        <v>0</v>
      </c>
      <c r="N563" t="n">
        <v>0</v>
      </c>
      <c r="O563" t="n">
        <v>0</v>
      </c>
      <c r="P563" t="n">
        <v>0</v>
      </c>
      <c r="Q563" t="n">
        <v>0</v>
      </c>
      <c r="R563" t="n">
        <v>0</v>
      </c>
      <c r="S563" t="n">
        <v>0</v>
      </c>
      <c r="T563" t="n">
        <v>0</v>
      </c>
      <c r="U563" s="2" t="inlineStr"/>
    </row>
    <row r="564" ht="15" customHeight="1">
      <c r="A564" t="inlineStr">
        <is>
          <t>A 3497-2026</t>
        </is>
      </c>
      <c r="B564" t="inlineStr">
        <is>
          <t>avverkningsanmälan</t>
        </is>
      </c>
      <c r="C564" t="inlineStr">
        <is>
          <t>Föryngringsavverkning</t>
        </is>
      </c>
      <c r="D564" s="1" t="n">
        <v>46042</v>
      </c>
      <c r="E564" s="1" t="n">
        <v>46219</v>
      </c>
      <c r="F564" t="inlineStr">
        <is>
          <t>NORRBOTTENS LÄN</t>
        </is>
      </c>
      <c r="G564" t="inlineStr">
        <is>
          <t>PITEÅ</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3498-2026</t>
        </is>
      </c>
      <c r="B565" t="inlineStr">
        <is>
          <t>avverkningsanmälan</t>
        </is>
      </c>
      <c r="C565" t="inlineStr">
        <is>
          <t>Föryngringsavverkning</t>
        </is>
      </c>
      <c r="D565" s="1" t="n">
        <v>46042</v>
      </c>
      <c r="E565" s="1" t="n">
        <v>46219</v>
      </c>
      <c r="F565" t="inlineStr">
        <is>
          <t>NORRBOTTENS LÄN</t>
        </is>
      </c>
      <c r="G565" t="inlineStr">
        <is>
          <t>PITEÅ</t>
        </is>
      </c>
      <c r="I565" t="n">
        <v>2.3</v>
      </c>
      <c r="J565" t="n">
        <v>0</v>
      </c>
      <c r="K565" t="n">
        <v>0</v>
      </c>
      <c r="L565" t="n">
        <v>0</v>
      </c>
      <c r="M565" t="n">
        <v>0</v>
      </c>
      <c r="N565" t="n">
        <v>0</v>
      </c>
      <c r="O565" t="n">
        <v>0</v>
      </c>
      <c r="P565" t="n">
        <v>0</v>
      </c>
      <c r="Q565" t="n">
        <v>0</v>
      </c>
      <c r="R565" t="n">
        <v>0</v>
      </c>
      <c r="S565" t="n">
        <v>0</v>
      </c>
      <c r="T565" t="n">
        <v>0</v>
      </c>
      <c r="U565" s="2" t="inlineStr"/>
    </row>
    <row r="566" ht="15" customHeight="1">
      <c r="A566" t="inlineStr">
        <is>
          <t>A 3491-2026</t>
        </is>
      </c>
      <c r="B566" t="inlineStr">
        <is>
          <t>avverkningsanmälan</t>
        </is>
      </c>
      <c r="C566" t="inlineStr">
        <is>
          <t>Föryngringsavverkning</t>
        </is>
      </c>
      <c r="D566" s="1" t="n">
        <v>46042</v>
      </c>
      <c r="E566" s="1" t="n">
        <v>46219</v>
      </c>
      <c r="F566" t="inlineStr">
        <is>
          <t>NORRBOTTENS LÄN</t>
        </is>
      </c>
      <c r="G566" t="inlineStr">
        <is>
          <t>PITEÅ</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3560-2026</t>
        </is>
      </c>
      <c r="B567" t="inlineStr">
        <is>
          <t>avverkningsanmälan</t>
        </is>
      </c>
      <c r="C567" t="inlineStr">
        <is>
          <t>Föryngringsavverkning</t>
        </is>
      </c>
      <c r="D567" s="1" t="n">
        <v>46042</v>
      </c>
      <c r="E567" s="1" t="n">
        <v>46219</v>
      </c>
      <c r="F567" t="inlineStr">
        <is>
          <t>NORRBOTTENS LÄN</t>
        </is>
      </c>
      <c r="G567" t="inlineStr">
        <is>
          <t>PITEÅ</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18267-2022</t>
        </is>
      </c>
      <c r="B568" t="inlineStr">
        <is>
          <t>avverkningsanmälan</t>
        </is>
      </c>
      <c r="C568" t="inlineStr">
        <is>
          <t>Föryngringsavverkning</t>
        </is>
      </c>
      <c r="D568" s="1" t="n">
        <v>44685</v>
      </c>
      <c r="E568" s="1" t="n">
        <v>46219</v>
      </c>
      <c r="F568" t="inlineStr">
        <is>
          <t>NORRBOTTENS LÄN</t>
        </is>
      </c>
      <c r="G568" t="inlineStr">
        <is>
          <t>PITEÅ</t>
        </is>
      </c>
      <c r="I568" t="n">
        <v>2.9</v>
      </c>
      <c r="J568" t="n">
        <v>0</v>
      </c>
      <c r="K568" t="n">
        <v>0</v>
      </c>
      <c r="L568" t="n">
        <v>0</v>
      </c>
      <c r="M568" t="n">
        <v>0</v>
      </c>
      <c r="N568" t="n">
        <v>0</v>
      </c>
      <c r="O568" t="n">
        <v>0</v>
      </c>
      <c r="P568" t="n">
        <v>0</v>
      </c>
      <c r="Q568" t="n">
        <v>0</v>
      </c>
      <c r="R568" t="n">
        <v>0</v>
      </c>
      <c r="S568" t="n">
        <v>0</v>
      </c>
      <c r="T568" t="n">
        <v>0</v>
      </c>
      <c r="U568" s="2" t="inlineStr"/>
    </row>
    <row r="569" ht="15" customHeight="1">
      <c r="A569" t="inlineStr">
        <is>
          <t>A 3486-2026</t>
        </is>
      </c>
      <c r="B569" t="inlineStr">
        <is>
          <t>avverkningsanmälan</t>
        </is>
      </c>
      <c r="C569" t="inlineStr">
        <is>
          <t>Föryngringsavverkning</t>
        </is>
      </c>
      <c r="D569" s="1" t="n">
        <v>46042</v>
      </c>
      <c r="E569" s="1" t="n">
        <v>46219</v>
      </c>
      <c r="F569" t="inlineStr">
        <is>
          <t>NORRBOTTENS LÄN</t>
        </is>
      </c>
      <c r="G569" t="inlineStr">
        <is>
          <t>PITEÅ</t>
        </is>
      </c>
      <c r="I569" t="n">
        <v>10</v>
      </c>
      <c r="J569" t="n">
        <v>0</v>
      </c>
      <c r="K569" t="n">
        <v>0</v>
      </c>
      <c r="L569" t="n">
        <v>0</v>
      </c>
      <c r="M569" t="n">
        <v>0</v>
      </c>
      <c r="N569" t="n">
        <v>0</v>
      </c>
      <c r="O569" t="n">
        <v>0</v>
      </c>
      <c r="P569" t="n">
        <v>0</v>
      </c>
      <c r="Q569" t="n">
        <v>0</v>
      </c>
      <c r="R569" t="n">
        <v>0</v>
      </c>
      <c r="S569" t="n">
        <v>0</v>
      </c>
      <c r="T569" t="n">
        <v>0</v>
      </c>
      <c r="U569" s="2" t="inlineStr"/>
    </row>
    <row r="570" ht="15" customHeight="1">
      <c r="A570" t="inlineStr">
        <is>
          <t>A 25989-2023</t>
        </is>
      </c>
      <c r="B570" t="inlineStr">
        <is>
          <t>avverkningsanmälan</t>
        </is>
      </c>
      <c r="C570" t="inlineStr">
        <is>
          <t>Föryngringsavverkning</t>
        </is>
      </c>
      <c r="D570" s="1" t="n">
        <v>45090</v>
      </c>
      <c r="E570" s="1" t="n">
        <v>46219</v>
      </c>
      <c r="F570" t="inlineStr">
        <is>
          <t>NORRBOTTENS LÄN</t>
        </is>
      </c>
      <c r="G570" t="inlineStr">
        <is>
          <t>PITEÅ</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4675-2025</t>
        </is>
      </c>
      <c r="B571" t="inlineStr">
        <is>
          <t>avverkningsanmälan</t>
        </is>
      </c>
      <c r="C571" t="inlineStr">
        <is>
          <t>Föryngringsavverkning</t>
        </is>
      </c>
      <c r="D571" s="1" t="n">
        <v>45687</v>
      </c>
      <c r="E571" s="1" t="n">
        <v>46219</v>
      </c>
      <c r="F571" t="inlineStr">
        <is>
          <t>NORRBOTTENS LÄN</t>
        </is>
      </c>
      <c r="G571" t="inlineStr">
        <is>
          <t>PITEÅ</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3181-2026</t>
        </is>
      </c>
      <c r="B572" t="inlineStr">
        <is>
          <t>avverkningsanmälan</t>
        </is>
      </c>
      <c r="C572" t="inlineStr">
        <is>
          <t>Föryngringsavverkning</t>
        </is>
      </c>
      <c r="D572" s="1" t="n">
        <v>46041</v>
      </c>
      <c r="E572" s="1" t="n">
        <v>46219</v>
      </c>
      <c r="F572" t="inlineStr">
        <is>
          <t>NORRBOTTENS LÄN</t>
        </is>
      </c>
      <c r="G572" t="inlineStr">
        <is>
          <t>PITEÅ</t>
        </is>
      </c>
      <c r="I572" t="n">
        <v>4.9</v>
      </c>
      <c r="J572" t="n">
        <v>0</v>
      </c>
      <c r="K572" t="n">
        <v>0</v>
      </c>
      <c r="L572" t="n">
        <v>0</v>
      </c>
      <c r="M572" t="n">
        <v>0</v>
      </c>
      <c r="N572" t="n">
        <v>0</v>
      </c>
      <c r="O572" t="n">
        <v>0</v>
      </c>
      <c r="P572" t="n">
        <v>0</v>
      </c>
      <c r="Q572" t="n">
        <v>0</v>
      </c>
      <c r="R572" t="n">
        <v>0</v>
      </c>
      <c r="S572" t="n">
        <v>0</v>
      </c>
      <c r="T572" t="n">
        <v>0</v>
      </c>
      <c r="U572" s="2" t="inlineStr"/>
    </row>
    <row r="573" ht="15" customHeight="1">
      <c r="A573" t="inlineStr">
        <is>
          <t>A 2782-2026</t>
        </is>
      </c>
      <c r="B573" t="inlineStr">
        <is>
          <t>avverkningsanmälan</t>
        </is>
      </c>
      <c r="C573" t="inlineStr">
        <is>
          <t>Föryngringsavverkning</t>
        </is>
      </c>
      <c r="D573" s="1" t="n">
        <v>46038</v>
      </c>
      <c r="E573" s="1" t="n">
        <v>46219</v>
      </c>
      <c r="F573" t="inlineStr">
        <is>
          <t>NORRBOTTENS LÄN</t>
        </is>
      </c>
      <c r="G573" t="inlineStr">
        <is>
          <t>PITEÅ</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50329-2024</t>
        </is>
      </c>
      <c r="B574" t="inlineStr">
        <is>
          <t>avverkningsanmälan</t>
        </is>
      </c>
      <c r="C574" t="inlineStr">
        <is>
          <t>Föryngringsavverkning</t>
        </is>
      </c>
      <c r="D574" s="1" t="n">
        <v>45600</v>
      </c>
      <c r="E574" s="1" t="n">
        <v>46219</v>
      </c>
      <c r="F574" t="inlineStr">
        <is>
          <t>NORRBOTTENS LÄN</t>
        </is>
      </c>
      <c r="G574" t="inlineStr">
        <is>
          <t>PITEÅ</t>
        </is>
      </c>
      <c r="H574" t="inlineStr">
        <is>
          <t>Sveaskog</t>
        </is>
      </c>
      <c r="I574" t="n">
        <v>9</v>
      </c>
      <c r="J574" t="n">
        <v>0</v>
      </c>
      <c r="K574" t="n">
        <v>0</v>
      </c>
      <c r="L574" t="n">
        <v>0</v>
      </c>
      <c r="M574" t="n">
        <v>0</v>
      </c>
      <c r="N574" t="n">
        <v>0</v>
      </c>
      <c r="O574" t="n">
        <v>0</v>
      </c>
      <c r="P574" t="n">
        <v>0</v>
      </c>
      <c r="Q574" t="n">
        <v>0</v>
      </c>
      <c r="R574" t="n">
        <v>0</v>
      </c>
      <c r="S574" t="n">
        <v>0</v>
      </c>
      <c r="T574" t="n">
        <v>0</v>
      </c>
      <c r="U574" s="2" t="inlineStr"/>
    </row>
    <row r="575" ht="15" customHeight="1">
      <c r="A575" t="inlineStr">
        <is>
          <t>A 3537-2026</t>
        </is>
      </c>
      <c r="B575" t="inlineStr">
        <is>
          <t>avverkningsanmälan</t>
        </is>
      </c>
      <c r="C575" t="inlineStr">
        <is>
          <t>Föryngringsavverkning</t>
        </is>
      </c>
      <c r="D575" s="1" t="n">
        <v>46042</v>
      </c>
      <c r="E575" s="1" t="n">
        <v>46219</v>
      </c>
      <c r="F575" t="inlineStr">
        <is>
          <t>NORRBOTTENS LÄN</t>
        </is>
      </c>
      <c r="G575" t="inlineStr">
        <is>
          <t>PITEÅ</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44076-2023</t>
        </is>
      </c>
      <c r="B576" t="inlineStr">
        <is>
          <t>avverkningsanmälan</t>
        </is>
      </c>
      <c r="C576" t="inlineStr">
        <is>
          <t>Föryngringsavverkning</t>
        </is>
      </c>
      <c r="D576" s="1" t="n">
        <v>45188</v>
      </c>
      <c r="E576" s="1" t="n">
        <v>46219</v>
      </c>
      <c r="F576" t="inlineStr">
        <is>
          <t>NORRBOTTENS LÄN</t>
        </is>
      </c>
      <c r="G576" t="inlineStr">
        <is>
          <t>PITEÅ</t>
        </is>
      </c>
      <c r="H576" t="inlineStr">
        <is>
          <t>Sveaskog</t>
        </is>
      </c>
      <c r="I576" t="n">
        <v>6.3</v>
      </c>
      <c r="J576" t="n">
        <v>0</v>
      </c>
      <c r="K576" t="n">
        <v>0</v>
      </c>
      <c r="L576" t="n">
        <v>0</v>
      </c>
      <c r="M576" t="n">
        <v>0</v>
      </c>
      <c r="N576" t="n">
        <v>0</v>
      </c>
      <c r="O576" t="n">
        <v>0</v>
      </c>
      <c r="P576" t="n">
        <v>0</v>
      </c>
      <c r="Q576" t="n">
        <v>0</v>
      </c>
      <c r="R576" t="n">
        <v>0</v>
      </c>
      <c r="S576" t="n">
        <v>0</v>
      </c>
      <c r="T576" t="n">
        <v>0</v>
      </c>
      <c r="U576" s="2" t="inlineStr"/>
    </row>
    <row r="577" ht="15" customHeight="1">
      <c r="A577" t="inlineStr">
        <is>
          <t>A 4079-2026</t>
        </is>
      </c>
      <c r="B577" t="inlineStr">
        <is>
          <t>avverkningsanmälan</t>
        </is>
      </c>
      <c r="C577" t="inlineStr">
        <is>
          <t>Föryngringsavverkning</t>
        </is>
      </c>
      <c r="D577" s="1" t="n">
        <v>46044</v>
      </c>
      <c r="E577" s="1" t="n">
        <v>46219</v>
      </c>
      <c r="F577" t="inlineStr">
        <is>
          <t>NORRBOTTENS LÄN</t>
        </is>
      </c>
      <c r="G577" t="inlineStr">
        <is>
          <t>PITEÅ</t>
        </is>
      </c>
      <c r="I577" t="n">
        <v>4.3</v>
      </c>
      <c r="J577" t="n">
        <v>0</v>
      </c>
      <c r="K577" t="n">
        <v>0</v>
      </c>
      <c r="L577" t="n">
        <v>0</v>
      </c>
      <c r="M577" t="n">
        <v>0</v>
      </c>
      <c r="N577" t="n">
        <v>0</v>
      </c>
      <c r="O577" t="n">
        <v>0</v>
      </c>
      <c r="P577" t="n">
        <v>0</v>
      </c>
      <c r="Q577" t="n">
        <v>0</v>
      </c>
      <c r="R577" t="n">
        <v>0</v>
      </c>
      <c r="S577" t="n">
        <v>0</v>
      </c>
      <c r="T577" t="n">
        <v>0</v>
      </c>
      <c r="U577" s="2" t="inlineStr"/>
    </row>
    <row r="578" ht="15" customHeight="1">
      <c r="A578" t="inlineStr">
        <is>
          <t>A 4082-2026</t>
        </is>
      </c>
      <c r="B578" t="inlineStr">
        <is>
          <t>avverkningsanmälan</t>
        </is>
      </c>
      <c r="C578" t="inlineStr">
        <is>
          <t>Föryngringsavverkning</t>
        </is>
      </c>
      <c r="D578" s="1" t="n">
        <v>46044</v>
      </c>
      <c r="E578" s="1" t="n">
        <v>46219</v>
      </c>
      <c r="F578" t="inlineStr">
        <is>
          <t>NORRBOTTENS LÄN</t>
        </is>
      </c>
      <c r="G578" t="inlineStr">
        <is>
          <t>PITEÅ</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55812-2023</t>
        </is>
      </c>
      <c r="B579" t="inlineStr">
        <is>
          <t>avverkningsanmälan</t>
        </is>
      </c>
      <c r="C579" t="inlineStr">
        <is>
          <t>Föryngringsavverkning</t>
        </is>
      </c>
      <c r="D579" s="1" t="n">
        <v>45239</v>
      </c>
      <c r="E579" s="1" t="n">
        <v>46219</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3817-2026</t>
        </is>
      </c>
      <c r="B580" t="inlineStr">
        <is>
          <t>avverkningsanmälan</t>
        </is>
      </c>
      <c r="C580" t="inlineStr">
        <is>
          <t>Föryngringsavverkning</t>
        </is>
      </c>
      <c r="D580" s="1" t="n">
        <v>46043</v>
      </c>
      <c r="E580" s="1" t="n">
        <v>46219</v>
      </c>
      <c r="F580" t="inlineStr">
        <is>
          <t>NORRBOTTENS LÄN</t>
        </is>
      </c>
      <c r="G580" t="inlineStr">
        <is>
          <t>PITEÅ</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3847-2026</t>
        </is>
      </c>
      <c r="B581" t="inlineStr">
        <is>
          <t>avverkningsanmälan</t>
        </is>
      </c>
      <c r="C581" t="inlineStr">
        <is>
          <t>Föryngringsavverkning</t>
        </is>
      </c>
      <c r="D581" s="1" t="n">
        <v>46043</v>
      </c>
      <c r="E581" s="1" t="n">
        <v>46219</v>
      </c>
      <c r="F581" t="inlineStr">
        <is>
          <t>NORRBOTTENS LÄN</t>
        </is>
      </c>
      <c r="G581" t="inlineStr">
        <is>
          <t>PITEÅ</t>
        </is>
      </c>
      <c r="I581" t="n">
        <v>3.9</v>
      </c>
      <c r="J581" t="n">
        <v>0</v>
      </c>
      <c r="K581" t="n">
        <v>0</v>
      </c>
      <c r="L581" t="n">
        <v>0</v>
      </c>
      <c r="M581" t="n">
        <v>0</v>
      </c>
      <c r="N581" t="n">
        <v>0</v>
      </c>
      <c r="O581" t="n">
        <v>0</v>
      </c>
      <c r="P581" t="n">
        <v>0</v>
      </c>
      <c r="Q581" t="n">
        <v>0</v>
      </c>
      <c r="R581" t="n">
        <v>0</v>
      </c>
      <c r="S581" t="n">
        <v>0</v>
      </c>
      <c r="T581" t="n">
        <v>0</v>
      </c>
      <c r="U581" s="2" t="inlineStr"/>
    </row>
    <row r="582" ht="15" customHeight="1">
      <c r="A582" t="inlineStr">
        <is>
          <t>A 7769-2025</t>
        </is>
      </c>
      <c r="B582" t="inlineStr">
        <is>
          <t>avverkningsanmälan</t>
        </is>
      </c>
      <c r="C582" t="inlineStr">
        <is>
          <t>Föryngringsavverkning</t>
        </is>
      </c>
      <c r="D582" s="1" t="n">
        <v>45706</v>
      </c>
      <c r="E582" s="1" t="n">
        <v>46219</v>
      </c>
      <c r="F582" t="inlineStr">
        <is>
          <t>NORRBOTTENS LÄN</t>
        </is>
      </c>
      <c r="G582" t="inlineStr">
        <is>
          <t>PITEÅ</t>
        </is>
      </c>
      <c r="H582" t="inlineStr">
        <is>
          <t>Övriga Aktiebolag</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4845-2026</t>
        </is>
      </c>
      <c r="B583" t="inlineStr">
        <is>
          <t>avverkningsanmälan</t>
        </is>
      </c>
      <c r="C583" t="inlineStr">
        <is>
          <t>Föryngringsavverkning</t>
        </is>
      </c>
      <c r="D583" s="1" t="n">
        <v>46048</v>
      </c>
      <c r="E583" s="1" t="n">
        <v>46219</v>
      </c>
      <c r="F583" t="inlineStr">
        <is>
          <t>NORRBOTTENS LÄN</t>
        </is>
      </c>
      <c r="G583" t="inlineStr">
        <is>
          <t>PITEÅ</t>
        </is>
      </c>
      <c r="I583" t="n">
        <v>1.7</v>
      </c>
      <c r="J583" t="n">
        <v>0</v>
      </c>
      <c r="K583" t="n">
        <v>0</v>
      </c>
      <c r="L583" t="n">
        <v>0</v>
      </c>
      <c r="M583" t="n">
        <v>0</v>
      </c>
      <c r="N583" t="n">
        <v>0</v>
      </c>
      <c r="O583" t="n">
        <v>0</v>
      </c>
      <c r="P583" t="n">
        <v>0</v>
      </c>
      <c r="Q583" t="n">
        <v>0</v>
      </c>
      <c r="R583" t="n">
        <v>0</v>
      </c>
      <c r="S583" t="n">
        <v>0</v>
      </c>
      <c r="T583" t="n">
        <v>0</v>
      </c>
      <c r="U583" s="2" t="inlineStr"/>
    </row>
    <row r="584" ht="15" customHeight="1">
      <c r="A584" t="inlineStr">
        <is>
          <t>A 4860-2026</t>
        </is>
      </c>
      <c r="B584" t="inlineStr">
        <is>
          <t>avverkningsanmälan</t>
        </is>
      </c>
      <c r="C584" t="inlineStr">
        <is>
          <t>Föryngringsavverkning</t>
        </is>
      </c>
      <c r="D584" s="1" t="n">
        <v>46048</v>
      </c>
      <c r="E584" s="1" t="n">
        <v>46219</v>
      </c>
      <c r="F584" t="inlineStr">
        <is>
          <t>NORRBOTTENS LÄN</t>
        </is>
      </c>
      <c r="G584" t="inlineStr">
        <is>
          <t>PITEÅ</t>
        </is>
      </c>
      <c r="I584" t="n">
        <v>3.5</v>
      </c>
      <c r="J584" t="n">
        <v>0</v>
      </c>
      <c r="K584" t="n">
        <v>0</v>
      </c>
      <c r="L584" t="n">
        <v>0</v>
      </c>
      <c r="M584" t="n">
        <v>0</v>
      </c>
      <c r="N584" t="n">
        <v>0</v>
      </c>
      <c r="O584" t="n">
        <v>0</v>
      </c>
      <c r="P584" t="n">
        <v>0</v>
      </c>
      <c r="Q584" t="n">
        <v>0</v>
      </c>
      <c r="R584" t="n">
        <v>0</v>
      </c>
      <c r="S584" t="n">
        <v>0</v>
      </c>
      <c r="T584" t="n">
        <v>0</v>
      </c>
      <c r="U584" s="2" t="inlineStr"/>
    </row>
    <row r="585" ht="15" customHeight="1">
      <c r="A585" t="inlineStr">
        <is>
          <t>A 55631-2023</t>
        </is>
      </c>
      <c r="B585" t="inlineStr">
        <is>
          <t>avverkningsanmälan</t>
        </is>
      </c>
      <c r="C585" t="inlineStr">
        <is>
          <t>Föryngringsavverkning</t>
        </is>
      </c>
      <c r="D585" s="1" t="n">
        <v>45238</v>
      </c>
      <c r="E585" s="1" t="n">
        <v>46219</v>
      </c>
      <c r="F585" t="inlineStr">
        <is>
          <t>NORRBOTTENS LÄN</t>
        </is>
      </c>
      <c r="G585" t="inlineStr">
        <is>
          <t>PITEÅ</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2842-2024</t>
        </is>
      </c>
      <c r="B586" t="inlineStr">
        <is>
          <t>avverkningsanmälan</t>
        </is>
      </c>
      <c r="C586" t="inlineStr">
        <is>
          <t>Föryngringsavverkning</t>
        </is>
      </c>
      <c r="D586" s="1" t="n">
        <v>45315</v>
      </c>
      <c r="E586" s="1" t="n">
        <v>46219</v>
      </c>
      <c r="F586" t="inlineStr">
        <is>
          <t>NORRBOTTENS LÄN</t>
        </is>
      </c>
      <c r="G586" t="inlineStr">
        <is>
          <t>PITEÅ</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2889-2024</t>
        </is>
      </c>
      <c r="B587" t="inlineStr">
        <is>
          <t>avverkningsanmälan</t>
        </is>
      </c>
      <c r="C587" t="inlineStr">
        <is>
          <t>Föryngringsavverkning</t>
        </is>
      </c>
      <c r="D587" s="1" t="n">
        <v>45315</v>
      </c>
      <c r="E587" s="1" t="n">
        <v>46219</v>
      </c>
      <c r="F587" t="inlineStr">
        <is>
          <t>NORRBOTTENS LÄN</t>
        </is>
      </c>
      <c r="G587" t="inlineStr">
        <is>
          <t>PITEÅ</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4854-2026</t>
        </is>
      </c>
      <c r="B588" t="inlineStr">
        <is>
          <t>avverkningsanmälan</t>
        </is>
      </c>
      <c r="C588" t="inlineStr">
        <is>
          <t>Föryngringsavverkning</t>
        </is>
      </c>
      <c r="D588" s="1" t="n">
        <v>46048</v>
      </c>
      <c r="E588" s="1" t="n">
        <v>46219</v>
      </c>
      <c r="F588" t="inlineStr">
        <is>
          <t>NORRBOTTENS LÄN</t>
        </is>
      </c>
      <c r="G588" t="inlineStr">
        <is>
          <t>PITEÅ</t>
        </is>
      </c>
      <c r="I588" t="n">
        <v>4.4</v>
      </c>
      <c r="J588" t="n">
        <v>0</v>
      </c>
      <c r="K588" t="n">
        <v>0</v>
      </c>
      <c r="L588" t="n">
        <v>0</v>
      </c>
      <c r="M588" t="n">
        <v>0</v>
      </c>
      <c r="N588" t="n">
        <v>0</v>
      </c>
      <c r="O588" t="n">
        <v>0</v>
      </c>
      <c r="P588" t="n">
        <v>0</v>
      </c>
      <c r="Q588" t="n">
        <v>0</v>
      </c>
      <c r="R588" t="n">
        <v>0</v>
      </c>
      <c r="S588" t="n">
        <v>0</v>
      </c>
      <c r="T588" t="n">
        <v>0</v>
      </c>
      <c r="U588" s="2" t="inlineStr"/>
    </row>
    <row r="589" ht="15" customHeight="1">
      <c r="A589" t="inlineStr">
        <is>
          <t>A 4806-2026</t>
        </is>
      </c>
      <c r="B589" t="inlineStr">
        <is>
          <t>avverkningsanmälan</t>
        </is>
      </c>
      <c r="C589" t="inlineStr">
        <is>
          <t>Föryngringsavverkning</t>
        </is>
      </c>
      <c r="D589" s="1" t="n">
        <v>46048</v>
      </c>
      <c r="E589" s="1" t="n">
        <v>46219</v>
      </c>
      <c r="F589" t="inlineStr">
        <is>
          <t>NORRBOTTENS LÄN</t>
        </is>
      </c>
      <c r="G589" t="inlineStr">
        <is>
          <t>PITEÅ</t>
        </is>
      </c>
      <c r="I589" t="n">
        <v>5.2</v>
      </c>
      <c r="J589" t="n">
        <v>0</v>
      </c>
      <c r="K589" t="n">
        <v>0</v>
      </c>
      <c r="L589" t="n">
        <v>0</v>
      </c>
      <c r="M589" t="n">
        <v>0</v>
      </c>
      <c r="N589" t="n">
        <v>0</v>
      </c>
      <c r="O589" t="n">
        <v>0</v>
      </c>
      <c r="P589" t="n">
        <v>0</v>
      </c>
      <c r="Q589" t="n">
        <v>0</v>
      </c>
      <c r="R589" t="n">
        <v>0</v>
      </c>
      <c r="S589" t="n">
        <v>0</v>
      </c>
      <c r="T589" t="n">
        <v>0</v>
      </c>
      <c r="U589" s="2" t="inlineStr"/>
    </row>
    <row r="590" ht="15" customHeight="1">
      <c r="A590" t="inlineStr">
        <is>
          <t>A 25983-2023</t>
        </is>
      </c>
      <c r="B590" t="inlineStr">
        <is>
          <t>avverkningsanmälan</t>
        </is>
      </c>
      <c r="C590" t="inlineStr">
        <is>
          <t>Föryngringsavverkning</t>
        </is>
      </c>
      <c r="D590" s="1" t="n">
        <v>45090</v>
      </c>
      <c r="E590" s="1" t="n">
        <v>46219</v>
      </c>
      <c r="F590" t="inlineStr">
        <is>
          <t>NORRBOTTENS LÄN</t>
        </is>
      </c>
      <c r="G590" t="inlineStr">
        <is>
          <t>PITEÅ</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32377-2023</t>
        </is>
      </c>
      <c r="B591" t="inlineStr">
        <is>
          <t>avverkningsanmälan</t>
        </is>
      </c>
      <c r="C591" t="inlineStr">
        <is>
          <t>Föryngringsavverkning</t>
        </is>
      </c>
      <c r="D591" s="1" t="n">
        <v>45110</v>
      </c>
      <c r="E591" s="1" t="n">
        <v>46219</v>
      </c>
      <c r="F591" t="inlineStr">
        <is>
          <t>NORRBOTTENS LÄN</t>
        </is>
      </c>
      <c r="G591" t="inlineStr">
        <is>
          <t>PITEÅ</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A 4314-2026</t>
        </is>
      </c>
      <c r="B592" t="inlineStr">
        <is>
          <t>avverkningsanmälan</t>
        </is>
      </c>
      <c r="C592" t="inlineStr">
        <is>
          <t>Föryngringsavverkning</t>
        </is>
      </c>
      <c r="D592" s="1" t="n">
        <v>46045</v>
      </c>
      <c r="E592" s="1" t="n">
        <v>46219</v>
      </c>
      <c r="F592" t="inlineStr">
        <is>
          <t>NORRBOTTENS LÄN</t>
        </is>
      </c>
      <c r="G592" t="inlineStr">
        <is>
          <t>PITEÅ</t>
        </is>
      </c>
      <c r="H592" t="inlineStr">
        <is>
          <t>SCA</t>
        </is>
      </c>
      <c r="I592" t="n">
        <v>4.2</v>
      </c>
      <c r="J592" t="n">
        <v>0</v>
      </c>
      <c r="K592" t="n">
        <v>0</v>
      </c>
      <c r="L592" t="n">
        <v>0</v>
      </c>
      <c r="M592" t="n">
        <v>0</v>
      </c>
      <c r="N592" t="n">
        <v>0</v>
      </c>
      <c r="O592" t="n">
        <v>0</v>
      </c>
      <c r="P592" t="n">
        <v>0</v>
      </c>
      <c r="Q592" t="n">
        <v>0</v>
      </c>
      <c r="R592" t="n">
        <v>0</v>
      </c>
      <c r="S592" t="n">
        <v>0</v>
      </c>
      <c r="T592" t="n">
        <v>0</v>
      </c>
      <c r="U592" s="2" t="inlineStr"/>
    </row>
    <row r="593" ht="15" customHeight="1">
      <c r="A593" t="inlineStr">
        <is>
          <t>A 34617-2023</t>
        </is>
      </c>
      <c r="B593" t="inlineStr">
        <is>
          <t>avverkningsanmälan</t>
        </is>
      </c>
      <c r="C593" t="inlineStr">
        <is>
          <t>Föryngringsavverkning</t>
        </is>
      </c>
      <c r="D593" s="1" t="n">
        <v>45138</v>
      </c>
      <c r="E593" s="1" t="n">
        <v>46219</v>
      </c>
      <c r="F593" t="inlineStr">
        <is>
          <t>NORRBOTTENS LÄN</t>
        </is>
      </c>
      <c r="G593" t="inlineStr">
        <is>
          <t>PITEÅ</t>
        </is>
      </c>
      <c r="I593" t="n">
        <v>10.1</v>
      </c>
      <c r="J593" t="n">
        <v>0</v>
      </c>
      <c r="K593" t="n">
        <v>0</v>
      </c>
      <c r="L593" t="n">
        <v>0</v>
      </c>
      <c r="M593" t="n">
        <v>0</v>
      </c>
      <c r="N593" t="n">
        <v>0</v>
      </c>
      <c r="O593" t="n">
        <v>0</v>
      </c>
      <c r="P593" t="n">
        <v>0</v>
      </c>
      <c r="Q593" t="n">
        <v>0</v>
      </c>
      <c r="R593" t="n">
        <v>0</v>
      </c>
      <c r="S593" t="n">
        <v>0</v>
      </c>
      <c r="T593" t="n">
        <v>0</v>
      </c>
      <c r="U593" s="2" t="inlineStr"/>
    </row>
    <row r="594" ht="15" customHeight="1">
      <c r="A594" t="inlineStr">
        <is>
          <t>A 5112-2026</t>
        </is>
      </c>
      <c r="B594" t="inlineStr">
        <is>
          <t>avverkningsanmälan</t>
        </is>
      </c>
      <c r="C594" t="inlineStr">
        <is>
          <t>Föryngringsavverkning</t>
        </is>
      </c>
      <c r="D594" s="1" t="n">
        <v>46049</v>
      </c>
      <c r="E594" s="1" t="n">
        <v>46219</v>
      </c>
      <c r="F594" t="inlineStr">
        <is>
          <t>NORRBOTTENS LÄN</t>
        </is>
      </c>
      <c r="G594" t="inlineStr">
        <is>
          <t>PITEÅ</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14871-2022</t>
        </is>
      </c>
      <c r="B595" t="inlineStr">
        <is>
          <t>avverkningsanmälan</t>
        </is>
      </c>
      <c r="C595" t="inlineStr">
        <is>
          <t>Föryngringsavverkning</t>
        </is>
      </c>
      <c r="D595" s="1" t="n">
        <v>44656</v>
      </c>
      <c r="E595" s="1" t="n">
        <v>46219</v>
      </c>
      <c r="F595" t="inlineStr">
        <is>
          <t>NORRBOTTENS LÄN</t>
        </is>
      </c>
      <c r="G595" t="inlineStr">
        <is>
          <t>PITEÅ</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5453-2026</t>
        </is>
      </c>
      <c r="B596" t="inlineStr">
        <is>
          <t>avverkningsanmälan</t>
        </is>
      </c>
      <c r="C596" t="inlineStr">
        <is>
          <t>Föryngringsavverkning</t>
        </is>
      </c>
      <c r="D596" s="1" t="n">
        <v>46050</v>
      </c>
      <c r="E596" s="1" t="n">
        <v>46219</v>
      </c>
      <c r="F596" t="inlineStr">
        <is>
          <t>NORRBOTTENS LÄN</t>
        </is>
      </c>
      <c r="G596" t="inlineStr">
        <is>
          <t>PITEÅ</t>
        </is>
      </c>
      <c r="I596" t="n">
        <v>4.4</v>
      </c>
      <c r="J596" t="n">
        <v>0</v>
      </c>
      <c r="K596" t="n">
        <v>0</v>
      </c>
      <c r="L596" t="n">
        <v>0</v>
      </c>
      <c r="M596" t="n">
        <v>0</v>
      </c>
      <c r="N596" t="n">
        <v>0</v>
      </c>
      <c r="O596" t="n">
        <v>0</v>
      </c>
      <c r="P596" t="n">
        <v>0</v>
      </c>
      <c r="Q596" t="n">
        <v>0</v>
      </c>
      <c r="R596" t="n">
        <v>0</v>
      </c>
      <c r="S596" t="n">
        <v>0</v>
      </c>
      <c r="T596" t="n">
        <v>0</v>
      </c>
      <c r="U596" s="2" t="inlineStr"/>
    </row>
    <row r="597" ht="15" customHeight="1">
      <c r="A597" t="inlineStr">
        <is>
          <t>A 5748-2026</t>
        </is>
      </c>
      <c r="B597" t="inlineStr">
        <is>
          <t>avverkningsanmälan</t>
        </is>
      </c>
      <c r="C597" t="inlineStr">
        <is>
          <t>Föryngringsavverkning</t>
        </is>
      </c>
      <c r="D597" s="1" t="n">
        <v>46051</v>
      </c>
      <c r="E597" s="1" t="n">
        <v>46219</v>
      </c>
      <c r="F597" t="inlineStr">
        <is>
          <t>NORRBOTTENS LÄN</t>
        </is>
      </c>
      <c r="G597" t="inlineStr">
        <is>
          <t>PITEÅ</t>
        </is>
      </c>
      <c r="I597" t="n">
        <v>1.6</v>
      </c>
      <c r="J597" t="n">
        <v>0</v>
      </c>
      <c r="K597" t="n">
        <v>0</v>
      </c>
      <c r="L597" t="n">
        <v>0</v>
      </c>
      <c r="M597" t="n">
        <v>0</v>
      </c>
      <c r="N597" t="n">
        <v>0</v>
      </c>
      <c r="O597" t="n">
        <v>0</v>
      </c>
      <c r="P597" t="n">
        <v>0</v>
      </c>
      <c r="Q597" t="n">
        <v>0</v>
      </c>
      <c r="R597" t="n">
        <v>0</v>
      </c>
      <c r="S597" t="n">
        <v>0</v>
      </c>
      <c r="T597" t="n">
        <v>0</v>
      </c>
      <c r="U597" s="2" t="inlineStr"/>
    </row>
    <row r="598" ht="15" customHeight="1">
      <c r="A598" t="inlineStr">
        <is>
          <t>A 5633-2026</t>
        </is>
      </c>
      <c r="B598" t="inlineStr">
        <is>
          <t>avverkningsanmälan</t>
        </is>
      </c>
      <c r="C598" t="inlineStr">
        <is>
          <t>Föryngringsavverkning</t>
        </is>
      </c>
      <c r="D598" s="1" t="n">
        <v>46051</v>
      </c>
      <c r="E598" s="1" t="n">
        <v>46219</v>
      </c>
      <c r="F598" t="inlineStr">
        <is>
          <t>NORRBOTTENS LÄN</t>
        </is>
      </c>
      <c r="G598" t="inlineStr">
        <is>
          <t>PITEÅ</t>
        </is>
      </c>
      <c r="I598" t="n">
        <v>6.9</v>
      </c>
      <c r="J598" t="n">
        <v>0</v>
      </c>
      <c r="K598" t="n">
        <v>0</v>
      </c>
      <c r="L598" t="n">
        <v>0</v>
      </c>
      <c r="M598" t="n">
        <v>0</v>
      </c>
      <c r="N598" t="n">
        <v>0</v>
      </c>
      <c r="O598" t="n">
        <v>0</v>
      </c>
      <c r="P598" t="n">
        <v>0</v>
      </c>
      <c r="Q598" t="n">
        <v>0</v>
      </c>
      <c r="R598" t="n">
        <v>0</v>
      </c>
      <c r="S598" t="n">
        <v>0</v>
      </c>
      <c r="T598" t="n">
        <v>0</v>
      </c>
      <c r="U598" s="2" t="inlineStr"/>
    </row>
    <row r="599" ht="15" customHeight="1">
      <c r="A599" t="inlineStr">
        <is>
          <t>A 6192-2026</t>
        </is>
      </c>
      <c r="B599" t="inlineStr">
        <is>
          <t>avverkningsanmälan</t>
        </is>
      </c>
      <c r="C599" t="inlineStr">
        <is>
          <t>Föryngringsavverkning</t>
        </is>
      </c>
      <c r="D599" s="1" t="n">
        <v>46055</v>
      </c>
      <c r="E599" s="1" t="n">
        <v>46219</v>
      </c>
      <c r="F599" t="inlineStr">
        <is>
          <t>NORRBOTTENS LÄN</t>
        </is>
      </c>
      <c r="G599" t="inlineStr">
        <is>
          <t>PITEÅ</t>
        </is>
      </c>
      <c r="I599" t="n">
        <v>14.2</v>
      </c>
      <c r="J599" t="n">
        <v>0</v>
      </c>
      <c r="K599" t="n">
        <v>0</v>
      </c>
      <c r="L599" t="n">
        <v>0</v>
      </c>
      <c r="M599" t="n">
        <v>0</v>
      </c>
      <c r="N599" t="n">
        <v>0</v>
      </c>
      <c r="O599" t="n">
        <v>0</v>
      </c>
      <c r="P599" t="n">
        <v>0</v>
      </c>
      <c r="Q599" t="n">
        <v>0</v>
      </c>
      <c r="R599" t="n">
        <v>0</v>
      </c>
      <c r="S599" t="n">
        <v>0</v>
      </c>
      <c r="T599" t="n">
        <v>0</v>
      </c>
      <c r="U599" s="2" t="inlineStr"/>
    </row>
    <row r="600" ht="15" customHeight="1">
      <c r="A600" t="inlineStr">
        <is>
          <t>A 59969-2024</t>
        </is>
      </c>
      <c r="B600" t="inlineStr">
        <is>
          <t>avverkningsanmälan</t>
        </is>
      </c>
      <c r="C600" t="inlineStr">
        <is>
          <t>Föryngringsavverkning</t>
        </is>
      </c>
      <c r="D600" s="1" t="n">
        <v>45642</v>
      </c>
      <c r="E600" s="1" t="n">
        <v>46219</v>
      </c>
      <c r="F600" t="inlineStr">
        <is>
          <t>NORRBOTTENS LÄN</t>
        </is>
      </c>
      <c r="G600" t="inlineStr">
        <is>
          <t>PITEÅ</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6963-2025</t>
        </is>
      </c>
      <c r="B601" t="inlineStr">
        <is>
          <t>avverkningsanmälan</t>
        </is>
      </c>
      <c r="C601" t="inlineStr">
        <is>
          <t>Föryngringsavverkning</t>
        </is>
      </c>
      <c r="D601" s="1" t="n">
        <v>45701</v>
      </c>
      <c r="E601" s="1" t="n">
        <v>46219</v>
      </c>
      <c r="F601" t="inlineStr">
        <is>
          <t>NORRBOTTENS LÄN</t>
        </is>
      </c>
      <c r="G601" t="inlineStr">
        <is>
          <t>PITEÅ</t>
        </is>
      </c>
      <c r="I601" t="n">
        <v>4.3</v>
      </c>
      <c r="J601" t="n">
        <v>0</v>
      </c>
      <c r="K601" t="n">
        <v>0</v>
      </c>
      <c r="L601" t="n">
        <v>0</v>
      </c>
      <c r="M601" t="n">
        <v>0</v>
      </c>
      <c r="N601" t="n">
        <v>0</v>
      </c>
      <c r="O601" t="n">
        <v>0</v>
      </c>
      <c r="P601" t="n">
        <v>0</v>
      </c>
      <c r="Q601" t="n">
        <v>0</v>
      </c>
      <c r="R601" t="n">
        <v>0</v>
      </c>
      <c r="S601" t="n">
        <v>0</v>
      </c>
      <c r="T601" t="n">
        <v>0</v>
      </c>
      <c r="U601" s="2" t="inlineStr"/>
    </row>
    <row r="602" ht="15" customHeight="1">
      <c r="A602" t="inlineStr">
        <is>
          <t>A 7006-2026</t>
        </is>
      </c>
      <c r="B602" t="inlineStr">
        <is>
          <t>avverkningsanmälan</t>
        </is>
      </c>
      <c r="C602" t="inlineStr">
        <is>
          <t>Föryngringsavverkning</t>
        </is>
      </c>
      <c r="D602" s="1" t="n">
        <v>46057</v>
      </c>
      <c r="E602" s="1" t="n">
        <v>46219</v>
      </c>
      <c r="F602" t="inlineStr">
        <is>
          <t>NORRBOTTENS LÄN</t>
        </is>
      </c>
      <c r="G602" t="inlineStr">
        <is>
          <t>PITEÅ</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7105-2026</t>
        </is>
      </c>
      <c r="B603" t="inlineStr">
        <is>
          <t>avverkningsanmälan</t>
        </is>
      </c>
      <c r="C603" t="inlineStr">
        <is>
          <t>Föryngringsavverkning</t>
        </is>
      </c>
      <c r="D603" s="1" t="n">
        <v>46058</v>
      </c>
      <c r="E603" s="1" t="n">
        <v>46219</v>
      </c>
      <c r="F603" t="inlineStr">
        <is>
          <t>NORRBOTTENS LÄN</t>
        </is>
      </c>
      <c r="G603" t="inlineStr">
        <is>
          <t>PITEÅ</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7155-2026</t>
        </is>
      </c>
      <c r="B604" t="inlineStr">
        <is>
          <t>avverkningsanmälan</t>
        </is>
      </c>
      <c r="C604" t="inlineStr">
        <is>
          <t>Föryngringsavverkning</t>
        </is>
      </c>
      <c r="D604" s="1" t="n">
        <v>46058</v>
      </c>
      <c r="E604" s="1" t="n">
        <v>46219</v>
      </c>
      <c r="F604" t="inlineStr">
        <is>
          <t>NORRBOTTENS LÄN</t>
        </is>
      </c>
      <c r="G604" t="inlineStr">
        <is>
          <t>PITEÅ</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27896-2023</t>
        </is>
      </c>
      <c r="B605" t="inlineStr">
        <is>
          <t>avverkningsanmälan</t>
        </is>
      </c>
      <c r="C605" t="inlineStr">
        <is>
          <t>Föryngringsavverkning</t>
        </is>
      </c>
      <c r="D605" s="1" t="n">
        <v>45098</v>
      </c>
      <c r="E605" s="1" t="n">
        <v>46219</v>
      </c>
      <c r="F605" t="inlineStr">
        <is>
          <t>NORRBOTTENS LÄN</t>
        </is>
      </c>
      <c r="G605" t="inlineStr">
        <is>
          <t>PITEÅ</t>
        </is>
      </c>
      <c r="H605" t="inlineStr">
        <is>
          <t>Övriga Aktiebolag</t>
        </is>
      </c>
      <c r="I605" t="n">
        <v>3.6</v>
      </c>
      <c r="J605" t="n">
        <v>0</v>
      </c>
      <c r="K605" t="n">
        <v>0</v>
      </c>
      <c r="L605" t="n">
        <v>0</v>
      </c>
      <c r="M605" t="n">
        <v>0</v>
      </c>
      <c r="N605" t="n">
        <v>0</v>
      </c>
      <c r="O605" t="n">
        <v>0</v>
      </c>
      <c r="P605" t="n">
        <v>0</v>
      </c>
      <c r="Q605" t="n">
        <v>0</v>
      </c>
      <c r="R605" t="n">
        <v>0</v>
      </c>
      <c r="S605" t="n">
        <v>0</v>
      </c>
      <c r="T605" t="n">
        <v>0</v>
      </c>
      <c r="U605" s="2" t="inlineStr"/>
    </row>
    <row r="606" ht="15" customHeight="1">
      <c r="A606" t="inlineStr">
        <is>
          <t>A 25414-2024</t>
        </is>
      </c>
      <c r="B606" t="inlineStr">
        <is>
          <t>avverkningsanmälan</t>
        </is>
      </c>
      <c r="C606" t="inlineStr">
        <is>
          <t>Avverkning för annat ändamål</t>
        </is>
      </c>
      <c r="D606" s="1" t="n">
        <v>45462</v>
      </c>
      <c r="E606" s="1" t="n">
        <v>46219</v>
      </c>
      <c r="F606" t="inlineStr">
        <is>
          <t>NORRBOTTENS LÄN</t>
        </is>
      </c>
      <c r="G606" t="inlineStr">
        <is>
          <t>PITEÅ</t>
        </is>
      </c>
      <c r="I606" t="n">
        <v>3.3</v>
      </c>
      <c r="J606" t="n">
        <v>0</v>
      </c>
      <c r="K606" t="n">
        <v>0</v>
      </c>
      <c r="L606" t="n">
        <v>0</v>
      </c>
      <c r="M606" t="n">
        <v>0</v>
      </c>
      <c r="N606" t="n">
        <v>0</v>
      </c>
      <c r="O606" t="n">
        <v>0</v>
      </c>
      <c r="P606" t="n">
        <v>0</v>
      </c>
      <c r="Q606" t="n">
        <v>0</v>
      </c>
      <c r="R606" t="n">
        <v>0</v>
      </c>
      <c r="S606" t="n">
        <v>0</v>
      </c>
      <c r="T606" t="n">
        <v>0</v>
      </c>
      <c r="U606" s="2" t="inlineStr"/>
    </row>
    <row r="607" ht="15" customHeight="1">
      <c r="A607" t="inlineStr">
        <is>
          <t>A 56505-2023</t>
        </is>
      </c>
      <c r="B607" t="inlineStr">
        <is>
          <t>avverkningsanmälan</t>
        </is>
      </c>
      <c r="C607" t="inlineStr">
        <is>
          <t>Föryngringsavverkning</t>
        </is>
      </c>
      <c r="D607" s="1" t="n">
        <v>45243</v>
      </c>
      <c r="E607" s="1" t="n">
        <v>46219</v>
      </c>
      <c r="F607" t="inlineStr">
        <is>
          <t>NORRBOTTENS LÄN</t>
        </is>
      </c>
      <c r="G607" t="inlineStr">
        <is>
          <t>PITEÅ</t>
        </is>
      </c>
      <c r="H607" t="inlineStr">
        <is>
          <t>Sveaskog</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56532-2023</t>
        </is>
      </c>
      <c r="B608" t="inlineStr">
        <is>
          <t>avverkningsanmälan</t>
        </is>
      </c>
      <c r="C608" t="inlineStr">
        <is>
          <t>Föryngringsavverkning</t>
        </is>
      </c>
      <c r="D608" s="1" t="n">
        <v>45243</v>
      </c>
      <c r="E608" s="1" t="n">
        <v>46219</v>
      </c>
      <c r="F608" t="inlineStr">
        <is>
          <t>NORRBOTTENS LÄN</t>
        </is>
      </c>
      <c r="G608" t="inlineStr">
        <is>
          <t>PITEÅ</t>
        </is>
      </c>
      <c r="H608" t="inlineStr">
        <is>
          <t>Sveaskog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42112-2023</t>
        </is>
      </c>
      <c r="B609" t="inlineStr">
        <is>
          <t>avverkningsanmälan</t>
        </is>
      </c>
      <c r="C609" t="inlineStr">
        <is>
          <t>Föryngringsavverkning</t>
        </is>
      </c>
      <c r="D609" s="1" t="n">
        <v>45177</v>
      </c>
      <c r="E609" s="1" t="n">
        <v>46219</v>
      </c>
      <c r="F609" t="inlineStr">
        <is>
          <t>NORRBOTTENS LÄN</t>
        </is>
      </c>
      <c r="G609" t="inlineStr">
        <is>
          <t>PITEÅ</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18059-2022</t>
        </is>
      </c>
      <c r="B610" t="inlineStr">
        <is>
          <t>avverkningsanmälan</t>
        </is>
      </c>
      <c r="C610" t="inlineStr">
        <is>
          <t>Föryngringsavverkning</t>
        </is>
      </c>
      <c r="D610" s="1" t="n">
        <v>44683</v>
      </c>
      <c r="E610" s="1" t="n">
        <v>46219</v>
      </c>
      <c r="F610" t="inlineStr">
        <is>
          <t>NORRBOTTENS LÄN</t>
        </is>
      </c>
      <c r="G610" t="inlineStr">
        <is>
          <t>PITEÅ</t>
        </is>
      </c>
      <c r="I610" t="n">
        <v>5.6</v>
      </c>
      <c r="J610" t="n">
        <v>0</v>
      </c>
      <c r="K610" t="n">
        <v>0</v>
      </c>
      <c r="L610" t="n">
        <v>0</v>
      </c>
      <c r="M610" t="n">
        <v>0</v>
      </c>
      <c r="N610" t="n">
        <v>0</v>
      </c>
      <c r="O610" t="n">
        <v>0</v>
      </c>
      <c r="P610" t="n">
        <v>0</v>
      </c>
      <c r="Q610" t="n">
        <v>0</v>
      </c>
      <c r="R610" t="n">
        <v>0</v>
      </c>
      <c r="S610" t="n">
        <v>0</v>
      </c>
      <c r="T610" t="n">
        <v>0</v>
      </c>
      <c r="U610" s="2" t="inlineStr"/>
    </row>
    <row r="611" ht="15" customHeight="1">
      <c r="A611" t="inlineStr">
        <is>
          <t>A 51569-2023</t>
        </is>
      </c>
      <c r="B611" t="inlineStr">
        <is>
          <t>avverkningsanmälan</t>
        </is>
      </c>
      <c r="C611" t="inlineStr">
        <is>
          <t>Föryngringsavverkning</t>
        </is>
      </c>
      <c r="D611" s="1" t="n">
        <v>45215</v>
      </c>
      <c r="E611" s="1" t="n">
        <v>46219</v>
      </c>
      <c r="F611" t="inlineStr">
        <is>
          <t>NORRBOTTENS LÄN</t>
        </is>
      </c>
      <c r="G611" t="inlineStr">
        <is>
          <t>PITEÅ</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8905-2026</t>
        </is>
      </c>
      <c r="B612" t="inlineStr">
        <is>
          <t>avverkningsanmälan</t>
        </is>
      </c>
      <c r="C612" t="inlineStr">
        <is>
          <t>Föryngringsavverkning</t>
        </is>
      </c>
      <c r="D612" s="1" t="n">
        <v>46068</v>
      </c>
      <c r="E612" s="1" t="n">
        <v>46219</v>
      </c>
      <c r="F612" t="inlineStr">
        <is>
          <t>NORRBOTTENS LÄN</t>
        </is>
      </c>
      <c r="G612" t="inlineStr">
        <is>
          <t>PITEÅ</t>
        </is>
      </c>
      <c r="I612" t="n">
        <v>4</v>
      </c>
      <c r="J612" t="n">
        <v>0</v>
      </c>
      <c r="K612" t="n">
        <v>0</v>
      </c>
      <c r="L612" t="n">
        <v>0</v>
      </c>
      <c r="M612" t="n">
        <v>0</v>
      </c>
      <c r="N612" t="n">
        <v>0</v>
      </c>
      <c r="O612" t="n">
        <v>0</v>
      </c>
      <c r="P612" t="n">
        <v>0</v>
      </c>
      <c r="Q612" t="n">
        <v>0</v>
      </c>
      <c r="R612" t="n">
        <v>0</v>
      </c>
      <c r="S612" t="n">
        <v>0</v>
      </c>
      <c r="T612" t="n">
        <v>0</v>
      </c>
      <c r="U612" s="2" t="inlineStr"/>
    </row>
    <row r="613" ht="15" customHeight="1">
      <c r="A613" t="inlineStr">
        <is>
          <t>A 34337-2022</t>
        </is>
      </c>
      <c r="B613" t="inlineStr">
        <is>
          <t>avverkningsanmälan</t>
        </is>
      </c>
      <c r="C613" t="inlineStr">
        <is>
          <t>Föryngringsavverkning</t>
        </is>
      </c>
      <c r="D613" s="1" t="n">
        <v>44792</v>
      </c>
      <c r="E613" s="1" t="n">
        <v>46219</v>
      </c>
      <c r="F613" t="inlineStr">
        <is>
          <t>NORRBOTTENS LÄN</t>
        </is>
      </c>
      <c r="G613" t="inlineStr">
        <is>
          <t>PITEÅ</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34878-2023</t>
        </is>
      </c>
      <c r="B614" t="inlineStr">
        <is>
          <t>avverkningsanmälan</t>
        </is>
      </c>
      <c r="C614" t="inlineStr">
        <is>
          <t>Föryngringsavverkning</t>
        </is>
      </c>
      <c r="D614" s="1" t="n">
        <v>45141</v>
      </c>
      <c r="E614" s="1" t="n">
        <v>46219</v>
      </c>
      <c r="F614" t="inlineStr">
        <is>
          <t>NORRBOTTENS LÄN</t>
        </is>
      </c>
      <c r="G614" t="inlineStr">
        <is>
          <t>PITEÅ</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33435-2023</t>
        </is>
      </c>
      <c r="B615" t="inlineStr">
        <is>
          <t>avverkningsanmälan</t>
        </is>
      </c>
      <c r="C615" t="inlineStr">
        <is>
          <t>Föryngringsavverkning</t>
        </is>
      </c>
      <c r="D615" s="1" t="n">
        <v>45129</v>
      </c>
      <c r="E615" s="1" t="n">
        <v>46219</v>
      </c>
      <c r="F615" t="inlineStr">
        <is>
          <t>NORRBOTTENS LÄN</t>
        </is>
      </c>
      <c r="G615" t="inlineStr">
        <is>
          <t>PITEÅ</t>
        </is>
      </c>
      <c r="I615" t="n">
        <v>3.6</v>
      </c>
      <c r="J615" t="n">
        <v>0</v>
      </c>
      <c r="K615" t="n">
        <v>0</v>
      </c>
      <c r="L615" t="n">
        <v>0</v>
      </c>
      <c r="M615" t="n">
        <v>0</v>
      </c>
      <c r="N615" t="n">
        <v>0</v>
      </c>
      <c r="O615" t="n">
        <v>0</v>
      </c>
      <c r="P615" t="n">
        <v>0</v>
      </c>
      <c r="Q615" t="n">
        <v>0</v>
      </c>
      <c r="R615" t="n">
        <v>0</v>
      </c>
      <c r="S615" t="n">
        <v>0</v>
      </c>
      <c r="T615" t="n">
        <v>0</v>
      </c>
      <c r="U615" s="2" t="inlineStr"/>
    </row>
    <row r="616" ht="15" customHeight="1">
      <c r="A616" t="inlineStr">
        <is>
          <t>A 17318-2024</t>
        </is>
      </c>
      <c r="B616" t="inlineStr">
        <is>
          <t>avverkningsanmälan</t>
        </is>
      </c>
      <c r="C616" t="inlineStr">
        <is>
          <t>Avverkning för annat ändamål</t>
        </is>
      </c>
      <c r="D616" s="1" t="n">
        <v>45414</v>
      </c>
      <c r="E616" s="1" t="n">
        <v>46219</v>
      </c>
      <c r="F616" t="inlineStr">
        <is>
          <t>NORRBOTTENS LÄN</t>
        </is>
      </c>
      <c r="G616" t="inlineStr">
        <is>
          <t>PITEÅ</t>
        </is>
      </c>
      <c r="I616" t="n">
        <v>4.2</v>
      </c>
      <c r="J616" t="n">
        <v>0</v>
      </c>
      <c r="K616" t="n">
        <v>0</v>
      </c>
      <c r="L616" t="n">
        <v>0</v>
      </c>
      <c r="M616" t="n">
        <v>0</v>
      </c>
      <c r="N616" t="n">
        <v>0</v>
      </c>
      <c r="O616" t="n">
        <v>0</v>
      </c>
      <c r="P616" t="n">
        <v>0</v>
      </c>
      <c r="Q616" t="n">
        <v>0</v>
      </c>
      <c r="R616" t="n">
        <v>0</v>
      </c>
      <c r="S616" t="n">
        <v>0</v>
      </c>
      <c r="T616" t="n">
        <v>0</v>
      </c>
      <c r="U616" s="2" t="inlineStr"/>
    </row>
    <row r="617" ht="15" customHeight="1">
      <c r="A617" t="inlineStr">
        <is>
          <t>A 23128-2025</t>
        </is>
      </c>
      <c r="B617" t="inlineStr">
        <is>
          <t>avverkningsanmälan</t>
        </is>
      </c>
      <c r="C617" t="inlineStr">
        <is>
          <t>Föryngringsavverkning</t>
        </is>
      </c>
      <c r="D617" s="1" t="n">
        <v>45791</v>
      </c>
      <c r="E617" s="1" t="n">
        <v>46219</v>
      </c>
      <c r="F617" t="inlineStr">
        <is>
          <t>NORRBOTTENS LÄN</t>
        </is>
      </c>
      <c r="G617" t="inlineStr">
        <is>
          <t>PITEÅ</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34615-2022</t>
        </is>
      </c>
      <c r="B618" t="inlineStr">
        <is>
          <t>avverkningsanmälan</t>
        </is>
      </c>
      <c r="C618" t="inlineStr">
        <is>
          <t>Föryngringsavverkning</t>
        </is>
      </c>
      <c r="D618" s="1" t="n">
        <v>44795</v>
      </c>
      <c r="E618" s="1" t="n">
        <v>46219</v>
      </c>
      <c r="F618" t="inlineStr">
        <is>
          <t>NORRBOTTENS LÄN</t>
        </is>
      </c>
      <c r="G618" t="inlineStr">
        <is>
          <t>PITEÅ</t>
        </is>
      </c>
      <c r="I618" t="n">
        <v>1.6</v>
      </c>
      <c r="J618" t="n">
        <v>0</v>
      </c>
      <c r="K618" t="n">
        <v>0</v>
      </c>
      <c r="L618" t="n">
        <v>0</v>
      </c>
      <c r="M618" t="n">
        <v>0</v>
      </c>
      <c r="N618" t="n">
        <v>0</v>
      </c>
      <c r="O618" t="n">
        <v>0</v>
      </c>
      <c r="P618" t="n">
        <v>0</v>
      </c>
      <c r="Q618" t="n">
        <v>0</v>
      </c>
      <c r="R618" t="n">
        <v>0</v>
      </c>
      <c r="S618" t="n">
        <v>0</v>
      </c>
      <c r="T618" t="n">
        <v>0</v>
      </c>
      <c r="U618" s="2" t="inlineStr"/>
    </row>
    <row r="619" ht="15" customHeight="1">
      <c r="A619" t="inlineStr">
        <is>
          <t>A 51578-2023</t>
        </is>
      </c>
      <c r="B619" t="inlineStr">
        <is>
          <t>avverkningsanmälan</t>
        </is>
      </c>
      <c r="C619" t="inlineStr">
        <is>
          <t>Föryngringsavverkning</t>
        </is>
      </c>
      <c r="D619" s="1" t="n">
        <v>45215</v>
      </c>
      <c r="E619" s="1" t="n">
        <v>46219</v>
      </c>
      <c r="F619" t="inlineStr">
        <is>
          <t>NORRBOTTENS LÄN</t>
        </is>
      </c>
      <c r="G619" t="inlineStr">
        <is>
          <t>PITEÅ</t>
        </is>
      </c>
      <c r="I619" t="n">
        <v>6.4</v>
      </c>
      <c r="J619" t="n">
        <v>0</v>
      </c>
      <c r="K619" t="n">
        <v>0</v>
      </c>
      <c r="L619" t="n">
        <v>0</v>
      </c>
      <c r="M619" t="n">
        <v>0</v>
      </c>
      <c r="N619" t="n">
        <v>0</v>
      </c>
      <c r="O619" t="n">
        <v>0</v>
      </c>
      <c r="P619" t="n">
        <v>0</v>
      </c>
      <c r="Q619" t="n">
        <v>0</v>
      </c>
      <c r="R619" t="n">
        <v>0</v>
      </c>
      <c r="S619" t="n">
        <v>0</v>
      </c>
      <c r="T619" t="n">
        <v>0</v>
      </c>
      <c r="U619" s="2" t="inlineStr"/>
    </row>
    <row r="620" ht="15" customHeight="1">
      <c r="A620" t="inlineStr">
        <is>
          <t>A 53752-2023</t>
        </is>
      </c>
      <c r="B620" t="inlineStr">
        <is>
          <t>avverkningsanmälan</t>
        </is>
      </c>
      <c r="C620" t="inlineStr">
        <is>
          <t>Föryngringsavverkning</t>
        </is>
      </c>
      <c r="D620" s="1" t="n">
        <v>45230</v>
      </c>
      <c r="E620" s="1" t="n">
        <v>46219</v>
      </c>
      <c r="F620" t="inlineStr">
        <is>
          <t>NORRBOTTENS LÄN</t>
        </is>
      </c>
      <c r="G620" t="inlineStr">
        <is>
          <t>PITEÅ</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57052-2023</t>
        </is>
      </c>
      <c r="B621" t="inlineStr">
        <is>
          <t>avverkningsanmälan</t>
        </is>
      </c>
      <c r="C621" t="inlineStr">
        <is>
          <t>Föryngringsavverkning</t>
        </is>
      </c>
      <c r="D621" s="1" t="n">
        <v>45244</v>
      </c>
      <c r="E621" s="1" t="n">
        <v>46219</v>
      </c>
      <c r="F621" t="inlineStr">
        <is>
          <t>NORRBOTTENS LÄN</t>
        </is>
      </c>
      <c r="G621" t="inlineStr">
        <is>
          <t>PITEÅ</t>
        </is>
      </c>
      <c r="I621" t="n">
        <v>4.2</v>
      </c>
      <c r="J621" t="n">
        <v>0</v>
      </c>
      <c r="K621" t="n">
        <v>0</v>
      </c>
      <c r="L621" t="n">
        <v>0</v>
      </c>
      <c r="M621" t="n">
        <v>0</v>
      </c>
      <c r="N621" t="n">
        <v>0</v>
      </c>
      <c r="O621" t="n">
        <v>0</v>
      </c>
      <c r="P621" t="n">
        <v>0</v>
      </c>
      <c r="Q621" t="n">
        <v>0</v>
      </c>
      <c r="R621" t="n">
        <v>0</v>
      </c>
      <c r="S621" t="n">
        <v>0</v>
      </c>
      <c r="T621" t="n">
        <v>0</v>
      </c>
      <c r="U621" s="2" t="inlineStr"/>
    </row>
    <row r="622" ht="15" customHeight="1">
      <c r="A622" t="inlineStr">
        <is>
          <t>A 57195-2023</t>
        </is>
      </c>
      <c r="B622" t="inlineStr">
        <is>
          <t>avverkningsanmälan</t>
        </is>
      </c>
      <c r="C622" t="inlineStr">
        <is>
          <t>Föryngringsavverkning</t>
        </is>
      </c>
      <c r="D622" s="1" t="n">
        <v>45245</v>
      </c>
      <c r="E622" s="1" t="n">
        <v>46219</v>
      </c>
      <c r="F622" t="inlineStr">
        <is>
          <t>NORRBOTTENS LÄN</t>
        </is>
      </c>
      <c r="G622" t="inlineStr">
        <is>
          <t>PITEÅ</t>
        </is>
      </c>
      <c r="I622" t="n">
        <v>9</v>
      </c>
      <c r="J622" t="n">
        <v>0</v>
      </c>
      <c r="K622" t="n">
        <v>0</v>
      </c>
      <c r="L622" t="n">
        <v>0</v>
      </c>
      <c r="M622" t="n">
        <v>0</v>
      </c>
      <c r="N622" t="n">
        <v>0</v>
      </c>
      <c r="O622" t="n">
        <v>0</v>
      </c>
      <c r="P622" t="n">
        <v>0</v>
      </c>
      <c r="Q622" t="n">
        <v>0</v>
      </c>
      <c r="R622" t="n">
        <v>0</v>
      </c>
      <c r="S622" t="n">
        <v>0</v>
      </c>
      <c r="T622" t="n">
        <v>0</v>
      </c>
      <c r="U622" s="2" t="inlineStr"/>
    </row>
    <row r="623" ht="15" customHeight="1">
      <c r="A623" t="inlineStr">
        <is>
          <t>A 58034-2024</t>
        </is>
      </c>
      <c r="B623" t="inlineStr">
        <is>
          <t>avverkningsanmälan</t>
        </is>
      </c>
      <c r="C623" t="inlineStr">
        <is>
          <t>Föryngringsavverkning</t>
        </is>
      </c>
      <c r="D623" s="1" t="n">
        <v>45631</v>
      </c>
      <c r="E623" s="1" t="n">
        <v>46219</v>
      </c>
      <c r="F623" t="inlineStr">
        <is>
          <t>NORRBOTTENS LÄN</t>
        </is>
      </c>
      <c r="G623" t="inlineStr">
        <is>
          <t>PITEÅ</t>
        </is>
      </c>
      <c r="I623" t="n">
        <v>2.7</v>
      </c>
      <c r="J623" t="n">
        <v>0</v>
      </c>
      <c r="K623" t="n">
        <v>0</v>
      </c>
      <c r="L623" t="n">
        <v>0</v>
      </c>
      <c r="M623" t="n">
        <v>0</v>
      </c>
      <c r="N623" t="n">
        <v>0</v>
      </c>
      <c r="O623" t="n">
        <v>0</v>
      </c>
      <c r="P623" t="n">
        <v>0</v>
      </c>
      <c r="Q623" t="n">
        <v>0</v>
      </c>
      <c r="R623" t="n">
        <v>0</v>
      </c>
      <c r="S623" t="n">
        <v>0</v>
      </c>
      <c r="T623" t="n">
        <v>0</v>
      </c>
      <c r="U623" s="2" t="inlineStr"/>
    </row>
    <row r="624" ht="15" customHeight="1">
      <c r="A624" t="inlineStr">
        <is>
          <t>A 11246-2026</t>
        </is>
      </c>
      <c r="B624" t="inlineStr">
        <is>
          <t>avverkningsanmälan</t>
        </is>
      </c>
      <c r="C624" t="inlineStr">
        <is>
          <t>Föryngringsavverkning</t>
        </is>
      </c>
      <c r="D624" s="1" t="n">
        <v>46080</v>
      </c>
      <c r="E624" s="1" t="n">
        <v>46219</v>
      </c>
      <c r="F624" t="inlineStr">
        <is>
          <t>NORRBOTTENS LÄN</t>
        </is>
      </c>
      <c r="G624" t="inlineStr">
        <is>
          <t>PITEÅ</t>
        </is>
      </c>
      <c r="I624" t="n">
        <v>5.6</v>
      </c>
      <c r="J624" t="n">
        <v>0</v>
      </c>
      <c r="K624" t="n">
        <v>0</v>
      </c>
      <c r="L624" t="n">
        <v>0</v>
      </c>
      <c r="M624" t="n">
        <v>0</v>
      </c>
      <c r="N624" t="n">
        <v>0</v>
      </c>
      <c r="O624" t="n">
        <v>0</v>
      </c>
      <c r="P624" t="n">
        <v>0</v>
      </c>
      <c r="Q624" t="n">
        <v>0</v>
      </c>
      <c r="R624" t="n">
        <v>0</v>
      </c>
      <c r="S624" t="n">
        <v>0</v>
      </c>
      <c r="T624" t="n">
        <v>0</v>
      </c>
      <c r="U624" s="2" t="inlineStr"/>
    </row>
    <row r="625" ht="15" customHeight="1">
      <c r="A625" t="inlineStr">
        <is>
          <t>A 39556-2023</t>
        </is>
      </c>
      <c r="B625" t="inlineStr">
        <is>
          <t>avverkningsanmälan</t>
        </is>
      </c>
      <c r="C625" t="inlineStr">
        <is>
          <t>Föryngringsavverkning</t>
        </is>
      </c>
      <c r="D625" s="1" t="n">
        <v>45167</v>
      </c>
      <c r="E625" s="1" t="n">
        <v>46219</v>
      </c>
      <c r="F625" t="inlineStr">
        <is>
          <t>NORRBOTTENS LÄN</t>
        </is>
      </c>
      <c r="G625" t="inlineStr">
        <is>
          <t>PITEÅ</t>
        </is>
      </c>
      <c r="H625" t="inlineStr">
        <is>
          <t>Sveaskog</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3504-2024</t>
        </is>
      </c>
      <c r="B626" t="inlineStr">
        <is>
          <t>avverkningsanmälan</t>
        </is>
      </c>
      <c r="C626" t="inlineStr">
        <is>
          <t>Avverkning för annat ändamål</t>
        </is>
      </c>
      <c r="D626" s="1" t="n">
        <v>45320</v>
      </c>
      <c r="E626" s="1" t="n">
        <v>46219</v>
      </c>
      <c r="F626" t="inlineStr">
        <is>
          <t>NORRBOTTENS LÄN</t>
        </is>
      </c>
      <c r="G626" t="inlineStr">
        <is>
          <t>PITEÅ</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51285-2023</t>
        </is>
      </c>
      <c r="B627" t="inlineStr">
        <is>
          <t>avverkningsanmälan</t>
        </is>
      </c>
      <c r="C627" t="inlineStr">
        <is>
          <t>Föryngringsavverkning</t>
        </is>
      </c>
      <c r="D627" s="1" t="n">
        <v>45219</v>
      </c>
      <c r="E627" s="1" t="n">
        <v>46219</v>
      </c>
      <c r="F627" t="inlineStr">
        <is>
          <t>NORRBOTTENS LÄN</t>
        </is>
      </c>
      <c r="G627" t="inlineStr">
        <is>
          <t>PITEÅ</t>
        </is>
      </c>
      <c r="I627" t="n">
        <v>1.8</v>
      </c>
      <c r="J627" t="n">
        <v>0</v>
      </c>
      <c r="K627" t="n">
        <v>0</v>
      </c>
      <c r="L627" t="n">
        <v>0</v>
      </c>
      <c r="M627" t="n">
        <v>0</v>
      </c>
      <c r="N627" t="n">
        <v>0</v>
      </c>
      <c r="O627" t="n">
        <v>0</v>
      </c>
      <c r="P627" t="n">
        <v>0</v>
      </c>
      <c r="Q627" t="n">
        <v>0</v>
      </c>
      <c r="R627" t="n">
        <v>0</v>
      </c>
      <c r="S627" t="n">
        <v>0</v>
      </c>
      <c r="T627" t="n">
        <v>0</v>
      </c>
      <c r="U627" s="2" t="inlineStr"/>
    </row>
    <row r="628" ht="15" customHeight="1">
      <c r="A628" t="inlineStr">
        <is>
          <t>A 11379-2026</t>
        </is>
      </c>
      <c r="B628" t="inlineStr">
        <is>
          <t>avverkningsanmälan</t>
        </is>
      </c>
      <c r="C628" t="inlineStr">
        <is>
          <t>Föryngringsavverkning</t>
        </is>
      </c>
      <c r="D628" s="1" t="n">
        <v>46083</v>
      </c>
      <c r="E628" s="1" t="n">
        <v>46219</v>
      </c>
      <c r="F628" t="inlineStr">
        <is>
          <t>NORRBOTTENS LÄN</t>
        </is>
      </c>
      <c r="G628" t="inlineStr">
        <is>
          <t>PITEÅ</t>
        </is>
      </c>
      <c r="I628" t="n">
        <v>9.199999999999999</v>
      </c>
      <c r="J628" t="n">
        <v>0</v>
      </c>
      <c r="K628" t="n">
        <v>0</v>
      </c>
      <c r="L628" t="n">
        <v>0</v>
      </c>
      <c r="M628" t="n">
        <v>0</v>
      </c>
      <c r="N628" t="n">
        <v>0</v>
      </c>
      <c r="O628" t="n">
        <v>0</v>
      </c>
      <c r="P628" t="n">
        <v>0</v>
      </c>
      <c r="Q628" t="n">
        <v>0</v>
      </c>
      <c r="R628" t="n">
        <v>0</v>
      </c>
      <c r="S628" t="n">
        <v>0</v>
      </c>
      <c r="T628" t="n">
        <v>0</v>
      </c>
      <c r="U628" s="2" t="inlineStr"/>
    </row>
    <row r="629" ht="15" customHeight="1">
      <c r="A629" t="inlineStr">
        <is>
          <t>A 2550-2024</t>
        </is>
      </c>
      <c r="B629" t="inlineStr">
        <is>
          <t>avverkningsanmälan</t>
        </is>
      </c>
      <c r="C629" t="inlineStr">
        <is>
          <t>Föryngringsavverkning</t>
        </is>
      </c>
      <c r="D629" s="1" t="n">
        <v>45313</v>
      </c>
      <c r="E629" s="1" t="n">
        <v>46219</v>
      </c>
      <c r="F629" t="inlineStr">
        <is>
          <t>NORRBOTTENS LÄN</t>
        </is>
      </c>
      <c r="G629" t="inlineStr">
        <is>
          <t>PITEÅ</t>
        </is>
      </c>
      <c r="I629" t="n">
        <v>6</v>
      </c>
      <c r="J629" t="n">
        <v>0</v>
      </c>
      <c r="K629" t="n">
        <v>0</v>
      </c>
      <c r="L629" t="n">
        <v>0</v>
      </c>
      <c r="M629" t="n">
        <v>0</v>
      </c>
      <c r="N629" t="n">
        <v>0</v>
      </c>
      <c r="O629" t="n">
        <v>0</v>
      </c>
      <c r="P629" t="n">
        <v>0</v>
      </c>
      <c r="Q629" t="n">
        <v>0</v>
      </c>
      <c r="R629" t="n">
        <v>0</v>
      </c>
      <c r="S629" t="n">
        <v>0</v>
      </c>
      <c r="T629" t="n">
        <v>0</v>
      </c>
      <c r="U629" s="2" t="inlineStr"/>
    </row>
    <row r="630" ht="15" customHeight="1">
      <c r="A630" t="inlineStr">
        <is>
          <t>A 71301-2021</t>
        </is>
      </c>
      <c r="B630" t="inlineStr">
        <is>
          <t>avverkningsanmälan</t>
        </is>
      </c>
      <c r="C630" t="inlineStr">
        <is>
          <t>Föryngringsavverkning</t>
        </is>
      </c>
      <c r="D630" s="1" t="n">
        <v>44538</v>
      </c>
      <c r="E630" s="1" t="n">
        <v>46219</v>
      </c>
      <c r="F630" t="inlineStr">
        <is>
          <t>NORRBOTTENS LÄN</t>
        </is>
      </c>
      <c r="G630" t="inlineStr">
        <is>
          <t>PITEÅ</t>
        </is>
      </c>
      <c r="I630" t="n">
        <v>4.6</v>
      </c>
      <c r="J630" t="n">
        <v>0</v>
      </c>
      <c r="K630" t="n">
        <v>0</v>
      </c>
      <c r="L630" t="n">
        <v>0</v>
      </c>
      <c r="M630" t="n">
        <v>0</v>
      </c>
      <c r="N630" t="n">
        <v>0</v>
      </c>
      <c r="O630" t="n">
        <v>0</v>
      </c>
      <c r="P630" t="n">
        <v>0</v>
      </c>
      <c r="Q630" t="n">
        <v>0</v>
      </c>
      <c r="R630" t="n">
        <v>0</v>
      </c>
      <c r="S630" t="n">
        <v>0</v>
      </c>
      <c r="T630" t="n">
        <v>0</v>
      </c>
      <c r="U630" s="2" t="inlineStr"/>
    </row>
    <row r="631" ht="15" customHeight="1">
      <c r="A631" t="inlineStr">
        <is>
          <t>A 12303-2026</t>
        </is>
      </c>
      <c r="B631" t="inlineStr">
        <is>
          <t>avverkningsanmälan</t>
        </is>
      </c>
      <c r="C631" t="inlineStr">
        <is>
          <t>Föryngringsavverkning</t>
        </is>
      </c>
      <c r="D631" s="1" t="n">
        <v>46087</v>
      </c>
      <c r="E631" s="1" t="n">
        <v>46219</v>
      </c>
      <c r="F631" t="inlineStr">
        <is>
          <t>NORRBOTTENS LÄN</t>
        </is>
      </c>
      <c r="G631" t="inlineStr">
        <is>
          <t>PITEÅ</t>
        </is>
      </c>
      <c r="H631" t="inlineStr">
        <is>
          <t>Kommuner</t>
        </is>
      </c>
      <c r="I631" t="n">
        <v>1.8</v>
      </c>
      <c r="J631" t="n">
        <v>0</v>
      </c>
      <c r="K631" t="n">
        <v>0</v>
      </c>
      <c r="L631" t="n">
        <v>0</v>
      </c>
      <c r="M631" t="n">
        <v>0</v>
      </c>
      <c r="N631" t="n">
        <v>0</v>
      </c>
      <c r="O631" t="n">
        <v>0</v>
      </c>
      <c r="P631" t="n">
        <v>0</v>
      </c>
      <c r="Q631" t="n">
        <v>0</v>
      </c>
      <c r="R631" t="n">
        <v>0</v>
      </c>
      <c r="S631" t="n">
        <v>0</v>
      </c>
      <c r="T631" t="n">
        <v>0</v>
      </c>
      <c r="U631" s="2" t="inlineStr"/>
    </row>
    <row r="632" ht="15" customHeight="1">
      <c r="A632" t="inlineStr">
        <is>
          <t>A 12297-2026</t>
        </is>
      </c>
      <c r="B632" t="inlineStr">
        <is>
          <t>avverkningsanmälan</t>
        </is>
      </c>
      <c r="C632" t="inlineStr">
        <is>
          <t>Föryngringsavverkning</t>
        </is>
      </c>
      <c r="D632" s="1" t="n">
        <v>46087</v>
      </c>
      <c r="E632" s="1" t="n">
        <v>46219</v>
      </c>
      <c r="F632" t="inlineStr">
        <is>
          <t>NORRBOTTENS LÄN</t>
        </is>
      </c>
      <c r="G632" t="inlineStr">
        <is>
          <t>PITEÅ</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51273-2023</t>
        </is>
      </c>
      <c r="B633" t="inlineStr">
        <is>
          <t>avverkningsanmälan</t>
        </is>
      </c>
      <c r="C633" t="inlineStr">
        <is>
          <t>Föryngringsavverkning</t>
        </is>
      </c>
      <c r="D633" s="1" t="n">
        <v>45219</v>
      </c>
      <c r="E633" s="1" t="n">
        <v>46219</v>
      </c>
      <c r="F633" t="inlineStr">
        <is>
          <t>NORRBOTTENS LÄN</t>
        </is>
      </c>
      <c r="G633" t="inlineStr">
        <is>
          <t>PITEÅ</t>
        </is>
      </c>
      <c r="I633" t="n">
        <v>1.7</v>
      </c>
      <c r="J633" t="n">
        <v>0</v>
      </c>
      <c r="K633" t="n">
        <v>0</v>
      </c>
      <c r="L633" t="n">
        <v>0</v>
      </c>
      <c r="M633" t="n">
        <v>0</v>
      </c>
      <c r="N633" t="n">
        <v>0</v>
      </c>
      <c r="O633" t="n">
        <v>0</v>
      </c>
      <c r="P633" t="n">
        <v>0</v>
      </c>
      <c r="Q633" t="n">
        <v>0</v>
      </c>
      <c r="R633" t="n">
        <v>0</v>
      </c>
      <c r="S633" t="n">
        <v>0</v>
      </c>
      <c r="T633" t="n">
        <v>0</v>
      </c>
      <c r="U633" s="2" t="inlineStr"/>
    </row>
    <row r="634" ht="15" customHeight="1">
      <c r="A634" t="inlineStr">
        <is>
          <t>A 58537-2023</t>
        </is>
      </c>
      <c r="B634" t="inlineStr">
        <is>
          <t>avverkningsanmälan</t>
        </is>
      </c>
      <c r="C634" t="inlineStr">
        <is>
          <t>Föryngringsavverkning</t>
        </is>
      </c>
      <c r="D634" s="1" t="n">
        <v>45251</v>
      </c>
      <c r="E634" s="1" t="n">
        <v>46219</v>
      </c>
      <c r="F634" t="inlineStr">
        <is>
          <t>NORRBOTTENS LÄN</t>
        </is>
      </c>
      <c r="G634" t="inlineStr">
        <is>
          <t>PITEÅ</t>
        </is>
      </c>
      <c r="I634" t="n">
        <v>5.1</v>
      </c>
      <c r="J634" t="n">
        <v>0</v>
      </c>
      <c r="K634" t="n">
        <v>0</v>
      </c>
      <c r="L634" t="n">
        <v>0</v>
      </c>
      <c r="M634" t="n">
        <v>0</v>
      </c>
      <c r="N634" t="n">
        <v>0</v>
      </c>
      <c r="O634" t="n">
        <v>0</v>
      </c>
      <c r="P634" t="n">
        <v>0</v>
      </c>
      <c r="Q634" t="n">
        <v>0</v>
      </c>
      <c r="R634" t="n">
        <v>0</v>
      </c>
      <c r="S634" t="n">
        <v>0</v>
      </c>
      <c r="T634" t="n">
        <v>0</v>
      </c>
      <c r="U634" s="2" t="inlineStr"/>
    </row>
    <row r="635" ht="15" customHeight="1">
      <c r="A635" t="inlineStr">
        <is>
          <t>A 12949-2026</t>
        </is>
      </c>
      <c r="B635" t="inlineStr">
        <is>
          <t>avverkningsanmälan</t>
        </is>
      </c>
      <c r="C635" t="inlineStr">
        <is>
          <t>Föryngringsavverkning</t>
        </is>
      </c>
      <c r="D635" s="1" t="n">
        <v>46092</v>
      </c>
      <c r="E635" s="1" t="n">
        <v>46219</v>
      </c>
      <c r="F635" t="inlineStr">
        <is>
          <t>NORRBOTTENS LÄN</t>
        </is>
      </c>
      <c r="G635" t="inlineStr">
        <is>
          <t>PITEÅ</t>
        </is>
      </c>
      <c r="I635" t="n">
        <v>14.4</v>
      </c>
      <c r="J635" t="n">
        <v>0</v>
      </c>
      <c r="K635" t="n">
        <v>0</v>
      </c>
      <c r="L635" t="n">
        <v>0</v>
      </c>
      <c r="M635" t="n">
        <v>0</v>
      </c>
      <c r="N635" t="n">
        <v>0</v>
      </c>
      <c r="O635" t="n">
        <v>0</v>
      </c>
      <c r="P635" t="n">
        <v>0</v>
      </c>
      <c r="Q635" t="n">
        <v>0</v>
      </c>
      <c r="R635" t="n">
        <v>0</v>
      </c>
      <c r="S635" t="n">
        <v>0</v>
      </c>
      <c r="T635" t="n">
        <v>0</v>
      </c>
      <c r="U635" s="2" t="inlineStr"/>
    </row>
    <row r="636" ht="15" customHeight="1">
      <c r="A636" t="inlineStr">
        <is>
          <t>A 65015-2023</t>
        </is>
      </c>
      <c r="B636" t="inlineStr">
        <is>
          <t>avverkningsanmälan</t>
        </is>
      </c>
      <c r="C636" t="inlineStr">
        <is>
          <t>Föryngringsavverkning</t>
        </is>
      </c>
      <c r="D636" s="1" t="n">
        <v>45287</v>
      </c>
      <c r="E636" s="1" t="n">
        <v>46219</v>
      </c>
      <c r="F636" t="inlineStr">
        <is>
          <t>NORRBOTTENS LÄN</t>
        </is>
      </c>
      <c r="G636" t="inlineStr">
        <is>
          <t>PITEÅ</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57892-2023</t>
        </is>
      </c>
      <c r="B637" t="inlineStr">
        <is>
          <t>avverkningsanmälan</t>
        </is>
      </c>
      <c r="C637" t="inlineStr">
        <is>
          <t>Föryngringsavverkning</t>
        </is>
      </c>
      <c r="D637" s="1" t="n">
        <v>45244</v>
      </c>
      <c r="E637" s="1" t="n">
        <v>46219</v>
      </c>
      <c r="F637" t="inlineStr">
        <is>
          <t>NORRBOTTENS LÄN</t>
        </is>
      </c>
      <c r="G637" t="inlineStr">
        <is>
          <t>PITEÅ</t>
        </is>
      </c>
      <c r="I637" t="n">
        <v>3.1</v>
      </c>
      <c r="J637" t="n">
        <v>0</v>
      </c>
      <c r="K637" t="n">
        <v>0</v>
      </c>
      <c r="L637" t="n">
        <v>0</v>
      </c>
      <c r="M637" t="n">
        <v>0</v>
      </c>
      <c r="N637" t="n">
        <v>0</v>
      </c>
      <c r="O637" t="n">
        <v>0</v>
      </c>
      <c r="P637" t="n">
        <v>0</v>
      </c>
      <c r="Q637" t="n">
        <v>0</v>
      </c>
      <c r="R637" t="n">
        <v>0</v>
      </c>
      <c r="S637" t="n">
        <v>0</v>
      </c>
      <c r="T637" t="n">
        <v>0</v>
      </c>
      <c r="U637" s="2" t="inlineStr"/>
    </row>
    <row r="638" ht="15" customHeight="1">
      <c r="A638" t="inlineStr">
        <is>
          <t>A 25955-2024</t>
        </is>
      </c>
      <c r="B638" t="inlineStr">
        <is>
          <t>avverkningsanmälan</t>
        </is>
      </c>
      <c r="C638" t="inlineStr">
        <is>
          <t>Avverkning för annat ändamål</t>
        </is>
      </c>
      <c r="D638" s="1" t="n">
        <v>45467</v>
      </c>
      <c r="E638" s="1" t="n">
        <v>46219</v>
      </c>
      <c r="F638" t="inlineStr">
        <is>
          <t>NORRBOTTENS LÄN</t>
        </is>
      </c>
      <c r="G638" t="inlineStr">
        <is>
          <t>PITEÅ</t>
        </is>
      </c>
      <c r="H638" t="inlineStr">
        <is>
          <t>Kommuner</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61636-2023</t>
        </is>
      </c>
      <c r="B639" t="inlineStr">
        <is>
          <t>avverkningsanmälan</t>
        </is>
      </c>
      <c r="C639" t="inlineStr">
        <is>
          <t>Föryngringsavverkning</t>
        </is>
      </c>
      <c r="D639" s="1" t="n">
        <v>45265</v>
      </c>
      <c r="E639" s="1" t="n">
        <v>46219</v>
      </c>
      <c r="F639" t="inlineStr">
        <is>
          <t>NORRBOTTENS LÄN</t>
        </is>
      </c>
      <c r="G639" t="inlineStr">
        <is>
          <t>PITEÅ</t>
        </is>
      </c>
      <c r="I639" t="n">
        <v>4.9</v>
      </c>
      <c r="J639" t="n">
        <v>0</v>
      </c>
      <c r="K639" t="n">
        <v>0</v>
      </c>
      <c r="L639" t="n">
        <v>0</v>
      </c>
      <c r="M639" t="n">
        <v>0</v>
      </c>
      <c r="N639" t="n">
        <v>0</v>
      </c>
      <c r="O639" t="n">
        <v>0</v>
      </c>
      <c r="P639" t="n">
        <v>0</v>
      </c>
      <c r="Q639" t="n">
        <v>0</v>
      </c>
      <c r="R639" t="n">
        <v>0</v>
      </c>
      <c r="S639" t="n">
        <v>0</v>
      </c>
      <c r="T639" t="n">
        <v>0</v>
      </c>
      <c r="U639" s="2" t="inlineStr"/>
    </row>
    <row r="640" ht="15" customHeight="1">
      <c r="A640" t="inlineStr">
        <is>
          <t>A 12573-2024</t>
        </is>
      </c>
      <c r="B640" t="inlineStr">
        <is>
          <t>avverkningsanmälan</t>
        </is>
      </c>
      <c r="C640" t="inlineStr">
        <is>
          <t>Avverkning för annat ändamål</t>
        </is>
      </c>
      <c r="D640" s="1" t="n">
        <v>45379</v>
      </c>
      <c r="E640" s="1" t="n">
        <v>46219</v>
      </c>
      <c r="F640" t="inlineStr">
        <is>
          <t>NORRBOTTENS LÄN</t>
        </is>
      </c>
      <c r="G640" t="inlineStr">
        <is>
          <t>PITEÅ</t>
        </is>
      </c>
      <c r="I640" t="n">
        <v>2.6</v>
      </c>
      <c r="J640" t="n">
        <v>0</v>
      </c>
      <c r="K640" t="n">
        <v>0</v>
      </c>
      <c r="L640" t="n">
        <v>0</v>
      </c>
      <c r="M640" t="n">
        <v>0</v>
      </c>
      <c r="N640" t="n">
        <v>0</v>
      </c>
      <c r="O640" t="n">
        <v>0</v>
      </c>
      <c r="P640" t="n">
        <v>0</v>
      </c>
      <c r="Q640" t="n">
        <v>0</v>
      </c>
      <c r="R640" t="n">
        <v>0</v>
      </c>
      <c r="S640" t="n">
        <v>0</v>
      </c>
      <c r="T640" t="n">
        <v>0</v>
      </c>
      <c r="U640" s="2" t="inlineStr"/>
    </row>
    <row r="641" ht="15" customHeight="1">
      <c r="A641" t="inlineStr">
        <is>
          <t>A 25429-2025</t>
        </is>
      </c>
      <c r="B641" t="inlineStr">
        <is>
          <t>avverkningsanmälan</t>
        </is>
      </c>
      <c r="C641" t="inlineStr">
        <is>
          <t>Föryngringsavverkning</t>
        </is>
      </c>
      <c r="D641" s="1" t="n">
        <v>45800</v>
      </c>
      <c r="E641" s="1" t="n">
        <v>46219</v>
      </c>
      <c r="F641" t="inlineStr">
        <is>
          <t>NORRBOTTENS LÄN</t>
        </is>
      </c>
      <c r="G641" t="inlineStr">
        <is>
          <t>PITEÅ</t>
        </is>
      </c>
      <c r="H641" t="inlineStr">
        <is>
          <t>SCA</t>
        </is>
      </c>
      <c r="I641" t="n">
        <v>4.3</v>
      </c>
      <c r="J641" t="n">
        <v>0</v>
      </c>
      <c r="K641" t="n">
        <v>0</v>
      </c>
      <c r="L641" t="n">
        <v>0</v>
      </c>
      <c r="M641" t="n">
        <v>0</v>
      </c>
      <c r="N641" t="n">
        <v>0</v>
      </c>
      <c r="O641" t="n">
        <v>0</v>
      </c>
      <c r="P641" t="n">
        <v>0</v>
      </c>
      <c r="Q641" t="n">
        <v>0</v>
      </c>
      <c r="R641" t="n">
        <v>0</v>
      </c>
      <c r="S641" t="n">
        <v>0</v>
      </c>
      <c r="T641" t="n">
        <v>0</v>
      </c>
      <c r="U641" s="2" t="inlineStr"/>
    </row>
    <row r="642" ht="15" customHeight="1">
      <c r="A642" t="inlineStr">
        <is>
          <t>A 33196-2022</t>
        </is>
      </c>
      <c r="B642" t="inlineStr">
        <is>
          <t>avverkningsanmälan</t>
        </is>
      </c>
      <c r="C642" t="inlineStr">
        <is>
          <t>Föryngringsavverkning</t>
        </is>
      </c>
      <c r="D642" s="1" t="n">
        <v>44785</v>
      </c>
      <c r="E642" s="1" t="n">
        <v>46219</v>
      </c>
      <c r="F642" t="inlineStr">
        <is>
          <t>NORRBOTTENS LÄN</t>
        </is>
      </c>
      <c r="G642" t="inlineStr">
        <is>
          <t>PITEÅ</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29678-2024</t>
        </is>
      </c>
      <c r="B643" t="inlineStr">
        <is>
          <t>avverkningsanmälan</t>
        </is>
      </c>
      <c r="C643" t="inlineStr">
        <is>
          <t>Föryngringsavverkning</t>
        </is>
      </c>
      <c r="D643" s="1" t="n">
        <v>45484</v>
      </c>
      <c r="E643" s="1" t="n">
        <v>46219</v>
      </c>
      <c r="F643" t="inlineStr">
        <is>
          <t>NORRBOTTENS LÄN</t>
        </is>
      </c>
      <c r="G643" t="inlineStr">
        <is>
          <t>PITEÅ</t>
        </is>
      </c>
      <c r="H643" t="inlineStr">
        <is>
          <t>SCA</t>
        </is>
      </c>
      <c r="I643" t="n">
        <v>7.1</v>
      </c>
      <c r="J643" t="n">
        <v>0</v>
      </c>
      <c r="K643" t="n">
        <v>0</v>
      </c>
      <c r="L643" t="n">
        <v>0</v>
      </c>
      <c r="M643" t="n">
        <v>0</v>
      </c>
      <c r="N643" t="n">
        <v>0</v>
      </c>
      <c r="O643" t="n">
        <v>0</v>
      </c>
      <c r="P643" t="n">
        <v>0</v>
      </c>
      <c r="Q643" t="n">
        <v>0</v>
      </c>
      <c r="R643" t="n">
        <v>0</v>
      </c>
      <c r="S643" t="n">
        <v>0</v>
      </c>
      <c r="T643" t="n">
        <v>0</v>
      </c>
      <c r="U643" s="2" t="inlineStr"/>
    </row>
    <row r="644" ht="15" customHeight="1">
      <c r="A644" t="inlineStr">
        <is>
          <t>A 11949-2025</t>
        </is>
      </c>
      <c r="B644" t="inlineStr">
        <is>
          <t>avverkningsanmälan</t>
        </is>
      </c>
      <c r="C644" t="inlineStr">
        <is>
          <t>Föryngringsavverkning</t>
        </is>
      </c>
      <c r="D644" s="1" t="n">
        <v>45728</v>
      </c>
      <c r="E644" s="1" t="n">
        <v>46219</v>
      </c>
      <c r="F644" t="inlineStr">
        <is>
          <t>NORRBOTTENS LÄN</t>
        </is>
      </c>
      <c r="G644" t="inlineStr">
        <is>
          <t>PITEÅ</t>
        </is>
      </c>
      <c r="H644" t="inlineStr">
        <is>
          <t>Kommuner</t>
        </is>
      </c>
      <c r="I644" t="n">
        <v>5.7</v>
      </c>
      <c r="J644" t="n">
        <v>0</v>
      </c>
      <c r="K644" t="n">
        <v>0</v>
      </c>
      <c r="L644" t="n">
        <v>0</v>
      </c>
      <c r="M644" t="n">
        <v>0</v>
      </c>
      <c r="N644" t="n">
        <v>0</v>
      </c>
      <c r="O644" t="n">
        <v>0</v>
      </c>
      <c r="P644" t="n">
        <v>0</v>
      </c>
      <c r="Q644" t="n">
        <v>0</v>
      </c>
      <c r="R644" t="n">
        <v>0</v>
      </c>
      <c r="S644" t="n">
        <v>0</v>
      </c>
      <c r="T644" t="n">
        <v>0</v>
      </c>
      <c r="U644" s="2" t="inlineStr"/>
    </row>
    <row r="645" ht="15" customHeight="1">
      <c r="A645" t="inlineStr">
        <is>
          <t>A 4242-2024</t>
        </is>
      </c>
      <c r="B645" t="inlineStr">
        <is>
          <t>avverkningsanmälan</t>
        </is>
      </c>
      <c r="C645" t="inlineStr">
        <is>
          <t>Föryngringsavverkning</t>
        </is>
      </c>
      <c r="D645" s="1" t="n">
        <v>45324</v>
      </c>
      <c r="E645" s="1" t="n">
        <v>46219</v>
      </c>
      <c r="F645" t="inlineStr">
        <is>
          <t>NORRBOTTENS LÄN</t>
        </is>
      </c>
      <c r="G645" t="inlineStr">
        <is>
          <t>PITEÅ</t>
        </is>
      </c>
      <c r="H645" t="inlineStr">
        <is>
          <t>Sveaskog</t>
        </is>
      </c>
      <c r="I645" t="n">
        <v>3.9</v>
      </c>
      <c r="J645" t="n">
        <v>0</v>
      </c>
      <c r="K645" t="n">
        <v>0</v>
      </c>
      <c r="L645" t="n">
        <v>0</v>
      </c>
      <c r="M645" t="n">
        <v>0</v>
      </c>
      <c r="N645" t="n">
        <v>0</v>
      </c>
      <c r="O645" t="n">
        <v>0</v>
      </c>
      <c r="P645" t="n">
        <v>0</v>
      </c>
      <c r="Q645" t="n">
        <v>0</v>
      </c>
      <c r="R645" t="n">
        <v>0</v>
      </c>
      <c r="S645" t="n">
        <v>0</v>
      </c>
      <c r="T645" t="n">
        <v>0</v>
      </c>
      <c r="U645" s="2" t="inlineStr"/>
    </row>
    <row r="646" ht="15" customHeight="1">
      <c r="A646" t="inlineStr">
        <is>
          <t>A 18397-2022</t>
        </is>
      </c>
      <c r="B646" t="inlineStr">
        <is>
          <t>avverkningsanmälan</t>
        </is>
      </c>
      <c r="C646" t="inlineStr">
        <is>
          <t>Föryngringsavverkning</t>
        </is>
      </c>
      <c r="D646" s="1" t="n">
        <v>44685</v>
      </c>
      <c r="E646" s="1" t="n">
        <v>46219</v>
      </c>
      <c r="F646" t="inlineStr">
        <is>
          <t>NORRBOTTENS LÄN</t>
        </is>
      </c>
      <c r="G646" t="inlineStr">
        <is>
          <t>PITEÅ</t>
        </is>
      </c>
      <c r="I646" t="n">
        <v>2.5</v>
      </c>
      <c r="J646" t="n">
        <v>0</v>
      </c>
      <c r="K646" t="n">
        <v>0</v>
      </c>
      <c r="L646" t="n">
        <v>0</v>
      </c>
      <c r="M646" t="n">
        <v>0</v>
      </c>
      <c r="N646" t="n">
        <v>0</v>
      </c>
      <c r="O646" t="n">
        <v>0</v>
      </c>
      <c r="P646" t="n">
        <v>0</v>
      </c>
      <c r="Q646" t="n">
        <v>0</v>
      </c>
      <c r="R646" t="n">
        <v>0</v>
      </c>
      <c r="S646" t="n">
        <v>0</v>
      </c>
      <c r="T646" t="n">
        <v>0</v>
      </c>
      <c r="U646" s="2" t="inlineStr"/>
    </row>
    <row r="647" ht="15" customHeight="1">
      <c r="A647" t="inlineStr">
        <is>
          <t>A 43885-2023</t>
        </is>
      </c>
      <c r="B647" t="inlineStr">
        <is>
          <t>avverkningsanmälan</t>
        </is>
      </c>
      <c r="C647" t="inlineStr">
        <is>
          <t>Föryngringsavverkning</t>
        </is>
      </c>
      <c r="D647" s="1" t="n">
        <v>45187</v>
      </c>
      <c r="E647" s="1" t="n">
        <v>46219</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7504-2024</t>
        </is>
      </c>
      <c r="B648" t="inlineStr">
        <is>
          <t>avverkningsanmälan</t>
        </is>
      </c>
      <c r="C648" t="inlineStr">
        <is>
          <t>Föryngringsavverkning</t>
        </is>
      </c>
      <c r="D648" s="1" t="n">
        <v>45347</v>
      </c>
      <c r="E648" s="1" t="n">
        <v>46219</v>
      </c>
      <c r="F648" t="inlineStr">
        <is>
          <t>NORRBOTTENS LÄN</t>
        </is>
      </c>
      <c r="G648" t="inlineStr">
        <is>
          <t>PITEÅ</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63197-2023</t>
        </is>
      </c>
      <c r="B649" t="inlineStr">
        <is>
          <t>avverkningsanmälan</t>
        </is>
      </c>
      <c r="C649" t="inlineStr">
        <is>
          <t>Föryngringsavverkning</t>
        </is>
      </c>
      <c r="D649" s="1" t="n">
        <v>45273</v>
      </c>
      <c r="E649" s="1" t="n">
        <v>46219</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16250-2026</t>
        </is>
      </c>
      <c r="B650" t="inlineStr">
        <is>
          <t>avverkningsanmälan</t>
        </is>
      </c>
      <c r="C650" t="inlineStr">
        <is>
          <t>Föryngringsavverkning</t>
        </is>
      </c>
      <c r="D650" s="1" t="n">
        <v>46111</v>
      </c>
      <c r="E650" s="1" t="n">
        <v>46219</v>
      </c>
      <c r="F650" t="inlineStr">
        <is>
          <t>NORRBOTTENS LÄN</t>
        </is>
      </c>
      <c r="G650" t="inlineStr">
        <is>
          <t>PITEÅ</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39782-2024</t>
        </is>
      </c>
      <c r="B651" t="inlineStr">
        <is>
          <t>avverkningsanmälan</t>
        </is>
      </c>
      <c r="C651" t="inlineStr">
        <is>
          <t>Föryngringsavverkning</t>
        </is>
      </c>
      <c r="D651" s="1" t="n">
        <v>45553</v>
      </c>
      <c r="E651" s="1" t="n">
        <v>46219</v>
      </c>
      <c r="F651" t="inlineStr">
        <is>
          <t>NORRBOTTENS LÄN</t>
        </is>
      </c>
      <c r="G651" t="inlineStr">
        <is>
          <t>PITEÅ</t>
        </is>
      </c>
      <c r="I651" t="n">
        <v>1.9</v>
      </c>
      <c r="J651" t="n">
        <v>0</v>
      </c>
      <c r="K651" t="n">
        <v>0</v>
      </c>
      <c r="L651" t="n">
        <v>0</v>
      </c>
      <c r="M651" t="n">
        <v>0</v>
      </c>
      <c r="N651" t="n">
        <v>0</v>
      </c>
      <c r="O651" t="n">
        <v>0</v>
      </c>
      <c r="P651" t="n">
        <v>0</v>
      </c>
      <c r="Q651" t="n">
        <v>0</v>
      </c>
      <c r="R651" t="n">
        <v>0</v>
      </c>
      <c r="S651" t="n">
        <v>0</v>
      </c>
      <c r="T651" t="n">
        <v>0</v>
      </c>
      <c r="U651" s="2" t="inlineStr"/>
    </row>
    <row r="652" ht="15" customHeight="1">
      <c r="A652" t="inlineStr">
        <is>
          <t>A 29552-2024</t>
        </is>
      </c>
      <c r="B652" t="inlineStr">
        <is>
          <t>avverkningsanmälan</t>
        </is>
      </c>
      <c r="C652" t="inlineStr">
        <is>
          <t>Föryngringsavverkning</t>
        </is>
      </c>
      <c r="D652" s="1" t="n">
        <v>45484</v>
      </c>
      <c r="E652" s="1" t="n">
        <v>46219</v>
      </c>
      <c r="F652" t="inlineStr">
        <is>
          <t>NORRBOTTENS LÄN</t>
        </is>
      </c>
      <c r="G652" t="inlineStr">
        <is>
          <t>PITEÅ</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2147-2026</t>
        </is>
      </c>
      <c r="B653" t="inlineStr">
        <is>
          <t>avverkningsanmälan</t>
        </is>
      </c>
      <c r="C653" t="inlineStr">
        <is>
          <t>Föryngringsavverkning</t>
        </is>
      </c>
      <c r="D653" s="1" t="n">
        <v>46036</v>
      </c>
      <c r="E653" s="1" t="n">
        <v>46219</v>
      </c>
      <c r="F653" t="inlineStr">
        <is>
          <t>NORRBOTTENS LÄN</t>
        </is>
      </c>
      <c r="G653" t="inlineStr">
        <is>
          <t>PITEÅ</t>
        </is>
      </c>
      <c r="I653" t="n">
        <v>6.4</v>
      </c>
      <c r="J653" t="n">
        <v>0</v>
      </c>
      <c r="K653" t="n">
        <v>0</v>
      </c>
      <c r="L653" t="n">
        <v>0</v>
      </c>
      <c r="M653" t="n">
        <v>0</v>
      </c>
      <c r="N653" t="n">
        <v>0</v>
      </c>
      <c r="O653" t="n">
        <v>0</v>
      </c>
      <c r="P653" t="n">
        <v>0</v>
      </c>
      <c r="Q653" t="n">
        <v>0</v>
      </c>
      <c r="R653" t="n">
        <v>0</v>
      </c>
      <c r="S653" t="n">
        <v>0</v>
      </c>
      <c r="T653" t="n">
        <v>0</v>
      </c>
      <c r="U653" s="2" t="inlineStr"/>
    </row>
    <row r="654" ht="15" customHeight="1">
      <c r="A654" t="inlineStr">
        <is>
          <t>A 16253-2026</t>
        </is>
      </c>
      <c r="B654" t="inlineStr">
        <is>
          <t>avverkningsanmälan</t>
        </is>
      </c>
      <c r="C654" t="inlineStr">
        <is>
          <t>Föryngringsavverkning</t>
        </is>
      </c>
      <c r="D654" s="1" t="n">
        <v>46111</v>
      </c>
      <c r="E654" s="1" t="n">
        <v>46219</v>
      </c>
      <c r="F654" t="inlineStr">
        <is>
          <t>NORRBOTTENS LÄN</t>
        </is>
      </c>
      <c r="G654" t="inlineStr">
        <is>
          <t>PITEÅ</t>
        </is>
      </c>
      <c r="I654" t="n">
        <v>2.2</v>
      </c>
      <c r="J654" t="n">
        <v>0</v>
      </c>
      <c r="K654" t="n">
        <v>0</v>
      </c>
      <c r="L654" t="n">
        <v>0</v>
      </c>
      <c r="M654" t="n">
        <v>0</v>
      </c>
      <c r="N654" t="n">
        <v>0</v>
      </c>
      <c r="O654" t="n">
        <v>0</v>
      </c>
      <c r="P654" t="n">
        <v>0</v>
      </c>
      <c r="Q654" t="n">
        <v>0</v>
      </c>
      <c r="R654" t="n">
        <v>0</v>
      </c>
      <c r="S654" t="n">
        <v>0</v>
      </c>
      <c r="T654" t="n">
        <v>0</v>
      </c>
      <c r="U654" s="2" t="inlineStr"/>
    </row>
    <row r="655" ht="15" customHeight="1">
      <c r="A655" t="inlineStr">
        <is>
          <t>A 14341-2024</t>
        </is>
      </c>
      <c r="B655" t="inlineStr">
        <is>
          <t>avverkningsanmälan</t>
        </is>
      </c>
      <c r="C655" t="inlineStr">
        <is>
          <t>Föryngringsavverkning</t>
        </is>
      </c>
      <c r="D655" s="1" t="n">
        <v>45393</v>
      </c>
      <c r="E655" s="1" t="n">
        <v>46219</v>
      </c>
      <c r="F655" t="inlineStr">
        <is>
          <t>NORRBOTTENS LÄN</t>
        </is>
      </c>
      <c r="G655" t="inlineStr">
        <is>
          <t>PITEÅ</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16758-2026</t>
        </is>
      </c>
      <c r="B656" t="inlineStr">
        <is>
          <t>avverkningsanmälan</t>
        </is>
      </c>
      <c r="C656" t="inlineStr">
        <is>
          <t>Föryngringsavverkning</t>
        </is>
      </c>
      <c r="D656" s="1" t="n">
        <v>46113</v>
      </c>
      <c r="E656" s="1" t="n">
        <v>46219</v>
      </c>
      <c r="F656" t="inlineStr">
        <is>
          <t>NORRBOTTENS LÄN</t>
        </is>
      </c>
      <c r="G656" t="inlineStr">
        <is>
          <t>PITEÅ</t>
        </is>
      </c>
      <c r="H656" t="inlineStr">
        <is>
          <t>SCA</t>
        </is>
      </c>
      <c r="I656" t="n">
        <v>29.7</v>
      </c>
      <c r="J656" t="n">
        <v>0</v>
      </c>
      <c r="K656" t="n">
        <v>0</v>
      </c>
      <c r="L656" t="n">
        <v>0</v>
      </c>
      <c r="M656" t="n">
        <v>0</v>
      </c>
      <c r="N656" t="n">
        <v>0</v>
      </c>
      <c r="O656" t="n">
        <v>0</v>
      </c>
      <c r="P656" t="n">
        <v>0</v>
      </c>
      <c r="Q656" t="n">
        <v>0</v>
      </c>
      <c r="R656" t="n">
        <v>0</v>
      </c>
      <c r="S656" t="n">
        <v>0</v>
      </c>
      <c r="T656" t="n">
        <v>0</v>
      </c>
      <c r="U656" s="2" t="inlineStr"/>
    </row>
    <row r="657" ht="15" customHeight="1">
      <c r="A657" t="inlineStr">
        <is>
          <t>A 52411-2022</t>
        </is>
      </c>
      <c r="B657" t="inlineStr">
        <is>
          <t>avverkningsanmälan</t>
        </is>
      </c>
      <c r="C657" t="inlineStr">
        <is>
          <t>Föryngringsavverkning</t>
        </is>
      </c>
      <c r="D657" s="1" t="n">
        <v>44874</v>
      </c>
      <c r="E657" s="1" t="n">
        <v>46219</v>
      </c>
      <c r="F657" t="inlineStr">
        <is>
          <t>NORRBOTTENS LÄN</t>
        </is>
      </c>
      <c r="G657" t="inlineStr">
        <is>
          <t>PITEÅ</t>
        </is>
      </c>
      <c r="H657" t="inlineStr">
        <is>
          <t>Sveaskog</t>
        </is>
      </c>
      <c r="I657" t="n">
        <v>4.2</v>
      </c>
      <c r="J657" t="n">
        <v>0</v>
      </c>
      <c r="K657" t="n">
        <v>0</v>
      </c>
      <c r="L657" t="n">
        <v>0</v>
      </c>
      <c r="M657" t="n">
        <v>0</v>
      </c>
      <c r="N657" t="n">
        <v>0</v>
      </c>
      <c r="O657" t="n">
        <v>0</v>
      </c>
      <c r="P657" t="n">
        <v>0</v>
      </c>
      <c r="Q657" t="n">
        <v>0</v>
      </c>
      <c r="R657" t="n">
        <v>0</v>
      </c>
      <c r="S657" t="n">
        <v>0</v>
      </c>
      <c r="T657" t="n">
        <v>0</v>
      </c>
      <c r="U657" s="2" t="inlineStr"/>
    </row>
    <row r="658" ht="15" customHeight="1">
      <c r="A658" t="inlineStr">
        <is>
          <t>A 10713-2023</t>
        </is>
      </c>
      <c r="B658" t="inlineStr">
        <is>
          <t>avverkningsanmälan</t>
        </is>
      </c>
      <c r="C658" t="inlineStr">
        <is>
          <t>Föryngringsavverkning</t>
        </is>
      </c>
      <c r="D658" s="1" t="n">
        <v>44984</v>
      </c>
      <c r="E658" s="1" t="n">
        <v>46219</v>
      </c>
      <c r="F658" t="inlineStr">
        <is>
          <t>NORRBOTTENS LÄN</t>
        </is>
      </c>
      <c r="G658" t="inlineStr">
        <is>
          <t>PITEÅ</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45713-2024</t>
        </is>
      </c>
      <c r="B659" t="inlineStr">
        <is>
          <t>avverkningsanmälan</t>
        </is>
      </c>
      <c r="C659" t="inlineStr">
        <is>
          <t>Föryngringsavverkning</t>
        </is>
      </c>
      <c r="D659" s="1" t="n">
        <v>45579</v>
      </c>
      <c r="E659" s="1" t="n">
        <v>46219</v>
      </c>
      <c r="F659" t="inlineStr">
        <is>
          <t>NORRBOTTENS LÄN</t>
        </is>
      </c>
      <c r="G659" t="inlineStr">
        <is>
          <t>PITEÅ</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45715-2024</t>
        </is>
      </c>
      <c r="B660" t="inlineStr">
        <is>
          <t>avverkningsanmälan</t>
        </is>
      </c>
      <c r="C660" t="inlineStr">
        <is>
          <t>Föryngringsavverkning</t>
        </is>
      </c>
      <c r="D660" s="1" t="n">
        <v>45579</v>
      </c>
      <c r="E660" s="1" t="n">
        <v>46219</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50559-2024</t>
        </is>
      </c>
      <c r="B661" t="inlineStr">
        <is>
          <t>avverkningsanmälan</t>
        </is>
      </c>
      <c r="C661" t="inlineStr">
        <is>
          <t>Föryngringsavverkning</t>
        </is>
      </c>
      <c r="D661" s="1" t="n">
        <v>45601</v>
      </c>
      <c r="E661" s="1" t="n">
        <v>46219</v>
      </c>
      <c r="F661" t="inlineStr">
        <is>
          <t>NORRBOTTENS LÄN</t>
        </is>
      </c>
      <c r="G661" t="inlineStr">
        <is>
          <t>PITEÅ</t>
        </is>
      </c>
      <c r="I661" t="n">
        <v>2.4</v>
      </c>
      <c r="J661" t="n">
        <v>0</v>
      </c>
      <c r="K661" t="n">
        <v>0</v>
      </c>
      <c r="L661" t="n">
        <v>0</v>
      </c>
      <c r="M661" t="n">
        <v>0</v>
      </c>
      <c r="N661" t="n">
        <v>0</v>
      </c>
      <c r="O661" t="n">
        <v>0</v>
      </c>
      <c r="P661" t="n">
        <v>0</v>
      </c>
      <c r="Q661" t="n">
        <v>0</v>
      </c>
      <c r="R661" t="n">
        <v>0</v>
      </c>
      <c r="S661" t="n">
        <v>0</v>
      </c>
      <c r="T661" t="n">
        <v>0</v>
      </c>
      <c r="U661" s="2" t="inlineStr"/>
    </row>
    <row r="662" ht="15" customHeight="1">
      <c r="A662" t="inlineStr">
        <is>
          <t>A 8267-2023</t>
        </is>
      </c>
      <c r="B662" t="inlineStr">
        <is>
          <t>avverkningsanmälan</t>
        </is>
      </c>
      <c r="C662" t="inlineStr">
        <is>
          <t>Föryngringsavverkning</t>
        </is>
      </c>
      <c r="D662" s="1" t="n">
        <v>44971</v>
      </c>
      <c r="E662" s="1" t="n">
        <v>46219</v>
      </c>
      <c r="F662" t="inlineStr">
        <is>
          <t>NORRBOTTENS LÄN</t>
        </is>
      </c>
      <c r="G662" t="inlineStr">
        <is>
          <t>PITEÅ</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16760-2026</t>
        </is>
      </c>
      <c r="B663" t="inlineStr">
        <is>
          <t>avverkningsanmälan</t>
        </is>
      </c>
      <c r="C663" t="inlineStr">
        <is>
          <t>Föryngringsavverkning</t>
        </is>
      </c>
      <c r="D663" s="1" t="n">
        <v>46113</v>
      </c>
      <c r="E663" s="1" t="n">
        <v>46219</v>
      </c>
      <c r="F663" t="inlineStr">
        <is>
          <t>NORRBOTTENS LÄN</t>
        </is>
      </c>
      <c r="G663" t="inlineStr">
        <is>
          <t>PITEÅ</t>
        </is>
      </c>
      <c r="H663" t="inlineStr">
        <is>
          <t>SCA</t>
        </is>
      </c>
      <c r="I663" t="n">
        <v>23.7</v>
      </c>
      <c r="J663" t="n">
        <v>0</v>
      </c>
      <c r="K663" t="n">
        <v>0</v>
      </c>
      <c r="L663" t="n">
        <v>0</v>
      </c>
      <c r="M663" t="n">
        <v>0</v>
      </c>
      <c r="N663" t="n">
        <v>0</v>
      </c>
      <c r="O663" t="n">
        <v>0</v>
      </c>
      <c r="P663" t="n">
        <v>0</v>
      </c>
      <c r="Q663" t="n">
        <v>0</v>
      </c>
      <c r="R663" t="n">
        <v>0</v>
      </c>
      <c r="S663" t="n">
        <v>0</v>
      </c>
      <c r="T663" t="n">
        <v>0</v>
      </c>
      <c r="U663" s="2" t="inlineStr"/>
    </row>
    <row r="664" ht="15" customHeight="1">
      <c r="A664" t="inlineStr">
        <is>
          <t>A 39606-2024</t>
        </is>
      </c>
      <c r="B664" t="inlineStr">
        <is>
          <t>avverkningsanmälan</t>
        </is>
      </c>
      <c r="C664" t="inlineStr">
        <is>
          <t>Avverkning för annat ändamål</t>
        </is>
      </c>
      <c r="D664" s="1" t="n">
        <v>45552</v>
      </c>
      <c r="E664" s="1" t="n">
        <v>46219</v>
      </c>
      <c r="F664" t="inlineStr">
        <is>
          <t>NORRBOTTENS LÄN</t>
        </is>
      </c>
      <c r="G664" t="inlineStr">
        <is>
          <t>PITEÅ</t>
        </is>
      </c>
      <c r="I664" t="n">
        <v>1.7</v>
      </c>
      <c r="J664" t="n">
        <v>0</v>
      </c>
      <c r="K664" t="n">
        <v>0</v>
      </c>
      <c r="L664" t="n">
        <v>0</v>
      </c>
      <c r="M664" t="n">
        <v>0</v>
      </c>
      <c r="N664" t="n">
        <v>0</v>
      </c>
      <c r="O664" t="n">
        <v>0</v>
      </c>
      <c r="P664" t="n">
        <v>0</v>
      </c>
      <c r="Q664" t="n">
        <v>0</v>
      </c>
      <c r="R664" t="n">
        <v>0</v>
      </c>
      <c r="S664" t="n">
        <v>0</v>
      </c>
      <c r="T664" t="n">
        <v>0</v>
      </c>
      <c r="U664" s="2" t="inlineStr"/>
    </row>
    <row r="665" ht="15" customHeight="1">
      <c r="A665" t="inlineStr">
        <is>
          <t>A 61469-2024</t>
        </is>
      </c>
      <c r="B665" t="inlineStr">
        <is>
          <t>avverkningsanmälan</t>
        </is>
      </c>
      <c r="C665" t="inlineStr">
        <is>
          <t>Föryngringsavverkning</t>
        </is>
      </c>
      <c r="D665" s="1" t="n">
        <v>45646</v>
      </c>
      <c r="E665" s="1" t="n">
        <v>46219</v>
      </c>
      <c r="F665" t="inlineStr">
        <is>
          <t>NORRBOTTENS LÄN</t>
        </is>
      </c>
      <c r="G665" t="inlineStr">
        <is>
          <t>PITEÅ</t>
        </is>
      </c>
      <c r="I665" t="n">
        <v>2</v>
      </c>
      <c r="J665" t="n">
        <v>0</v>
      </c>
      <c r="K665" t="n">
        <v>0</v>
      </c>
      <c r="L665" t="n">
        <v>0</v>
      </c>
      <c r="M665" t="n">
        <v>0</v>
      </c>
      <c r="N665" t="n">
        <v>0</v>
      </c>
      <c r="O665" t="n">
        <v>0</v>
      </c>
      <c r="P665" t="n">
        <v>0</v>
      </c>
      <c r="Q665" t="n">
        <v>0</v>
      </c>
      <c r="R665" t="n">
        <v>0</v>
      </c>
      <c r="S665" t="n">
        <v>0</v>
      </c>
      <c r="T665" t="n">
        <v>0</v>
      </c>
      <c r="U665" s="2" t="inlineStr"/>
    </row>
    <row r="666" ht="15" customHeight="1">
      <c r="A666" t="inlineStr">
        <is>
          <t>A 3071-2025</t>
        </is>
      </c>
      <c r="B666" t="inlineStr">
        <is>
          <t>avverkningsanmälan</t>
        </is>
      </c>
      <c r="C666" t="inlineStr">
        <is>
          <t>Föryngringsavverkning</t>
        </is>
      </c>
      <c r="D666" s="1" t="n">
        <v>45678</v>
      </c>
      <c r="E666" s="1" t="n">
        <v>46219</v>
      </c>
      <c r="F666" t="inlineStr">
        <is>
          <t>NORRBOTTENS LÄN</t>
        </is>
      </c>
      <c r="G666" t="inlineStr">
        <is>
          <t>PITEÅ</t>
        </is>
      </c>
      <c r="I666" t="n">
        <v>3.2</v>
      </c>
      <c r="J666" t="n">
        <v>0</v>
      </c>
      <c r="K666" t="n">
        <v>0</v>
      </c>
      <c r="L666" t="n">
        <v>0</v>
      </c>
      <c r="M666" t="n">
        <v>0</v>
      </c>
      <c r="N666" t="n">
        <v>0</v>
      </c>
      <c r="O666" t="n">
        <v>0</v>
      </c>
      <c r="P666" t="n">
        <v>0</v>
      </c>
      <c r="Q666" t="n">
        <v>0</v>
      </c>
      <c r="R666" t="n">
        <v>0</v>
      </c>
      <c r="S666" t="n">
        <v>0</v>
      </c>
      <c r="T666" t="n">
        <v>0</v>
      </c>
      <c r="U666" s="2" t="inlineStr"/>
    </row>
    <row r="667" ht="15" customHeight="1">
      <c r="A667" t="inlineStr">
        <is>
          <t>A 69537-2021</t>
        </is>
      </c>
      <c r="B667" t="inlineStr">
        <is>
          <t>avverkningsanmälan</t>
        </is>
      </c>
      <c r="C667" t="inlineStr">
        <is>
          <t>Föryngringsavverkning</t>
        </is>
      </c>
      <c r="D667" s="1" t="n">
        <v>44531</v>
      </c>
      <c r="E667" s="1" t="n">
        <v>46219</v>
      </c>
      <c r="F667" t="inlineStr">
        <is>
          <t>NORRBOTTENS LÄN</t>
        </is>
      </c>
      <c r="G667" t="inlineStr">
        <is>
          <t>PITEÅ</t>
        </is>
      </c>
      <c r="I667" t="n">
        <v>4.9</v>
      </c>
      <c r="J667" t="n">
        <v>0</v>
      </c>
      <c r="K667" t="n">
        <v>0</v>
      </c>
      <c r="L667" t="n">
        <v>0</v>
      </c>
      <c r="M667" t="n">
        <v>0</v>
      </c>
      <c r="N667" t="n">
        <v>0</v>
      </c>
      <c r="O667" t="n">
        <v>0</v>
      </c>
      <c r="P667" t="n">
        <v>0</v>
      </c>
      <c r="Q667" t="n">
        <v>0</v>
      </c>
      <c r="R667" t="n">
        <v>0</v>
      </c>
      <c r="S667" t="n">
        <v>0</v>
      </c>
      <c r="T667" t="n">
        <v>0</v>
      </c>
      <c r="U667" s="2" t="inlineStr"/>
    </row>
    <row r="668" ht="15" customHeight="1">
      <c r="A668" t="inlineStr">
        <is>
          <t>A 26482-2025</t>
        </is>
      </c>
      <c r="B668" t="inlineStr">
        <is>
          <t>avverkningsanmälan</t>
        </is>
      </c>
      <c r="C668" t="inlineStr">
        <is>
          <t>Föryngringsavverkning</t>
        </is>
      </c>
      <c r="D668" s="1" t="n">
        <v>45807</v>
      </c>
      <c r="E668" s="1" t="n">
        <v>46219</v>
      </c>
      <c r="F668" t="inlineStr">
        <is>
          <t>NORRBOTTENS LÄN</t>
        </is>
      </c>
      <c r="G668" t="inlineStr">
        <is>
          <t>PITEÅ</t>
        </is>
      </c>
      <c r="I668" t="n">
        <v>3.4</v>
      </c>
      <c r="J668" t="n">
        <v>0</v>
      </c>
      <c r="K668" t="n">
        <v>0</v>
      </c>
      <c r="L668" t="n">
        <v>0</v>
      </c>
      <c r="M668" t="n">
        <v>0</v>
      </c>
      <c r="N668" t="n">
        <v>0</v>
      </c>
      <c r="O668" t="n">
        <v>0</v>
      </c>
      <c r="P668" t="n">
        <v>0</v>
      </c>
      <c r="Q668" t="n">
        <v>0</v>
      </c>
      <c r="R668" t="n">
        <v>0</v>
      </c>
      <c r="S668" t="n">
        <v>0</v>
      </c>
      <c r="T668" t="n">
        <v>0</v>
      </c>
      <c r="U668" s="2" t="inlineStr"/>
    </row>
    <row r="669" ht="15" customHeight="1">
      <c r="A669" t="inlineStr">
        <is>
          <t>A 61462-2024</t>
        </is>
      </c>
      <c r="B669" t="inlineStr">
        <is>
          <t>avverkningsanmälan</t>
        </is>
      </c>
      <c r="C669" t="inlineStr">
        <is>
          <t>Föryngringsavverkning</t>
        </is>
      </c>
      <c r="D669" s="1" t="n">
        <v>45646</v>
      </c>
      <c r="E669" s="1" t="n">
        <v>46219</v>
      </c>
      <c r="F669" t="inlineStr">
        <is>
          <t>NORRBOTTENS LÄN</t>
        </is>
      </c>
      <c r="G669" t="inlineStr">
        <is>
          <t>PITEÅ</t>
        </is>
      </c>
      <c r="I669" t="n">
        <v>5.2</v>
      </c>
      <c r="J669" t="n">
        <v>0</v>
      </c>
      <c r="K669" t="n">
        <v>0</v>
      </c>
      <c r="L669" t="n">
        <v>0</v>
      </c>
      <c r="M669" t="n">
        <v>0</v>
      </c>
      <c r="N669" t="n">
        <v>0</v>
      </c>
      <c r="O669" t="n">
        <v>0</v>
      </c>
      <c r="P669" t="n">
        <v>0</v>
      </c>
      <c r="Q669" t="n">
        <v>0</v>
      </c>
      <c r="R669" t="n">
        <v>0</v>
      </c>
      <c r="S669" t="n">
        <v>0</v>
      </c>
      <c r="T669" t="n">
        <v>0</v>
      </c>
      <c r="U669" s="2" t="inlineStr"/>
    </row>
    <row r="670" ht="15" customHeight="1">
      <c r="A670" t="inlineStr">
        <is>
          <t>A 41173-2024</t>
        </is>
      </c>
      <c r="B670" t="inlineStr">
        <is>
          <t>avverkningsanmälan</t>
        </is>
      </c>
      <c r="C670" t="inlineStr">
        <is>
          <t>Föryngringsavverkning</t>
        </is>
      </c>
      <c r="D670" s="1" t="n">
        <v>45559</v>
      </c>
      <c r="E670" s="1" t="n">
        <v>46219</v>
      </c>
      <c r="F670" t="inlineStr">
        <is>
          <t>NORRBOTTENS LÄN</t>
        </is>
      </c>
      <c r="G670" t="inlineStr">
        <is>
          <t>PITEÅ</t>
        </is>
      </c>
      <c r="I670" t="n">
        <v>2.5</v>
      </c>
      <c r="J670" t="n">
        <v>0</v>
      </c>
      <c r="K670" t="n">
        <v>0</v>
      </c>
      <c r="L670" t="n">
        <v>0</v>
      </c>
      <c r="M670" t="n">
        <v>0</v>
      </c>
      <c r="N670" t="n">
        <v>0</v>
      </c>
      <c r="O670" t="n">
        <v>0</v>
      </c>
      <c r="P670" t="n">
        <v>0</v>
      </c>
      <c r="Q670" t="n">
        <v>0</v>
      </c>
      <c r="R670" t="n">
        <v>0</v>
      </c>
      <c r="S670" t="n">
        <v>0</v>
      </c>
      <c r="T670" t="n">
        <v>0</v>
      </c>
      <c r="U670" s="2" t="inlineStr"/>
    </row>
    <row r="671" ht="15" customHeight="1">
      <c r="A671" t="inlineStr">
        <is>
          <t>A 67904-2021</t>
        </is>
      </c>
      <c r="B671" t="inlineStr">
        <is>
          <t>avverkningsanmälan</t>
        </is>
      </c>
      <c r="C671" t="inlineStr">
        <is>
          <t>Föryngringsavverkning</t>
        </is>
      </c>
      <c r="D671" s="1" t="n">
        <v>44525</v>
      </c>
      <c r="E671" s="1" t="n">
        <v>46219</v>
      </c>
      <c r="F671" t="inlineStr">
        <is>
          <t>NORRBOTTENS LÄN</t>
        </is>
      </c>
      <c r="G671" t="inlineStr">
        <is>
          <t>PITEÅ</t>
        </is>
      </c>
      <c r="I671" t="n">
        <v>12.7</v>
      </c>
      <c r="J671" t="n">
        <v>0</v>
      </c>
      <c r="K671" t="n">
        <v>0</v>
      </c>
      <c r="L671" t="n">
        <v>0</v>
      </c>
      <c r="M671" t="n">
        <v>0</v>
      </c>
      <c r="N671" t="n">
        <v>0</v>
      </c>
      <c r="O671" t="n">
        <v>0</v>
      </c>
      <c r="P671" t="n">
        <v>0</v>
      </c>
      <c r="Q671" t="n">
        <v>0</v>
      </c>
      <c r="R671" t="n">
        <v>0</v>
      </c>
      <c r="S671" t="n">
        <v>0</v>
      </c>
      <c r="T671" t="n">
        <v>0</v>
      </c>
      <c r="U671" s="2" t="inlineStr"/>
    </row>
    <row r="672" ht="15" customHeight="1">
      <c r="A672" t="inlineStr">
        <is>
          <t>A 46944-2024</t>
        </is>
      </c>
      <c r="B672" t="inlineStr">
        <is>
          <t>avverkningsanmälan</t>
        </is>
      </c>
      <c r="C672" t="inlineStr">
        <is>
          <t>Föryngringsavverkning</t>
        </is>
      </c>
      <c r="D672" s="1" t="n">
        <v>45585</v>
      </c>
      <c r="E672" s="1" t="n">
        <v>46219</v>
      </c>
      <c r="F672" t="inlineStr">
        <is>
          <t>NORRBOTTENS LÄN</t>
        </is>
      </c>
      <c r="G672" t="inlineStr">
        <is>
          <t>PITEÅ</t>
        </is>
      </c>
      <c r="I672" t="n">
        <v>1.7</v>
      </c>
      <c r="J672" t="n">
        <v>0</v>
      </c>
      <c r="K672" t="n">
        <v>0</v>
      </c>
      <c r="L672" t="n">
        <v>0</v>
      </c>
      <c r="M672" t="n">
        <v>0</v>
      </c>
      <c r="N672" t="n">
        <v>0</v>
      </c>
      <c r="O672" t="n">
        <v>0</v>
      </c>
      <c r="P672" t="n">
        <v>0</v>
      </c>
      <c r="Q672" t="n">
        <v>0</v>
      </c>
      <c r="R672" t="n">
        <v>0</v>
      </c>
      <c r="S672" t="n">
        <v>0</v>
      </c>
      <c r="T672" t="n">
        <v>0</v>
      </c>
      <c r="U672" s="2" t="inlineStr"/>
    </row>
    <row r="673" ht="15" customHeight="1">
      <c r="A673" t="inlineStr">
        <is>
          <t>A 38406-2024</t>
        </is>
      </c>
      <c r="B673" t="inlineStr">
        <is>
          <t>avverkningsanmälan</t>
        </is>
      </c>
      <c r="C673" t="inlineStr">
        <is>
          <t>Föryngringsavverkning</t>
        </is>
      </c>
      <c r="D673" s="1" t="n">
        <v>45546</v>
      </c>
      <c r="E673" s="1" t="n">
        <v>46219</v>
      </c>
      <c r="F673" t="inlineStr">
        <is>
          <t>NORRBOTTENS LÄN</t>
        </is>
      </c>
      <c r="G673" t="inlineStr">
        <is>
          <t>PITEÅ</t>
        </is>
      </c>
      <c r="H673" t="inlineStr">
        <is>
          <t>SCA</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43383-2024</t>
        </is>
      </c>
      <c r="B674" t="inlineStr">
        <is>
          <t>avverkningsanmälan</t>
        </is>
      </c>
      <c r="C674" t="inlineStr">
        <is>
          <t>Föryngringsavverkning</t>
        </is>
      </c>
      <c r="D674" s="1" t="n">
        <v>45568</v>
      </c>
      <c r="E674" s="1" t="n">
        <v>46219</v>
      </c>
      <c r="F674" t="inlineStr">
        <is>
          <t>NORRBOTTENS LÄN</t>
        </is>
      </c>
      <c r="G674" t="inlineStr">
        <is>
          <t>PITEÅ</t>
        </is>
      </c>
      <c r="I674" t="n">
        <v>2.7</v>
      </c>
      <c r="J674" t="n">
        <v>0</v>
      </c>
      <c r="K674" t="n">
        <v>0</v>
      </c>
      <c r="L674" t="n">
        <v>0</v>
      </c>
      <c r="M674" t="n">
        <v>0</v>
      </c>
      <c r="N674" t="n">
        <v>0</v>
      </c>
      <c r="O674" t="n">
        <v>0</v>
      </c>
      <c r="P674" t="n">
        <v>0</v>
      </c>
      <c r="Q674" t="n">
        <v>0</v>
      </c>
      <c r="R674" t="n">
        <v>0</v>
      </c>
      <c r="S674" t="n">
        <v>0</v>
      </c>
      <c r="T674" t="n">
        <v>0</v>
      </c>
      <c r="U674" s="2" t="inlineStr"/>
    </row>
    <row r="675" ht="15" customHeight="1">
      <c r="A675" t="inlineStr">
        <is>
          <t>A 17797-2026</t>
        </is>
      </c>
      <c r="B675" t="inlineStr">
        <is>
          <t>avverkningsanmälan</t>
        </is>
      </c>
      <c r="C675" t="inlineStr">
        <is>
          <t>Föryngringsavverkning</t>
        </is>
      </c>
      <c r="D675" s="1" t="n">
        <v>46122</v>
      </c>
      <c r="E675" s="1" t="n">
        <v>46219</v>
      </c>
      <c r="F675" t="inlineStr">
        <is>
          <t>NORRBOTTENS LÄN</t>
        </is>
      </c>
      <c r="G675" t="inlineStr">
        <is>
          <t>PITEÅ</t>
        </is>
      </c>
      <c r="I675" t="n">
        <v>5.2</v>
      </c>
      <c r="J675" t="n">
        <v>0</v>
      </c>
      <c r="K675" t="n">
        <v>0</v>
      </c>
      <c r="L675" t="n">
        <v>0</v>
      </c>
      <c r="M675" t="n">
        <v>0</v>
      </c>
      <c r="N675" t="n">
        <v>0</v>
      </c>
      <c r="O675" t="n">
        <v>0</v>
      </c>
      <c r="P675" t="n">
        <v>0</v>
      </c>
      <c r="Q675" t="n">
        <v>0</v>
      </c>
      <c r="R675" t="n">
        <v>0</v>
      </c>
      <c r="S675" t="n">
        <v>0</v>
      </c>
      <c r="T675" t="n">
        <v>0</v>
      </c>
      <c r="U675" s="2" t="inlineStr"/>
    </row>
    <row r="676" ht="15" customHeight="1">
      <c r="A676" t="inlineStr">
        <is>
          <t>A 18298-2026</t>
        </is>
      </c>
      <c r="B676" t="inlineStr">
        <is>
          <t>avverkningsanmälan</t>
        </is>
      </c>
      <c r="C676" t="inlineStr">
        <is>
          <t>Föryngringsavverkning</t>
        </is>
      </c>
      <c r="D676" s="1" t="n">
        <v>46126</v>
      </c>
      <c r="E676" s="1" t="n">
        <v>46219</v>
      </c>
      <c r="F676" t="inlineStr">
        <is>
          <t>NORRBOTTENS LÄN</t>
        </is>
      </c>
      <c r="G676" t="inlineStr">
        <is>
          <t>PITEÅ</t>
        </is>
      </c>
      <c r="I676" t="n">
        <v>3.7</v>
      </c>
      <c r="J676" t="n">
        <v>0</v>
      </c>
      <c r="K676" t="n">
        <v>0</v>
      </c>
      <c r="L676" t="n">
        <v>0</v>
      </c>
      <c r="M676" t="n">
        <v>0</v>
      </c>
      <c r="N676" t="n">
        <v>0</v>
      </c>
      <c r="O676" t="n">
        <v>0</v>
      </c>
      <c r="P676" t="n">
        <v>0</v>
      </c>
      <c r="Q676" t="n">
        <v>0</v>
      </c>
      <c r="R676" t="n">
        <v>0</v>
      </c>
      <c r="S676" t="n">
        <v>0</v>
      </c>
      <c r="T676" t="n">
        <v>0</v>
      </c>
      <c r="U676" s="2" t="inlineStr"/>
    </row>
    <row r="677" ht="15" customHeight="1">
      <c r="A677" t="inlineStr">
        <is>
          <t>A 18307-2026</t>
        </is>
      </c>
      <c r="B677" t="inlineStr">
        <is>
          <t>avverkningsanmälan</t>
        </is>
      </c>
      <c r="C677" t="inlineStr">
        <is>
          <t>Föryngringsavverkning</t>
        </is>
      </c>
      <c r="D677" s="1" t="n">
        <v>46126</v>
      </c>
      <c r="E677" s="1" t="n">
        <v>46219</v>
      </c>
      <c r="F677" t="inlineStr">
        <is>
          <t>NORRBOTTENS LÄN</t>
        </is>
      </c>
      <c r="G677" t="inlineStr">
        <is>
          <t>PITEÅ</t>
        </is>
      </c>
      <c r="H677" t="inlineStr">
        <is>
          <t>Övriga Aktiebolag</t>
        </is>
      </c>
      <c r="I677" t="n">
        <v>2.5</v>
      </c>
      <c r="J677" t="n">
        <v>0</v>
      </c>
      <c r="K677" t="n">
        <v>0</v>
      </c>
      <c r="L677" t="n">
        <v>0</v>
      </c>
      <c r="M677" t="n">
        <v>0</v>
      </c>
      <c r="N677" t="n">
        <v>0</v>
      </c>
      <c r="O677" t="n">
        <v>0</v>
      </c>
      <c r="P677" t="n">
        <v>0</v>
      </c>
      <c r="Q677" t="n">
        <v>0</v>
      </c>
      <c r="R677" t="n">
        <v>0</v>
      </c>
      <c r="S677" t="n">
        <v>0</v>
      </c>
      <c r="T677" t="n">
        <v>0</v>
      </c>
      <c r="U677" s="2" t="inlineStr"/>
    </row>
    <row r="678" ht="15" customHeight="1">
      <c r="A678" t="inlineStr">
        <is>
          <t>A 28742-2025</t>
        </is>
      </c>
      <c r="B678" t="inlineStr">
        <is>
          <t>avverkningsanmälan</t>
        </is>
      </c>
      <c r="C678" t="inlineStr">
        <is>
          <t>Föryngringsavverkning</t>
        </is>
      </c>
      <c r="D678" s="1" t="n">
        <v>45820</v>
      </c>
      <c r="E678" s="1" t="n">
        <v>46219</v>
      </c>
      <c r="F678" t="inlineStr">
        <is>
          <t>NORRBOTTENS LÄN</t>
        </is>
      </c>
      <c r="G678" t="inlineStr">
        <is>
          <t>PITEÅ</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17851-2024</t>
        </is>
      </c>
      <c r="B679" t="inlineStr">
        <is>
          <t>avverkningsanmälan</t>
        </is>
      </c>
      <c r="C679" t="inlineStr">
        <is>
          <t>Föryngringsavverkning</t>
        </is>
      </c>
      <c r="D679" s="1" t="n">
        <v>45419</v>
      </c>
      <c r="E679" s="1" t="n">
        <v>46219</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9193-2022</t>
        </is>
      </c>
      <c r="B680" t="inlineStr">
        <is>
          <t>avverkningsanmälan</t>
        </is>
      </c>
      <c r="C680" t="inlineStr">
        <is>
          <t>Föryngringsavverkning</t>
        </is>
      </c>
      <c r="D680" s="1" t="n">
        <v>44615</v>
      </c>
      <c r="E680" s="1" t="n">
        <v>46219</v>
      </c>
      <c r="F680" t="inlineStr">
        <is>
          <t>NORRBOTTENS LÄN</t>
        </is>
      </c>
      <c r="G680" t="inlineStr">
        <is>
          <t>PITEÅ</t>
        </is>
      </c>
      <c r="I680" t="n">
        <v>4.7</v>
      </c>
      <c r="J680" t="n">
        <v>0</v>
      </c>
      <c r="K680" t="n">
        <v>0</v>
      </c>
      <c r="L680" t="n">
        <v>0</v>
      </c>
      <c r="M680" t="n">
        <v>0</v>
      </c>
      <c r="N680" t="n">
        <v>0</v>
      </c>
      <c r="O680" t="n">
        <v>0</v>
      </c>
      <c r="P680" t="n">
        <v>0</v>
      </c>
      <c r="Q680" t="n">
        <v>0</v>
      </c>
      <c r="R680" t="n">
        <v>0</v>
      </c>
      <c r="S680" t="n">
        <v>0</v>
      </c>
      <c r="T680" t="n">
        <v>0</v>
      </c>
      <c r="U680" s="2" t="inlineStr"/>
    </row>
    <row r="681" ht="15" customHeight="1">
      <c r="A681" t="inlineStr">
        <is>
          <t>A 28840-2025</t>
        </is>
      </c>
      <c r="B681" t="inlineStr">
        <is>
          <t>avverkningsanmälan</t>
        </is>
      </c>
      <c r="C681" t="inlineStr">
        <is>
          <t>Föryngringsavverkning</t>
        </is>
      </c>
      <c r="D681" s="1" t="n">
        <v>45820</v>
      </c>
      <c r="E681" s="1" t="n">
        <v>46219</v>
      </c>
      <c r="F681" t="inlineStr">
        <is>
          <t>NORRBOTTENS LÄN</t>
        </is>
      </c>
      <c r="G681" t="inlineStr">
        <is>
          <t>PITEÅ</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60082-2024</t>
        </is>
      </c>
      <c r="B682" t="inlineStr">
        <is>
          <t>avverkningsanmälan</t>
        </is>
      </c>
      <c r="C682" t="inlineStr">
        <is>
          <t>Föryngringsavverkning</t>
        </is>
      </c>
      <c r="D682" s="1" t="n">
        <v>45642</v>
      </c>
      <c r="E682" s="1" t="n">
        <v>46219</v>
      </c>
      <c r="F682" t="inlineStr">
        <is>
          <t>NORRBOTTENS LÄN</t>
        </is>
      </c>
      <c r="G682" t="inlineStr">
        <is>
          <t>PITEÅ</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29452-2025</t>
        </is>
      </c>
      <c r="B683" t="inlineStr">
        <is>
          <t>avverkningsanmälan</t>
        </is>
      </c>
      <c r="C683" t="inlineStr">
        <is>
          <t>Föryngringsavverkning</t>
        </is>
      </c>
      <c r="D683" s="1" t="n">
        <v>45824</v>
      </c>
      <c r="E683" s="1" t="n">
        <v>46219</v>
      </c>
      <c r="F683" t="inlineStr">
        <is>
          <t>NORRBOTTENS LÄN</t>
        </is>
      </c>
      <c r="G683" t="inlineStr">
        <is>
          <t>PITEÅ</t>
        </is>
      </c>
      <c r="H683" t="inlineStr">
        <is>
          <t>Övriga Aktiebolag</t>
        </is>
      </c>
      <c r="I683" t="n">
        <v>3.6</v>
      </c>
      <c r="J683" t="n">
        <v>0</v>
      </c>
      <c r="K683" t="n">
        <v>0</v>
      </c>
      <c r="L683" t="n">
        <v>0</v>
      </c>
      <c r="M683" t="n">
        <v>0</v>
      </c>
      <c r="N683" t="n">
        <v>0</v>
      </c>
      <c r="O683" t="n">
        <v>0</v>
      </c>
      <c r="P683" t="n">
        <v>0</v>
      </c>
      <c r="Q683" t="n">
        <v>0</v>
      </c>
      <c r="R683" t="n">
        <v>0</v>
      </c>
      <c r="S683" t="n">
        <v>0</v>
      </c>
      <c r="T683" t="n">
        <v>0</v>
      </c>
      <c r="U683" s="2" t="inlineStr"/>
    </row>
    <row r="684" ht="15" customHeight="1">
      <c r="A684" t="inlineStr">
        <is>
          <t>A 43298-2021</t>
        </is>
      </c>
      <c r="B684" t="inlineStr">
        <is>
          <t>avverkningsanmälan</t>
        </is>
      </c>
      <c r="C684" t="inlineStr">
        <is>
          <t>Avverkning för annat ändamål</t>
        </is>
      </c>
      <c r="D684" s="1" t="n">
        <v>44432</v>
      </c>
      <c r="E684" s="1" t="n">
        <v>46219</v>
      </c>
      <c r="F684" t="inlineStr">
        <is>
          <t>NORRBOTTENS LÄN</t>
        </is>
      </c>
      <c r="G684" t="inlineStr">
        <is>
          <t>PITEÅ</t>
        </is>
      </c>
      <c r="I684" t="n">
        <v>1.8</v>
      </c>
      <c r="J684" t="n">
        <v>0</v>
      </c>
      <c r="K684" t="n">
        <v>0</v>
      </c>
      <c r="L684" t="n">
        <v>0</v>
      </c>
      <c r="M684" t="n">
        <v>0</v>
      </c>
      <c r="N684" t="n">
        <v>0</v>
      </c>
      <c r="O684" t="n">
        <v>0</v>
      </c>
      <c r="P684" t="n">
        <v>0</v>
      </c>
      <c r="Q684" t="n">
        <v>0</v>
      </c>
      <c r="R684" t="n">
        <v>0</v>
      </c>
      <c r="S684" t="n">
        <v>0</v>
      </c>
      <c r="T684" t="n">
        <v>0</v>
      </c>
      <c r="U684" s="2" t="inlineStr"/>
    </row>
    <row r="685" ht="15" customHeight="1">
      <c r="A685" t="inlineStr">
        <is>
          <t>A 25495-2026</t>
        </is>
      </c>
      <c r="B685" t="inlineStr">
        <is>
          <t>avverkningsanmälan</t>
        </is>
      </c>
      <c r="C685" t="inlineStr">
        <is>
          <t>Föryngringsavverkning</t>
        </is>
      </c>
      <c r="D685" s="1" t="n">
        <v>46177</v>
      </c>
      <c r="E685" s="1" t="n">
        <v>46219</v>
      </c>
      <c r="F685" t="inlineStr">
        <is>
          <t>NORRBOTTENS LÄN</t>
        </is>
      </c>
      <c r="G685" t="inlineStr">
        <is>
          <t>PITEÅ</t>
        </is>
      </c>
      <c r="I685" t="n">
        <v>7.6</v>
      </c>
      <c r="J685" t="n">
        <v>0</v>
      </c>
      <c r="K685" t="n">
        <v>0</v>
      </c>
      <c r="L685" t="n">
        <v>0</v>
      </c>
      <c r="M685" t="n">
        <v>0</v>
      </c>
      <c r="N685" t="n">
        <v>0</v>
      </c>
      <c r="O685" t="n">
        <v>0</v>
      </c>
      <c r="P685" t="n">
        <v>0</v>
      </c>
      <c r="Q685" t="n">
        <v>0</v>
      </c>
      <c r="R685" t="n">
        <v>0</v>
      </c>
      <c r="S685" t="n">
        <v>0</v>
      </c>
      <c r="T685" t="n">
        <v>0</v>
      </c>
      <c r="U685" s="2" t="inlineStr"/>
    </row>
    <row r="686" ht="15" customHeight="1">
      <c r="A686" t="inlineStr">
        <is>
          <t>A 19816-2026</t>
        </is>
      </c>
      <c r="B686" t="inlineStr">
        <is>
          <t>avverkningsanmälan</t>
        </is>
      </c>
      <c r="C686" t="inlineStr">
        <is>
          <t>Avverkning för annat ändamål</t>
        </is>
      </c>
      <c r="D686" s="1" t="n">
        <v>46135</v>
      </c>
      <c r="E686" s="1" t="n">
        <v>46219</v>
      </c>
      <c r="F686" t="inlineStr">
        <is>
          <t>NORRBOTTENS LÄN</t>
        </is>
      </c>
      <c r="G686" t="inlineStr">
        <is>
          <t>PITEÅ</t>
        </is>
      </c>
      <c r="H686" t="inlineStr">
        <is>
          <t>Sveaskog</t>
        </is>
      </c>
      <c r="I686" t="n">
        <v>4.9</v>
      </c>
      <c r="J686" t="n">
        <v>0</v>
      </c>
      <c r="K686" t="n">
        <v>0</v>
      </c>
      <c r="L686" t="n">
        <v>0</v>
      </c>
      <c r="M686" t="n">
        <v>0</v>
      </c>
      <c r="N686" t="n">
        <v>0</v>
      </c>
      <c r="O686" t="n">
        <v>0</v>
      </c>
      <c r="P686" t="n">
        <v>0</v>
      </c>
      <c r="Q686" t="n">
        <v>0</v>
      </c>
      <c r="R686" t="n">
        <v>0</v>
      </c>
      <c r="S686" t="n">
        <v>0</v>
      </c>
      <c r="T686" t="n">
        <v>0</v>
      </c>
      <c r="U686" s="2" t="inlineStr"/>
    </row>
    <row r="687" ht="15" customHeight="1">
      <c r="A687" t="inlineStr">
        <is>
          <t>A 51350-2024</t>
        </is>
      </c>
      <c r="B687" t="inlineStr">
        <is>
          <t>avverkningsanmälan</t>
        </is>
      </c>
      <c r="C687" t="inlineStr">
        <is>
          <t>Föryngringsavverkning</t>
        </is>
      </c>
      <c r="D687" s="1" t="n">
        <v>45604</v>
      </c>
      <c r="E687" s="1" t="n">
        <v>46219</v>
      </c>
      <c r="F687" t="inlineStr">
        <is>
          <t>NORRBOTTENS LÄN</t>
        </is>
      </c>
      <c r="G687" t="inlineStr">
        <is>
          <t>PITEÅ</t>
        </is>
      </c>
      <c r="I687" t="n">
        <v>4.5</v>
      </c>
      <c r="J687" t="n">
        <v>0</v>
      </c>
      <c r="K687" t="n">
        <v>0</v>
      </c>
      <c r="L687" t="n">
        <v>0</v>
      </c>
      <c r="M687" t="n">
        <v>0</v>
      </c>
      <c r="N687" t="n">
        <v>0</v>
      </c>
      <c r="O687" t="n">
        <v>0</v>
      </c>
      <c r="P687" t="n">
        <v>0</v>
      </c>
      <c r="Q687" t="n">
        <v>0</v>
      </c>
      <c r="R687" t="n">
        <v>0</v>
      </c>
      <c r="S687" t="n">
        <v>0</v>
      </c>
      <c r="T687" t="n">
        <v>0</v>
      </c>
      <c r="U687" s="2" t="inlineStr"/>
    </row>
    <row r="688" ht="15" customHeight="1">
      <c r="A688" t="inlineStr">
        <is>
          <t>A 3220-2024</t>
        </is>
      </c>
      <c r="B688" t="inlineStr">
        <is>
          <t>avverkningsanmälan</t>
        </is>
      </c>
      <c r="C688" t="inlineStr">
        <is>
          <t>Föryngringsavverkning</t>
        </is>
      </c>
      <c r="D688" s="1" t="n">
        <v>45316</v>
      </c>
      <c r="E688" s="1" t="n">
        <v>46219</v>
      </c>
      <c r="F688" t="inlineStr">
        <is>
          <t>NORRBOTTENS LÄN</t>
        </is>
      </c>
      <c r="G688" t="inlineStr">
        <is>
          <t>PITEÅ</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25768-2026</t>
        </is>
      </c>
      <c r="B689" t="inlineStr">
        <is>
          <t>avverkningsanmälan</t>
        </is>
      </c>
      <c r="C689" t="inlineStr">
        <is>
          <t>Föryngringsavverkning</t>
        </is>
      </c>
      <c r="D689" s="1" t="n">
        <v>46178</v>
      </c>
      <c r="E689" s="1" t="n">
        <v>46219</v>
      </c>
      <c r="F689" t="inlineStr">
        <is>
          <t>NORRBOTTENS LÄN</t>
        </is>
      </c>
      <c r="G689" t="inlineStr">
        <is>
          <t>PITEÅ</t>
        </is>
      </c>
      <c r="H689" t="inlineStr">
        <is>
          <t>Sveaskog</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20121-2026</t>
        </is>
      </c>
      <c r="B690" t="inlineStr">
        <is>
          <t>avverkningsanmälan</t>
        </is>
      </c>
      <c r="C690" t="inlineStr">
        <is>
          <t>Föryngringsavverkning</t>
        </is>
      </c>
      <c r="D690" s="1" t="n">
        <v>46136</v>
      </c>
      <c r="E690" s="1" t="n">
        <v>46219</v>
      </c>
      <c r="F690" t="inlineStr">
        <is>
          <t>NORRBOTTENS LÄN</t>
        </is>
      </c>
      <c r="G690" t="inlineStr">
        <is>
          <t>PITEÅ</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29768-2025</t>
        </is>
      </c>
      <c r="B691" t="inlineStr">
        <is>
          <t>avverkningsanmälan</t>
        </is>
      </c>
      <c r="C691" t="inlineStr">
        <is>
          <t>Föryngringsavverkning</t>
        </is>
      </c>
      <c r="D691" s="1" t="n">
        <v>45825</v>
      </c>
      <c r="E691" s="1" t="n">
        <v>46219</v>
      </c>
      <c r="F691" t="inlineStr">
        <is>
          <t>NORRBOTTENS LÄN</t>
        </is>
      </c>
      <c r="G691" t="inlineStr">
        <is>
          <t>PITEÅ</t>
        </is>
      </c>
      <c r="H691" t="inlineStr">
        <is>
          <t>SCA</t>
        </is>
      </c>
      <c r="I691" t="n">
        <v>1.5</v>
      </c>
      <c r="J691" t="n">
        <v>0</v>
      </c>
      <c r="K691" t="n">
        <v>0</v>
      </c>
      <c r="L691" t="n">
        <v>0</v>
      </c>
      <c r="M691" t="n">
        <v>0</v>
      </c>
      <c r="N691" t="n">
        <v>0</v>
      </c>
      <c r="O691" t="n">
        <v>0</v>
      </c>
      <c r="P691" t="n">
        <v>0</v>
      </c>
      <c r="Q691" t="n">
        <v>0</v>
      </c>
      <c r="R691" t="n">
        <v>0</v>
      </c>
      <c r="S691" t="n">
        <v>0</v>
      </c>
      <c r="T691" t="n">
        <v>0</v>
      </c>
      <c r="U691" s="2" t="inlineStr"/>
    </row>
    <row r="692" ht="15" customHeight="1">
      <c r="A692" t="inlineStr">
        <is>
          <t>A 19847-2026</t>
        </is>
      </c>
      <c r="B692" t="inlineStr">
        <is>
          <t>avverkningsanmälan</t>
        </is>
      </c>
      <c r="C692" t="inlineStr">
        <is>
          <t>Föryngringsavverkning</t>
        </is>
      </c>
      <c r="D692" s="1" t="n">
        <v>46135</v>
      </c>
      <c r="E692" s="1" t="n">
        <v>46219</v>
      </c>
      <c r="F692" t="inlineStr">
        <is>
          <t>NORRBOTTENS LÄN</t>
        </is>
      </c>
      <c r="G692" t="inlineStr">
        <is>
          <t>PITEÅ</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41760-2023</t>
        </is>
      </c>
      <c r="B693" t="inlineStr">
        <is>
          <t>avverkningsanmälan</t>
        </is>
      </c>
      <c r="C693" t="inlineStr">
        <is>
          <t>Föryngringsavverkning</t>
        </is>
      </c>
      <c r="D693" s="1" t="n">
        <v>45176</v>
      </c>
      <c r="E693" s="1" t="n">
        <v>46219</v>
      </c>
      <c r="F693" t="inlineStr">
        <is>
          <t>NORRBOTTENS LÄN</t>
        </is>
      </c>
      <c r="G693" t="inlineStr">
        <is>
          <t>PITEÅ</t>
        </is>
      </c>
      <c r="I693" t="n">
        <v>5.5</v>
      </c>
      <c r="J693" t="n">
        <v>0</v>
      </c>
      <c r="K693" t="n">
        <v>0</v>
      </c>
      <c r="L693" t="n">
        <v>0</v>
      </c>
      <c r="M693" t="n">
        <v>0</v>
      </c>
      <c r="N693" t="n">
        <v>0</v>
      </c>
      <c r="O693" t="n">
        <v>0</v>
      </c>
      <c r="P693" t="n">
        <v>0</v>
      </c>
      <c r="Q693" t="n">
        <v>0</v>
      </c>
      <c r="R693" t="n">
        <v>0</v>
      </c>
      <c r="S693" t="n">
        <v>0</v>
      </c>
      <c r="T693" t="n">
        <v>0</v>
      </c>
      <c r="U693" s="2" t="inlineStr"/>
    </row>
    <row r="694" ht="15" customHeight="1">
      <c r="A694" t="inlineStr">
        <is>
          <t>A 18530-2024</t>
        </is>
      </c>
      <c r="B694" t="inlineStr">
        <is>
          <t>avverkningsanmälan</t>
        </is>
      </c>
      <c r="C694" t="inlineStr">
        <is>
          <t>Föryngringsavverkning</t>
        </is>
      </c>
      <c r="D694" s="1" t="n">
        <v>45425</v>
      </c>
      <c r="E694" s="1" t="n">
        <v>46219</v>
      </c>
      <c r="F694" t="inlineStr">
        <is>
          <t>NORRBOTTENS LÄN</t>
        </is>
      </c>
      <c r="G694" t="inlineStr">
        <is>
          <t>PITEÅ</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50977-2024</t>
        </is>
      </c>
      <c r="B695" t="inlineStr">
        <is>
          <t>avverkningsanmälan</t>
        </is>
      </c>
      <c r="C695" t="inlineStr">
        <is>
          <t>Föryngringsavverkning</t>
        </is>
      </c>
      <c r="D695" s="1" t="n">
        <v>45603</v>
      </c>
      <c r="E695" s="1" t="n">
        <v>46219</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49462-2024</t>
        </is>
      </c>
      <c r="B696" t="inlineStr">
        <is>
          <t>avverkningsanmälan</t>
        </is>
      </c>
      <c r="C696" t="inlineStr">
        <is>
          <t>Föryngringsavverkning</t>
        </is>
      </c>
      <c r="D696" s="1" t="n">
        <v>45596</v>
      </c>
      <c r="E696" s="1" t="n">
        <v>46219</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25441-2026</t>
        </is>
      </c>
      <c r="B697" t="inlineStr">
        <is>
          <t>avverkningsanmälan</t>
        </is>
      </c>
      <c r="C697" t="inlineStr">
        <is>
          <t>Föryngringsavverkning</t>
        </is>
      </c>
      <c r="D697" s="1" t="n">
        <v>46177</v>
      </c>
      <c r="E697" s="1" t="n">
        <v>46219</v>
      </c>
      <c r="F697" t="inlineStr">
        <is>
          <t>NORRBOTTENS LÄN</t>
        </is>
      </c>
      <c r="G697" t="inlineStr">
        <is>
          <t>PITEÅ</t>
        </is>
      </c>
      <c r="I697" t="n">
        <v>3</v>
      </c>
      <c r="J697" t="n">
        <v>0</v>
      </c>
      <c r="K697" t="n">
        <v>0</v>
      </c>
      <c r="L697" t="n">
        <v>0</v>
      </c>
      <c r="M697" t="n">
        <v>0</v>
      </c>
      <c r="N697" t="n">
        <v>0</v>
      </c>
      <c r="O697" t="n">
        <v>0</v>
      </c>
      <c r="P697" t="n">
        <v>0</v>
      </c>
      <c r="Q697" t="n">
        <v>0</v>
      </c>
      <c r="R697" t="n">
        <v>0</v>
      </c>
      <c r="S697" t="n">
        <v>0</v>
      </c>
      <c r="T697" t="n">
        <v>0</v>
      </c>
      <c r="U697" s="2" t="inlineStr"/>
    </row>
    <row r="698" ht="15" customHeight="1">
      <c r="A698" t="inlineStr">
        <is>
          <t>A 25442-2026</t>
        </is>
      </c>
      <c r="B698" t="inlineStr">
        <is>
          <t>avverkningsanmälan</t>
        </is>
      </c>
      <c r="C698" t="inlineStr">
        <is>
          <t>Föryngringsavverkning</t>
        </is>
      </c>
      <c r="D698" s="1" t="n">
        <v>46177</v>
      </c>
      <c r="E698" s="1" t="n">
        <v>46219</v>
      </c>
      <c r="F698" t="inlineStr">
        <is>
          <t>NORRBOTTENS LÄN</t>
        </is>
      </c>
      <c r="G698" t="inlineStr">
        <is>
          <t>PITEÅ</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30373-2025</t>
        </is>
      </c>
      <c r="B699" t="inlineStr">
        <is>
          <t>avverkningsanmälan</t>
        </is>
      </c>
      <c r="C699" t="inlineStr">
        <is>
          <t>Föryngringsavverkning</t>
        </is>
      </c>
      <c r="D699" s="1" t="n">
        <v>45827</v>
      </c>
      <c r="E699" s="1" t="n">
        <v>46219</v>
      </c>
      <c r="F699" t="inlineStr">
        <is>
          <t>NORRBOTTENS LÄN</t>
        </is>
      </c>
      <c r="G699" t="inlineStr">
        <is>
          <t>PITEÅ</t>
        </is>
      </c>
      <c r="H699" t="inlineStr">
        <is>
          <t>Övriga Aktiebolag</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19855-2026</t>
        </is>
      </c>
      <c r="B700" t="inlineStr">
        <is>
          <t>avverkningsanmälan</t>
        </is>
      </c>
      <c r="C700" t="inlineStr">
        <is>
          <t>Föryngringsavverkning</t>
        </is>
      </c>
      <c r="D700" s="1" t="n">
        <v>46135</v>
      </c>
      <c r="E700" s="1" t="n">
        <v>46219</v>
      </c>
      <c r="F700" t="inlineStr">
        <is>
          <t>NORRBOTTENS LÄN</t>
        </is>
      </c>
      <c r="G700" t="inlineStr">
        <is>
          <t>PITEÅ</t>
        </is>
      </c>
      <c r="I700" t="n">
        <v>4.3</v>
      </c>
      <c r="J700" t="n">
        <v>0</v>
      </c>
      <c r="K700" t="n">
        <v>0</v>
      </c>
      <c r="L700" t="n">
        <v>0</v>
      </c>
      <c r="M700" t="n">
        <v>0</v>
      </c>
      <c r="N700" t="n">
        <v>0</v>
      </c>
      <c r="O700" t="n">
        <v>0</v>
      </c>
      <c r="P700" t="n">
        <v>0</v>
      </c>
      <c r="Q700" t="n">
        <v>0</v>
      </c>
      <c r="R700" t="n">
        <v>0</v>
      </c>
      <c r="S700" t="n">
        <v>0</v>
      </c>
      <c r="T700" t="n">
        <v>0</v>
      </c>
      <c r="U700" s="2" t="inlineStr"/>
    </row>
    <row r="701" ht="15" customHeight="1">
      <c r="A701" t="inlineStr">
        <is>
          <t>A 48594-2024</t>
        </is>
      </c>
      <c r="B701" t="inlineStr">
        <is>
          <t>avverkningsanmälan</t>
        </is>
      </c>
      <c r="C701" t="inlineStr">
        <is>
          <t>Föryngringsavverkning</t>
        </is>
      </c>
      <c r="D701" s="1" t="n">
        <v>45593</v>
      </c>
      <c r="E701" s="1" t="n">
        <v>46219</v>
      </c>
      <c r="F701" t="inlineStr">
        <is>
          <t>NORRBOTTENS LÄN</t>
        </is>
      </c>
      <c r="G701" t="inlineStr">
        <is>
          <t>PITEÅ</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31095-2025</t>
        </is>
      </c>
      <c r="B702" t="inlineStr">
        <is>
          <t>avverkningsanmälan</t>
        </is>
      </c>
      <c r="C702" t="inlineStr">
        <is>
          <t>Föryngringsavverkning</t>
        </is>
      </c>
      <c r="D702" s="1" t="n">
        <v>45832</v>
      </c>
      <c r="E702" s="1" t="n">
        <v>46219</v>
      </c>
      <c r="F702" t="inlineStr">
        <is>
          <t>NORRBOTTENS LÄN</t>
        </is>
      </c>
      <c r="G702" t="inlineStr">
        <is>
          <t>PITEÅ</t>
        </is>
      </c>
      <c r="I702" t="n">
        <v>6.8</v>
      </c>
      <c r="J702" t="n">
        <v>0</v>
      </c>
      <c r="K702" t="n">
        <v>0</v>
      </c>
      <c r="L702" t="n">
        <v>0</v>
      </c>
      <c r="M702" t="n">
        <v>0</v>
      </c>
      <c r="N702" t="n">
        <v>0</v>
      </c>
      <c r="O702" t="n">
        <v>0</v>
      </c>
      <c r="P702" t="n">
        <v>0</v>
      </c>
      <c r="Q702" t="n">
        <v>0</v>
      </c>
      <c r="R702" t="n">
        <v>0</v>
      </c>
      <c r="S702" t="n">
        <v>0</v>
      </c>
      <c r="T702" t="n">
        <v>0</v>
      </c>
      <c r="U702" s="2" t="inlineStr"/>
    </row>
    <row r="703" ht="15" customHeight="1">
      <c r="A703" t="inlineStr">
        <is>
          <t>A 6744-2025</t>
        </is>
      </c>
      <c r="B703" t="inlineStr">
        <is>
          <t>avverkningsanmälan</t>
        </is>
      </c>
      <c r="C703" t="inlineStr">
        <is>
          <t>Föryngringsavverkning</t>
        </is>
      </c>
      <c r="D703" s="1" t="n">
        <v>45700</v>
      </c>
      <c r="E703" s="1" t="n">
        <v>46219</v>
      </c>
      <c r="F703" t="inlineStr">
        <is>
          <t>NORRBOTTENS LÄN</t>
        </is>
      </c>
      <c r="G703" t="inlineStr">
        <is>
          <t>PITEÅ</t>
        </is>
      </c>
      <c r="I703" t="n">
        <v>2.4</v>
      </c>
      <c r="J703" t="n">
        <v>0</v>
      </c>
      <c r="K703" t="n">
        <v>0</v>
      </c>
      <c r="L703" t="n">
        <v>0</v>
      </c>
      <c r="M703" t="n">
        <v>0</v>
      </c>
      <c r="N703" t="n">
        <v>0</v>
      </c>
      <c r="O703" t="n">
        <v>0</v>
      </c>
      <c r="P703" t="n">
        <v>0</v>
      </c>
      <c r="Q703" t="n">
        <v>0</v>
      </c>
      <c r="R703" t="n">
        <v>0</v>
      </c>
      <c r="S703" t="n">
        <v>0</v>
      </c>
      <c r="T703" t="n">
        <v>0</v>
      </c>
      <c r="U703" s="2" t="inlineStr"/>
    </row>
    <row r="704" ht="15" customHeight="1">
      <c r="A704" t="inlineStr">
        <is>
          <t>A 61711-2022</t>
        </is>
      </c>
      <c r="B704" t="inlineStr">
        <is>
          <t>avverkningsanmälan</t>
        </is>
      </c>
      <c r="C704" t="inlineStr">
        <is>
          <t>Avverkning för att bevara och utveckla /försöksver</t>
        </is>
      </c>
      <c r="D704" s="1" t="n">
        <v>44917</v>
      </c>
      <c r="E704" s="1" t="n">
        <v>46219</v>
      </c>
      <c r="F704" t="inlineStr">
        <is>
          <t>NORRBOTTENS LÄN</t>
        </is>
      </c>
      <c r="G704" t="inlineStr">
        <is>
          <t>PITEÅ</t>
        </is>
      </c>
      <c r="H704" t="inlineStr">
        <is>
          <t>Sveaskog</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29481-2023</t>
        </is>
      </c>
      <c r="B705" t="inlineStr">
        <is>
          <t>avverkningsanmälan</t>
        </is>
      </c>
      <c r="C705" t="inlineStr">
        <is>
          <t>Föryngringsavverkning</t>
        </is>
      </c>
      <c r="D705" s="1" t="n">
        <v>45106</v>
      </c>
      <c r="E705" s="1" t="n">
        <v>46219</v>
      </c>
      <c r="F705" t="inlineStr">
        <is>
          <t>NORRBOTTENS LÄN</t>
        </is>
      </c>
      <c r="G705" t="inlineStr">
        <is>
          <t>PITEÅ</t>
        </is>
      </c>
      <c r="I705" t="n">
        <v>1.7</v>
      </c>
      <c r="J705" t="n">
        <v>0</v>
      </c>
      <c r="K705" t="n">
        <v>0</v>
      </c>
      <c r="L705" t="n">
        <v>0</v>
      </c>
      <c r="M705" t="n">
        <v>0</v>
      </c>
      <c r="N705" t="n">
        <v>0</v>
      </c>
      <c r="O705" t="n">
        <v>0</v>
      </c>
      <c r="P705" t="n">
        <v>0</v>
      </c>
      <c r="Q705" t="n">
        <v>0</v>
      </c>
      <c r="R705" t="n">
        <v>0</v>
      </c>
      <c r="S705" t="n">
        <v>0</v>
      </c>
      <c r="T705" t="n">
        <v>0</v>
      </c>
      <c r="U705" s="2" t="inlineStr"/>
    </row>
    <row r="706" ht="15" customHeight="1">
      <c r="A706" t="inlineStr">
        <is>
          <t>A 25580-2026</t>
        </is>
      </c>
      <c r="B706" t="inlineStr">
        <is>
          <t>avverkningsanmälan</t>
        </is>
      </c>
      <c r="C706" t="inlineStr">
        <is>
          <t>Föryngringsavverkning</t>
        </is>
      </c>
      <c r="D706" s="1" t="n">
        <v>46177</v>
      </c>
      <c r="E706" s="1" t="n">
        <v>46219</v>
      </c>
      <c r="F706" t="inlineStr">
        <is>
          <t>NORRBOTTENS LÄN</t>
        </is>
      </c>
      <c r="G706" t="inlineStr">
        <is>
          <t>PITEÅ</t>
        </is>
      </c>
      <c r="H706" t="inlineStr">
        <is>
          <t>Övriga Aktiebolag</t>
        </is>
      </c>
      <c r="I706" t="n">
        <v>8.800000000000001</v>
      </c>
      <c r="J706" t="n">
        <v>0</v>
      </c>
      <c r="K706" t="n">
        <v>0</v>
      </c>
      <c r="L706" t="n">
        <v>0</v>
      </c>
      <c r="M706" t="n">
        <v>0</v>
      </c>
      <c r="N706" t="n">
        <v>0</v>
      </c>
      <c r="O706" t="n">
        <v>0</v>
      </c>
      <c r="P706" t="n">
        <v>0</v>
      </c>
      <c r="Q706" t="n">
        <v>0</v>
      </c>
      <c r="R706" t="n">
        <v>0</v>
      </c>
      <c r="S706" t="n">
        <v>0</v>
      </c>
      <c r="T706" t="n">
        <v>0</v>
      </c>
      <c r="U706" s="2" t="inlineStr"/>
    </row>
    <row r="707" ht="15" customHeight="1">
      <c r="A707" t="inlineStr">
        <is>
          <t>A 57200-2023</t>
        </is>
      </c>
      <c r="B707" t="inlineStr">
        <is>
          <t>avverkningsanmälan</t>
        </is>
      </c>
      <c r="C707" t="inlineStr">
        <is>
          <t>Föryngringsavverkning</t>
        </is>
      </c>
      <c r="D707" s="1" t="n">
        <v>45245</v>
      </c>
      <c r="E707" s="1" t="n">
        <v>46219</v>
      </c>
      <c r="F707" t="inlineStr">
        <is>
          <t>NORRBOTTENS LÄN</t>
        </is>
      </c>
      <c r="G707" t="inlineStr">
        <is>
          <t>PITEÅ</t>
        </is>
      </c>
      <c r="I707" t="n">
        <v>11.4</v>
      </c>
      <c r="J707" t="n">
        <v>0</v>
      </c>
      <c r="K707" t="n">
        <v>0</v>
      </c>
      <c r="L707" t="n">
        <v>0</v>
      </c>
      <c r="M707" t="n">
        <v>0</v>
      </c>
      <c r="N707" t="n">
        <v>0</v>
      </c>
      <c r="O707" t="n">
        <v>0</v>
      </c>
      <c r="P707" t="n">
        <v>0</v>
      </c>
      <c r="Q707" t="n">
        <v>0</v>
      </c>
      <c r="R707" t="n">
        <v>0</v>
      </c>
      <c r="S707" t="n">
        <v>0</v>
      </c>
      <c r="T707" t="n">
        <v>0</v>
      </c>
      <c r="U707" s="2" t="inlineStr"/>
    </row>
    <row r="708" ht="15" customHeight="1">
      <c r="A708" t="inlineStr">
        <is>
          <t>A 2625-2023</t>
        </is>
      </c>
      <c r="B708" t="inlineStr">
        <is>
          <t>avverkningsanmälan</t>
        </is>
      </c>
      <c r="C708" t="inlineStr">
        <is>
          <t>Föryngringsavverkning</t>
        </is>
      </c>
      <c r="D708" s="1" t="n">
        <v>44942</v>
      </c>
      <c r="E708" s="1" t="n">
        <v>46219</v>
      </c>
      <c r="F708" t="inlineStr">
        <is>
          <t>NORRBOTTENS LÄN</t>
        </is>
      </c>
      <c r="G708" t="inlineStr">
        <is>
          <t>PITEÅ</t>
        </is>
      </c>
      <c r="I708" t="n">
        <v>2.2</v>
      </c>
      <c r="J708" t="n">
        <v>0</v>
      </c>
      <c r="K708" t="n">
        <v>0</v>
      </c>
      <c r="L708" t="n">
        <v>0</v>
      </c>
      <c r="M708" t="n">
        <v>0</v>
      </c>
      <c r="N708" t="n">
        <v>0</v>
      </c>
      <c r="O708" t="n">
        <v>0</v>
      </c>
      <c r="P708" t="n">
        <v>0</v>
      </c>
      <c r="Q708" t="n">
        <v>0</v>
      </c>
      <c r="R708" t="n">
        <v>0</v>
      </c>
      <c r="S708" t="n">
        <v>0</v>
      </c>
      <c r="T708" t="n">
        <v>0</v>
      </c>
      <c r="U708" s="2" t="inlineStr"/>
    </row>
    <row r="709" ht="15" customHeight="1">
      <c r="A709" t="inlineStr">
        <is>
          <t>A 21851-2022</t>
        </is>
      </c>
      <c r="B709" t="inlineStr">
        <is>
          <t>avverkningsanmälan</t>
        </is>
      </c>
      <c r="C709" t="inlineStr">
        <is>
          <t>Föryngringsavverkning</t>
        </is>
      </c>
      <c r="D709" s="1" t="n">
        <v>44708</v>
      </c>
      <c r="E709" s="1" t="n">
        <v>46219</v>
      </c>
      <c r="F709" t="inlineStr">
        <is>
          <t>NORRBOTTENS LÄN</t>
        </is>
      </c>
      <c r="G709" t="inlineStr">
        <is>
          <t>PITEÅ</t>
        </is>
      </c>
      <c r="I709" t="n">
        <v>3.2</v>
      </c>
      <c r="J709" t="n">
        <v>0</v>
      </c>
      <c r="K709" t="n">
        <v>0</v>
      </c>
      <c r="L709" t="n">
        <v>0</v>
      </c>
      <c r="M709" t="n">
        <v>0</v>
      </c>
      <c r="N709" t="n">
        <v>0</v>
      </c>
      <c r="O709" t="n">
        <v>0</v>
      </c>
      <c r="P709" t="n">
        <v>0</v>
      </c>
      <c r="Q709" t="n">
        <v>0</v>
      </c>
      <c r="R709" t="n">
        <v>0</v>
      </c>
      <c r="S709" t="n">
        <v>0</v>
      </c>
      <c r="T709" t="n">
        <v>0</v>
      </c>
      <c r="U709" s="2" t="inlineStr"/>
    </row>
    <row r="710" ht="15" customHeight="1">
      <c r="A710" t="inlineStr">
        <is>
          <t>A 33863-2025</t>
        </is>
      </c>
      <c r="B710" t="inlineStr">
        <is>
          <t>avverkningsanmälan</t>
        </is>
      </c>
      <c r="C710" t="inlineStr">
        <is>
          <t>Föryngringsavverkning</t>
        </is>
      </c>
      <c r="D710" s="1" t="n">
        <v>45842</v>
      </c>
      <c r="E710" s="1" t="n">
        <v>46219</v>
      </c>
      <c r="F710" t="inlineStr">
        <is>
          <t>NORRBOTTENS LÄN</t>
        </is>
      </c>
      <c r="G710" t="inlineStr">
        <is>
          <t>PITEÅ</t>
        </is>
      </c>
      <c r="I710" t="n">
        <v>3.5</v>
      </c>
      <c r="J710" t="n">
        <v>0</v>
      </c>
      <c r="K710" t="n">
        <v>0</v>
      </c>
      <c r="L710" t="n">
        <v>0</v>
      </c>
      <c r="M710" t="n">
        <v>0</v>
      </c>
      <c r="N710" t="n">
        <v>0</v>
      </c>
      <c r="O710" t="n">
        <v>0</v>
      </c>
      <c r="P710" t="n">
        <v>0</v>
      </c>
      <c r="Q710" t="n">
        <v>0</v>
      </c>
      <c r="R710" t="n">
        <v>0</v>
      </c>
      <c r="S710" t="n">
        <v>0</v>
      </c>
      <c r="T710" t="n">
        <v>0</v>
      </c>
      <c r="U710" s="2" t="inlineStr"/>
    </row>
    <row r="711" ht="15" customHeight="1">
      <c r="A711" t="inlineStr">
        <is>
          <t>A 41002-2025</t>
        </is>
      </c>
      <c r="B711" t="inlineStr">
        <is>
          <t>avverkningsanmälan</t>
        </is>
      </c>
      <c r="C711" t="inlineStr">
        <is>
          <t>Föryngringsavverkning</t>
        </is>
      </c>
      <c r="D711" s="1" t="n">
        <v>45898</v>
      </c>
      <c r="E711" s="1" t="n">
        <v>46219</v>
      </c>
      <c r="F711" t="inlineStr">
        <is>
          <t>NORRBOTTENS LÄN</t>
        </is>
      </c>
      <c r="G711" t="inlineStr">
        <is>
          <t>PITEÅ</t>
        </is>
      </c>
      <c r="I711" t="n">
        <v>4.1</v>
      </c>
      <c r="J711" t="n">
        <v>0</v>
      </c>
      <c r="K711" t="n">
        <v>0</v>
      </c>
      <c r="L711" t="n">
        <v>0</v>
      </c>
      <c r="M711" t="n">
        <v>0</v>
      </c>
      <c r="N711" t="n">
        <v>0</v>
      </c>
      <c r="O711" t="n">
        <v>0</v>
      </c>
      <c r="P711" t="n">
        <v>0</v>
      </c>
      <c r="Q711" t="n">
        <v>0</v>
      </c>
      <c r="R711" t="n">
        <v>0</v>
      </c>
      <c r="S711" t="n">
        <v>0</v>
      </c>
      <c r="T711" t="n">
        <v>0</v>
      </c>
      <c r="U711" s="2" t="inlineStr"/>
    </row>
    <row r="712" ht="15" customHeight="1">
      <c r="A712" t="inlineStr">
        <is>
          <t>A 59919-2024</t>
        </is>
      </c>
      <c r="B712" t="inlineStr">
        <is>
          <t>avverkningsanmälan</t>
        </is>
      </c>
      <c r="C712" t="inlineStr">
        <is>
          <t>Föryngringsavverkning</t>
        </is>
      </c>
      <c r="D712" s="1" t="n">
        <v>45641</v>
      </c>
      <c r="E712" s="1" t="n">
        <v>46219</v>
      </c>
      <c r="F712" t="inlineStr">
        <is>
          <t>NORRBOTTENS LÄN</t>
        </is>
      </c>
      <c r="G712" t="inlineStr">
        <is>
          <t>PITEÅ</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31633-2025</t>
        </is>
      </c>
      <c r="B713" t="inlineStr">
        <is>
          <t>avverkningsanmälan</t>
        </is>
      </c>
      <c r="C713" t="inlineStr">
        <is>
          <t>Föryngringsavverkning</t>
        </is>
      </c>
      <c r="D713" s="1" t="n">
        <v>45834</v>
      </c>
      <c r="E713" s="1" t="n">
        <v>46219</v>
      </c>
      <c r="F713" t="inlineStr">
        <is>
          <t>NORRBOTTENS LÄN</t>
        </is>
      </c>
      <c r="G713" t="inlineStr">
        <is>
          <t>PITEÅ</t>
        </is>
      </c>
      <c r="H713" t="inlineStr">
        <is>
          <t>Sveaskog</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15803-2023</t>
        </is>
      </c>
      <c r="B714" t="inlineStr">
        <is>
          <t>avverkningsanmälan</t>
        </is>
      </c>
      <c r="C714" t="inlineStr">
        <is>
          <t>Föryngringsavverkning</t>
        </is>
      </c>
      <c r="D714" s="1" t="n">
        <v>45021</v>
      </c>
      <c r="E714" s="1" t="n">
        <v>46219</v>
      </c>
      <c r="F714" t="inlineStr">
        <is>
          <t>NORRBOTTENS LÄN</t>
        </is>
      </c>
      <c r="G714" t="inlineStr">
        <is>
          <t>PITEÅ</t>
        </is>
      </c>
      <c r="I714" t="n">
        <v>10.2</v>
      </c>
      <c r="J714" t="n">
        <v>0</v>
      </c>
      <c r="K714" t="n">
        <v>0</v>
      </c>
      <c r="L714" t="n">
        <v>0</v>
      </c>
      <c r="M714" t="n">
        <v>0</v>
      </c>
      <c r="N714" t="n">
        <v>0</v>
      </c>
      <c r="O714" t="n">
        <v>0</v>
      </c>
      <c r="P714" t="n">
        <v>0</v>
      </c>
      <c r="Q714" t="n">
        <v>0</v>
      </c>
      <c r="R714" t="n">
        <v>0</v>
      </c>
      <c r="S714" t="n">
        <v>0</v>
      </c>
      <c r="T714" t="n">
        <v>0</v>
      </c>
      <c r="U714" s="2" t="inlineStr"/>
    </row>
    <row r="715" ht="15" customHeight="1">
      <c r="A715" t="inlineStr">
        <is>
          <t>A 20649-2025</t>
        </is>
      </c>
      <c r="B715" t="inlineStr">
        <is>
          <t>avverkningsanmälan</t>
        </is>
      </c>
      <c r="C715" t="inlineStr">
        <is>
          <t>Föryngringsavverkning</t>
        </is>
      </c>
      <c r="D715" s="1" t="n">
        <v>45776</v>
      </c>
      <c r="E715" s="1" t="n">
        <v>46219</v>
      </c>
      <c r="F715" t="inlineStr">
        <is>
          <t>NORRBOTTENS LÄN</t>
        </is>
      </c>
      <c r="G715" t="inlineStr">
        <is>
          <t>PITEÅ</t>
        </is>
      </c>
      <c r="I715" t="n">
        <v>10.3</v>
      </c>
      <c r="J715" t="n">
        <v>0</v>
      </c>
      <c r="K715" t="n">
        <v>0</v>
      </c>
      <c r="L715" t="n">
        <v>0</v>
      </c>
      <c r="M715" t="n">
        <v>0</v>
      </c>
      <c r="N715" t="n">
        <v>0</v>
      </c>
      <c r="O715" t="n">
        <v>0</v>
      </c>
      <c r="P715" t="n">
        <v>0</v>
      </c>
      <c r="Q715" t="n">
        <v>0</v>
      </c>
      <c r="R715" t="n">
        <v>0</v>
      </c>
      <c r="S715" t="n">
        <v>0</v>
      </c>
      <c r="T715" t="n">
        <v>0</v>
      </c>
      <c r="U715" s="2" t="inlineStr"/>
    </row>
    <row r="716" ht="15" customHeight="1">
      <c r="A716" t="inlineStr">
        <is>
          <t>A 20475-2026</t>
        </is>
      </c>
      <c r="B716" t="inlineStr">
        <is>
          <t>avverkningsanmälan</t>
        </is>
      </c>
      <c r="C716" t="inlineStr">
        <is>
          <t>Föryngringsavverkning</t>
        </is>
      </c>
      <c r="D716" s="1" t="n">
        <v>46140</v>
      </c>
      <c r="E716" s="1" t="n">
        <v>46219</v>
      </c>
      <c r="F716" t="inlineStr">
        <is>
          <t>NORRBOTTENS LÄN</t>
        </is>
      </c>
      <c r="G716" t="inlineStr">
        <is>
          <t>PITEÅ</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11809-2024</t>
        </is>
      </c>
      <c r="B717" t="inlineStr">
        <is>
          <t>avverkningsanmälan</t>
        </is>
      </c>
      <c r="C717" t="inlineStr">
        <is>
          <t>Föryngringsavverkning</t>
        </is>
      </c>
      <c r="D717" s="1" t="n">
        <v>45375</v>
      </c>
      <c r="E717" s="1" t="n">
        <v>46219</v>
      </c>
      <c r="F717" t="inlineStr">
        <is>
          <t>NORRBOTTENS LÄN</t>
        </is>
      </c>
      <c r="G717" t="inlineStr">
        <is>
          <t>PITEÅ</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45956-2025</t>
        </is>
      </c>
      <c r="B718" t="inlineStr">
        <is>
          <t>avverkningsanmälan</t>
        </is>
      </c>
      <c r="C718" t="inlineStr">
        <is>
          <t>Föryngringsavverkning</t>
        </is>
      </c>
      <c r="D718" s="1" t="n">
        <v>45924</v>
      </c>
      <c r="E718" s="1" t="n">
        <v>46219</v>
      </c>
      <c r="F718" t="inlineStr">
        <is>
          <t>NORRBOTTENS LÄN</t>
        </is>
      </c>
      <c r="G718" t="inlineStr">
        <is>
          <t>PITEÅ</t>
        </is>
      </c>
      <c r="H718" t="inlineStr">
        <is>
          <t>SCA</t>
        </is>
      </c>
      <c r="I718" t="n">
        <v>3</v>
      </c>
      <c r="J718" t="n">
        <v>0</v>
      </c>
      <c r="K718" t="n">
        <v>0</v>
      </c>
      <c r="L718" t="n">
        <v>0</v>
      </c>
      <c r="M718" t="n">
        <v>0</v>
      </c>
      <c r="N718" t="n">
        <v>0</v>
      </c>
      <c r="O718" t="n">
        <v>0</v>
      </c>
      <c r="P718" t="n">
        <v>0</v>
      </c>
      <c r="Q718" t="n">
        <v>0</v>
      </c>
      <c r="R718" t="n">
        <v>0</v>
      </c>
      <c r="S718" t="n">
        <v>0</v>
      </c>
      <c r="T718" t="n">
        <v>0</v>
      </c>
      <c r="U718" s="2" t="inlineStr"/>
    </row>
    <row r="719" ht="15" customHeight="1">
      <c r="A719" t="inlineStr">
        <is>
          <t>A 71287-2021</t>
        </is>
      </c>
      <c r="B719" t="inlineStr">
        <is>
          <t>avverkningsanmälan</t>
        </is>
      </c>
      <c r="C719" t="inlineStr">
        <is>
          <t>Föryngringsavverkning</t>
        </is>
      </c>
      <c r="D719" s="1" t="n">
        <v>44538</v>
      </c>
      <c r="E719" s="1" t="n">
        <v>46219</v>
      </c>
      <c r="F719" t="inlineStr">
        <is>
          <t>NORRBOTTENS LÄN</t>
        </is>
      </c>
      <c r="G719" t="inlineStr">
        <is>
          <t>PITEÅ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48695-2025</t>
        </is>
      </c>
      <c r="B720" t="inlineStr">
        <is>
          <t>avverkningsanmälan</t>
        </is>
      </c>
      <c r="C720" t="inlineStr">
        <is>
          <t>Föryngringsavverkning</t>
        </is>
      </c>
      <c r="D720" s="1" t="n">
        <v>45936</v>
      </c>
      <c r="E720" s="1" t="n">
        <v>46219</v>
      </c>
      <c r="F720" t="inlineStr">
        <is>
          <t>NORRBOTTENS LÄN</t>
        </is>
      </c>
      <c r="G720" t="inlineStr">
        <is>
          <t>PITEÅ</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4096-2024</t>
        </is>
      </c>
      <c r="B721" t="inlineStr">
        <is>
          <t>avverkningsanmälan</t>
        </is>
      </c>
      <c r="C721" t="inlineStr">
        <is>
          <t>Föryngringsavverkning</t>
        </is>
      </c>
      <c r="D721" s="1" t="n">
        <v>45323</v>
      </c>
      <c r="E721" s="1" t="n">
        <v>46219</v>
      </c>
      <c r="F721" t="inlineStr">
        <is>
          <t>NORRBOTTENS LÄN</t>
        </is>
      </c>
      <c r="G721" t="inlineStr">
        <is>
          <t>PITEÅ</t>
        </is>
      </c>
      <c r="I721" t="n">
        <v>5</v>
      </c>
      <c r="J721" t="n">
        <v>0</v>
      </c>
      <c r="K721" t="n">
        <v>0</v>
      </c>
      <c r="L721" t="n">
        <v>0</v>
      </c>
      <c r="M721" t="n">
        <v>0</v>
      </c>
      <c r="N721" t="n">
        <v>0</v>
      </c>
      <c r="O721" t="n">
        <v>0</v>
      </c>
      <c r="P721" t="n">
        <v>0</v>
      </c>
      <c r="Q721" t="n">
        <v>0</v>
      </c>
      <c r="R721" t="n">
        <v>0</v>
      </c>
      <c r="S721" t="n">
        <v>0</v>
      </c>
      <c r="T721" t="n">
        <v>0</v>
      </c>
      <c r="U721" s="2" t="inlineStr"/>
    </row>
    <row r="722" ht="15" customHeight="1">
      <c r="A722" t="inlineStr">
        <is>
          <t>A 58305-2025</t>
        </is>
      </c>
      <c r="B722" t="inlineStr">
        <is>
          <t>avverkningsanmälan</t>
        </is>
      </c>
      <c r="C722" t="inlineStr">
        <is>
          <t>Föryngringsavverkning</t>
        </is>
      </c>
      <c r="D722" s="1" t="n">
        <v>45985</v>
      </c>
      <c r="E722" s="1" t="n">
        <v>46219</v>
      </c>
      <c r="F722" t="inlineStr">
        <is>
          <t>NORRBOTTENS LÄN</t>
        </is>
      </c>
      <c r="G722" t="inlineStr">
        <is>
          <t>PITEÅ</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49361-2023</t>
        </is>
      </c>
      <c r="B723" t="inlineStr">
        <is>
          <t>avverkningsanmälan</t>
        </is>
      </c>
      <c r="C723" t="inlineStr">
        <is>
          <t>Föryngringsavverkning</t>
        </is>
      </c>
      <c r="D723" s="1" t="n">
        <v>45211</v>
      </c>
      <c r="E723" s="1" t="n">
        <v>46219</v>
      </c>
      <c r="F723" t="inlineStr">
        <is>
          <t>NORRBOTTENS LÄN</t>
        </is>
      </c>
      <c r="G723" t="inlineStr">
        <is>
          <t>PITEÅ</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30809-2025</t>
        </is>
      </c>
      <c r="B724" t="inlineStr">
        <is>
          <t>avverkningsanmälan</t>
        </is>
      </c>
      <c r="C724" t="inlineStr">
        <is>
          <t>Föryngringsavverkning</t>
        </is>
      </c>
      <c r="D724" s="1" t="n">
        <v>45831</v>
      </c>
      <c r="E724" s="1" t="n">
        <v>46219</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53177-2025</t>
        </is>
      </c>
      <c r="B725" t="inlineStr">
        <is>
          <t>avverkningsanmälan</t>
        </is>
      </c>
      <c r="C725" t="inlineStr">
        <is>
          <t>Föryngringsavverkning</t>
        </is>
      </c>
      <c r="D725" s="1" t="n">
        <v>45958</v>
      </c>
      <c r="E725" s="1" t="n">
        <v>46219</v>
      </c>
      <c r="F725" t="inlineStr">
        <is>
          <t>NORRBOTTENS LÄN</t>
        </is>
      </c>
      <c r="G725" t="inlineStr">
        <is>
          <t>PITEÅ</t>
        </is>
      </c>
      <c r="I725" t="n">
        <v>16.7</v>
      </c>
      <c r="J725" t="n">
        <v>0</v>
      </c>
      <c r="K725" t="n">
        <v>0</v>
      </c>
      <c r="L725" t="n">
        <v>0</v>
      </c>
      <c r="M725" t="n">
        <v>0</v>
      </c>
      <c r="N725" t="n">
        <v>0</v>
      </c>
      <c r="O725" t="n">
        <v>0</v>
      </c>
      <c r="P725" t="n">
        <v>0</v>
      </c>
      <c r="Q725" t="n">
        <v>0</v>
      </c>
      <c r="R725" t="n">
        <v>0</v>
      </c>
      <c r="S725" t="n">
        <v>0</v>
      </c>
      <c r="T725" t="n">
        <v>0</v>
      </c>
      <c r="U725" s="2" t="inlineStr"/>
    </row>
    <row r="726" ht="15" customHeight="1">
      <c r="A726" t="inlineStr">
        <is>
          <t>A 55774-2025</t>
        </is>
      </c>
      <c r="B726" t="inlineStr">
        <is>
          <t>avverkningsanmälan</t>
        </is>
      </c>
      <c r="C726" t="inlineStr">
        <is>
          <t>Föryngringsavverkning</t>
        </is>
      </c>
      <c r="D726" s="1" t="n">
        <v>45972</v>
      </c>
      <c r="E726" s="1" t="n">
        <v>46219</v>
      </c>
      <c r="F726" t="inlineStr">
        <is>
          <t>NORRBOTTENS LÄN</t>
        </is>
      </c>
      <c r="G726" t="inlineStr">
        <is>
          <t>PITEÅ</t>
        </is>
      </c>
      <c r="I726" t="n">
        <v>13.2</v>
      </c>
      <c r="J726" t="n">
        <v>0</v>
      </c>
      <c r="K726" t="n">
        <v>0</v>
      </c>
      <c r="L726" t="n">
        <v>0</v>
      </c>
      <c r="M726" t="n">
        <v>0</v>
      </c>
      <c r="N726" t="n">
        <v>0</v>
      </c>
      <c r="O726" t="n">
        <v>0</v>
      </c>
      <c r="P726" t="n">
        <v>0</v>
      </c>
      <c r="Q726" t="n">
        <v>0</v>
      </c>
      <c r="R726" t="n">
        <v>0</v>
      </c>
      <c r="S726" t="n">
        <v>0</v>
      </c>
      <c r="T726" t="n">
        <v>0</v>
      </c>
      <c r="U726" s="2" t="inlineStr"/>
    </row>
    <row r="727" ht="15" customHeight="1">
      <c r="A727" t="inlineStr">
        <is>
          <t>A 33185-2025</t>
        </is>
      </c>
      <c r="B727" t="inlineStr">
        <is>
          <t>avverkningsanmälan</t>
        </is>
      </c>
      <c r="C727" t="inlineStr">
        <is>
          <t>Föryngringsavverkning</t>
        </is>
      </c>
      <c r="D727" s="1" t="n">
        <v>45840</v>
      </c>
      <c r="E727" s="1" t="n">
        <v>46219</v>
      </c>
      <c r="F727" t="inlineStr">
        <is>
          <t>NORRBOTTENS LÄN</t>
        </is>
      </c>
      <c r="G727" t="inlineStr">
        <is>
          <t>PITEÅ</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479-2025</t>
        </is>
      </c>
      <c r="B728" t="inlineStr">
        <is>
          <t>avverkningsanmälan</t>
        </is>
      </c>
      <c r="C728" t="inlineStr">
        <is>
          <t>Föryngringsavverkning</t>
        </is>
      </c>
      <c r="D728" s="1" t="n">
        <v>45664</v>
      </c>
      <c r="E728" s="1" t="n">
        <v>46219</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s="2" t="inlineStr"/>
    </row>
    <row r="729" ht="15" customHeight="1">
      <c r="A729" t="inlineStr">
        <is>
          <t>A 27676-2023</t>
        </is>
      </c>
      <c r="B729" t="inlineStr">
        <is>
          <t>avverkningsanmälan</t>
        </is>
      </c>
      <c r="C729" t="inlineStr">
        <is>
          <t>Föryngringsavverkning</t>
        </is>
      </c>
      <c r="D729" s="1" t="n">
        <v>45097</v>
      </c>
      <c r="E729" s="1" t="n">
        <v>46219</v>
      </c>
      <c r="F729" t="inlineStr">
        <is>
          <t>NORRBOTTENS LÄN</t>
        </is>
      </c>
      <c r="G729" t="inlineStr">
        <is>
          <t>PITEÅ</t>
        </is>
      </c>
      <c r="I729" t="n">
        <v>6.8</v>
      </c>
      <c r="J729" t="n">
        <v>0</v>
      </c>
      <c r="K729" t="n">
        <v>0</v>
      </c>
      <c r="L729" t="n">
        <v>0</v>
      </c>
      <c r="M729" t="n">
        <v>0</v>
      </c>
      <c r="N729" t="n">
        <v>0</v>
      </c>
      <c r="O729" t="n">
        <v>0</v>
      </c>
      <c r="P729" t="n">
        <v>0</v>
      </c>
      <c r="Q729" t="n">
        <v>0</v>
      </c>
      <c r="R729" t="n">
        <v>0</v>
      </c>
      <c r="S729" t="n">
        <v>0</v>
      </c>
      <c r="T729" t="n">
        <v>0</v>
      </c>
      <c r="U729" s="2" t="inlineStr"/>
    </row>
    <row r="730" ht="15" customHeight="1">
      <c r="A730" t="inlineStr">
        <is>
          <t>A 35917-2025</t>
        </is>
      </c>
      <c r="B730" t="inlineStr">
        <is>
          <t>avverkningsanmälan</t>
        </is>
      </c>
      <c r="C730" t="inlineStr">
        <is>
          <t>Föryngringsavverkning</t>
        </is>
      </c>
      <c r="D730" s="1" t="n">
        <v>45862</v>
      </c>
      <c r="E730" s="1" t="n">
        <v>46219</v>
      </c>
      <c r="F730" t="inlineStr">
        <is>
          <t>NORRBOTTENS LÄN</t>
        </is>
      </c>
      <c r="G730" t="inlineStr">
        <is>
          <t>PITEÅ</t>
        </is>
      </c>
      <c r="I730" t="n">
        <v>3.3</v>
      </c>
      <c r="J730" t="n">
        <v>0</v>
      </c>
      <c r="K730" t="n">
        <v>0</v>
      </c>
      <c r="L730" t="n">
        <v>0</v>
      </c>
      <c r="M730" t="n">
        <v>0</v>
      </c>
      <c r="N730" t="n">
        <v>0</v>
      </c>
      <c r="O730" t="n">
        <v>0</v>
      </c>
      <c r="P730" t="n">
        <v>0</v>
      </c>
      <c r="Q730" t="n">
        <v>0</v>
      </c>
      <c r="R730" t="n">
        <v>0</v>
      </c>
      <c r="S730" t="n">
        <v>0</v>
      </c>
      <c r="T730" t="n">
        <v>0</v>
      </c>
      <c r="U730" s="2" t="inlineStr"/>
    </row>
    <row r="731" ht="15" customHeight="1">
      <c r="A731" t="inlineStr">
        <is>
          <t>A 50745-2025</t>
        </is>
      </c>
      <c r="B731" t="inlineStr">
        <is>
          <t>avverkningsanmälan</t>
        </is>
      </c>
      <c r="C731" t="inlineStr">
        <is>
          <t>Föryngringsavverkning</t>
        </is>
      </c>
      <c r="D731" s="1" t="n">
        <v>45946</v>
      </c>
      <c r="E731" s="1" t="n">
        <v>46219</v>
      </c>
      <c r="F731" t="inlineStr">
        <is>
          <t>NORRBOTTENS LÄN</t>
        </is>
      </c>
      <c r="G731" t="inlineStr">
        <is>
          <t>PITEÅ</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48556-2025</t>
        </is>
      </c>
      <c r="B732" t="inlineStr">
        <is>
          <t>avverkningsanmälan</t>
        </is>
      </c>
      <c r="C732" t="inlineStr">
        <is>
          <t>Föryngringsavverkning</t>
        </is>
      </c>
      <c r="D732" s="1" t="n">
        <v>45936</v>
      </c>
      <c r="E732" s="1" t="n">
        <v>46219</v>
      </c>
      <c r="F732" t="inlineStr">
        <is>
          <t>NORRBOTTENS LÄN</t>
        </is>
      </c>
      <c r="G732" t="inlineStr">
        <is>
          <t>PITEÅ</t>
        </is>
      </c>
      <c r="I732" t="n">
        <v>8.1</v>
      </c>
      <c r="J732" t="n">
        <v>0</v>
      </c>
      <c r="K732" t="n">
        <v>0</v>
      </c>
      <c r="L732" t="n">
        <v>0</v>
      </c>
      <c r="M732" t="n">
        <v>0</v>
      </c>
      <c r="N732" t="n">
        <v>0</v>
      </c>
      <c r="O732" t="n">
        <v>0</v>
      </c>
      <c r="P732" t="n">
        <v>0</v>
      </c>
      <c r="Q732" t="n">
        <v>0</v>
      </c>
      <c r="R732" t="n">
        <v>0</v>
      </c>
      <c r="S732" t="n">
        <v>0</v>
      </c>
      <c r="T732" t="n">
        <v>0</v>
      </c>
      <c r="U732" s="2" t="inlineStr"/>
    </row>
    <row r="733" ht="15" customHeight="1">
      <c r="A733" t="inlineStr">
        <is>
          <t>A 47564-2021</t>
        </is>
      </c>
      <c r="B733" t="inlineStr">
        <is>
          <t>avverkningsanmälan</t>
        </is>
      </c>
      <c r="C733" t="inlineStr">
        <is>
          <t>Föryngringsavverkning</t>
        </is>
      </c>
      <c r="D733" s="1" t="n">
        <v>44447</v>
      </c>
      <c r="E733" s="1" t="n">
        <v>46219</v>
      </c>
      <c r="F733" t="inlineStr">
        <is>
          <t>NORRBOTTENS LÄN</t>
        </is>
      </c>
      <c r="G733" t="inlineStr">
        <is>
          <t>PITEÅ</t>
        </is>
      </c>
      <c r="H733" t="inlineStr">
        <is>
          <t>SCA</t>
        </is>
      </c>
      <c r="I733" t="n">
        <v>6.4</v>
      </c>
      <c r="J733" t="n">
        <v>0</v>
      </c>
      <c r="K733" t="n">
        <v>0</v>
      </c>
      <c r="L733" t="n">
        <v>0</v>
      </c>
      <c r="M733" t="n">
        <v>0</v>
      </c>
      <c r="N733" t="n">
        <v>0</v>
      </c>
      <c r="O733" t="n">
        <v>0</v>
      </c>
      <c r="P733" t="n">
        <v>0</v>
      </c>
      <c r="Q733" t="n">
        <v>0</v>
      </c>
      <c r="R733" t="n">
        <v>0</v>
      </c>
      <c r="S733" t="n">
        <v>0</v>
      </c>
      <c r="T733" t="n">
        <v>0</v>
      </c>
      <c r="U733" s="2" t="inlineStr"/>
    </row>
    <row r="734" ht="15" customHeight="1">
      <c r="A734" t="inlineStr">
        <is>
          <t>A 17944-2025</t>
        </is>
      </c>
      <c r="B734" t="inlineStr">
        <is>
          <t>avverkningsanmälan</t>
        </is>
      </c>
      <c r="C734" t="inlineStr">
        <is>
          <t>Föryngringsavverkning</t>
        </is>
      </c>
      <c r="D734" s="1" t="n">
        <v>45760</v>
      </c>
      <c r="E734" s="1" t="n">
        <v>46219</v>
      </c>
      <c r="F734" t="inlineStr">
        <is>
          <t>NORRBOTTENS LÄN</t>
        </is>
      </c>
      <c r="G734" t="inlineStr">
        <is>
          <t>PITEÅ</t>
        </is>
      </c>
      <c r="I734" t="n">
        <v>3.6</v>
      </c>
      <c r="J734" t="n">
        <v>0</v>
      </c>
      <c r="K734" t="n">
        <v>0</v>
      </c>
      <c r="L734" t="n">
        <v>0</v>
      </c>
      <c r="M734" t="n">
        <v>0</v>
      </c>
      <c r="N734" t="n">
        <v>0</v>
      </c>
      <c r="O734" t="n">
        <v>0</v>
      </c>
      <c r="P734" t="n">
        <v>0</v>
      </c>
      <c r="Q734" t="n">
        <v>0</v>
      </c>
      <c r="R734" t="n">
        <v>0</v>
      </c>
      <c r="S734" t="n">
        <v>0</v>
      </c>
      <c r="T734" t="n">
        <v>0</v>
      </c>
      <c r="U734" s="2" t="inlineStr"/>
    </row>
    <row r="735" ht="15" customHeight="1">
      <c r="A735" t="inlineStr">
        <is>
          <t>A 34880-2025</t>
        </is>
      </c>
      <c r="B735" t="inlineStr">
        <is>
          <t>avverkningsanmälan</t>
        </is>
      </c>
      <c r="C735" t="inlineStr">
        <is>
          <t>Föryngringsavverkning</t>
        </is>
      </c>
      <c r="D735" s="1" t="n">
        <v>45849</v>
      </c>
      <c r="E735" s="1" t="n">
        <v>46219</v>
      </c>
      <c r="F735" t="inlineStr">
        <is>
          <t>NORRBOTTENS LÄN</t>
        </is>
      </c>
      <c r="G735" t="inlineStr">
        <is>
          <t>PITEÅ</t>
        </is>
      </c>
      <c r="I735" t="n">
        <v>9.800000000000001</v>
      </c>
      <c r="J735" t="n">
        <v>0</v>
      </c>
      <c r="K735" t="n">
        <v>0</v>
      </c>
      <c r="L735" t="n">
        <v>0</v>
      </c>
      <c r="M735" t="n">
        <v>0</v>
      </c>
      <c r="N735" t="n">
        <v>0</v>
      </c>
      <c r="O735" t="n">
        <v>0</v>
      </c>
      <c r="P735" t="n">
        <v>0</v>
      </c>
      <c r="Q735" t="n">
        <v>0</v>
      </c>
      <c r="R735" t="n">
        <v>0</v>
      </c>
      <c r="S735" t="n">
        <v>0</v>
      </c>
      <c r="T735" t="n">
        <v>0</v>
      </c>
      <c r="U735" s="2" t="inlineStr"/>
    </row>
    <row r="736" ht="15" customHeight="1">
      <c r="A736" t="inlineStr">
        <is>
          <t>A 1568-2026</t>
        </is>
      </c>
      <c r="B736" t="inlineStr">
        <is>
          <t>avverkningsanmälan</t>
        </is>
      </c>
      <c r="C736" t="inlineStr">
        <is>
          <t>Föryngringsavverkning</t>
        </is>
      </c>
      <c r="D736" s="1" t="n">
        <v>46034</v>
      </c>
      <c r="E736" s="1" t="n">
        <v>46219</v>
      </c>
      <c r="F736" t="inlineStr">
        <is>
          <t>NORRBOTTENS LÄN</t>
        </is>
      </c>
      <c r="G736" t="inlineStr">
        <is>
          <t>PITEÅ</t>
        </is>
      </c>
      <c r="I736" t="n">
        <v>26.4</v>
      </c>
      <c r="J736" t="n">
        <v>0</v>
      </c>
      <c r="K736" t="n">
        <v>0</v>
      </c>
      <c r="L736" t="n">
        <v>0</v>
      </c>
      <c r="M736" t="n">
        <v>0</v>
      </c>
      <c r="N736" t="n">
        <v>0</v>
      </c>
      <c r="O736" t="n">
        <v>0</v>
      </c>
      <c r="P736" t="n">
        <v>0</v>
      </c>
      <c r="Q736" t="n">
        <v>0</v>
      </c>
      <c r="R736" t="n">
        <v>0</v>
      </c>
      <c r="S736" t="n">
        <v>0</v>
      </c>
      <c r="T736" t="n">
        <v>0</v>
      </c>
      <c r="U736" s="2" t="inlineStr"/>
    </row>
    <row r="737" ht="15" customHeight="1">
      <c r="A737" t="inlineStr">
        <is>
          <t>A 59505-2023</t>
        </is>
      </c>
      <c r="B737" t="inlineStr">
        <is>
          <t>avverkningsanmälan</t>
        </is>
      </c>
      <c r="C737" t="inlineStr">
        <is>
          <t>Föryngringsavverkning</t>
        </is>
      </c>
      <c r="D737" s="1" t="n">
        <v>45254</v>
      </c>
      <c r="E737" s="1" t="n">
        <v>46219</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s="2" t="inlineStr"/>
    </row>
    <row r="738" ht="15" customHeight="1">
      <c r="A738" t="inlineStr">
        <is>
          <t>A 46213-2025</t>
        </is>
      </c>
      <c r="B738" t="inlineStr">
        <is>
          <t>avverkningsanmälan</t>
        </is>
      </c>
      <c r="C738" t="inlineStr">
        <is>
          <t>Föryngringsavverkning</t>
        </is>
      </c>
      <c r="D738" s="1" t="n">
        <v>45924</v>
      </c>
      <c r="E738" s="1" t="n">
        <v>46219</v>
      </c>
      <c r="F738" t="inlineStr">
        <is>
          <t>NORRBOTTENS LÄN</t>
        </is>
      </c>
      <c r="G738" t="inlineStr">
        <is>
          <t>PITEÅ</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54274-2023</t>
        </is>
      </c>
      <c r="B739" t="inlineStr">
        <is>
          <t>avverkningsanmälan</t>
        </is>
      </c>
      <c r="C739" t="inlineStr">
        <is>
          <t>Föryngringsavverkning</t>
        </is>
      </c>
      <c r="D739" s="1" t="n">
        <v>45232</v>
      </c>
      <c r="E739" s="1" t="n">
        <v>46219</v>
      </c>
      <c r="F739" t="inlineStr">
        <is>
          <t>NORRBOTTENS LÄN</t>
        </is>
      </c>
      <c r="G739" t="inlineStr">
        <is>
          <t>PITEÅ</t>
        </is>
      </c>
      <c r="H739" t="inlineStr">
        <is>
          <t>Sveaskog</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9152-2025</t>
        </is>
      </c>
      <c r="B740" t="inlineStr">
        <is>
          <t>avverkningsanmälan</t>
        </is>
      </c>
      <c r="C740" t="inlineStr">
        <is>
          <t>Föryngringsavverkning</t>
        </is>
      </c>
      <c r="D740" s="1" t="n">
        <v>45714</v>
      </c>
      <c r="E740" s="1" t="n">
        <v>46219</v>
      </c>
      <c r="F740" t="inlineStr">
        <is>
          <t>NORRBOTTENS LÄN</t>
        </is>
      </c>
      <c r="G740" t="inlineStr">
        <is>
          <t>PITEÅ</t>
        </is>
      </c>
      <c r="I740" t="n">
        <v>14.9</v>
      </c>
      <c r="J740" t="n">
        <v>0</v>
      </c>
      <c r="K740" t="n">
        <v>0</v>
      </c>
      <c r="L740" t="n">
        <v>0</v>
      </c>
      <c r="M740" t="n">
        <v>0</v>
      </c>
      <c r="N740" t="n">
        <v>0</v>
      </c>
      <c r="O740" t="n">
        <v>0</v>
      </c>
      <c r="P740" t="n">
        <v>0</v>
      </c>
      <c r="Q740" t="n">
        <v>0</v>
      </c>
      <c r="R740" t="n">
        <v>0</v>
      </c>
      <c r="S740" t="n">
        <v>0</v>
      </c>
      <c r="T740" t="n">
        <v>0</v>
      </c>
      <c r="U740" s="2" t="inlineStr"/>
    </row>
    <row r="741" ht="15" customHeight="1">
      <c r="A741" t="inlineStr">
        <is>
          <t>A 30459-2025</t>
        </is>
      </c>
      <c r="B741" t="inlineStr">
        <is>
          <t>avverkningsanmälan</t>
        </is>
      </c>
      <c r="C741" t="inlineStr">
        <is>
          <t>Föryngringsavverkning</t>
        </is>
      </c>
      <c r="D741" s="1" t="n">
        <v>45827</v>
      </c>
      <c r="E741" s="1" t="n">
        <v>46219</v>
      </c>
      <c r="F741" t="inlineStr">
        <is>
          <t>NORRBOTTENS LÄN</t>
        </is>
      </c>
      <c r="G741" t="inlineStr">
        <is>
          <t>PITEÅ</t>
        </is>
      </c>
      <c r="I741" t="n">
        <v>3.1</v>
      </c>
      <c r="J741" t="n">
        <v>0</v>
      </c>
      <c r="K741" t="n">
        <v>0</v>
      </c>
      <c r="L741" t="n">
        <v>0</v>
      </c>
      <c r="M741" t="n">
        <v>0</v>
      </c>
      <c r="N741" t="n">
        <v>0</v>
      </c>
      <c r="O741" t="n">
        <v>0</v>
      </c>
      <c r="P741" t="n">
        <v>0</v>
      </c>
      <c r="Q741" t="n">
        <v>0</v>
      </c>
      <c r="R741" t="n">
        <v>0</v>
      </c>
      <c r="S741" t="n">
        <v>0</v>
      </c>
      <c r="T741" t="n">
        <v>0</v>
      </c>
      <c r="U741" s="2" t="inlineStr"/>
    </row>
    <row r="742" ht="15" customHeight="1">
      <c r="A742" t="inlineStr">
        <is>
          <t>A 31453-2025</t>
        </is>
      </c>
      <c r="B742" t="inlineStr">
        <is>
          <t>avverkningsanmälan</t>
        </is>
      </c>
      <c r="C742" t="inlineStr">
        <is>
          <t>Föryngringsavverkning</t>
        </is>
      </c>
      <c r="D742" s="1" t="n">
        <v>45833</v>
      </c>
      <c r="E742" s="1" t="n">
        <v>46219</v>
      </c>
      <c r="F742" t="inlineStr">
        <is>
          <t>NORRBOTTENS LÄN</t>
        </is>
      </c>
      <c r="G742" t="inlineStr">
        <is>
          <t>PITEÅ</t>
        </is>
      </c>
      <c r="I742" t="n">
        <v>1.1</v>
      </c>
      <c r="J742" t="n">
        <v>0</v>
      </c>
      <c r="K742" t="n">
        <v>0</v>
      </c>
      <c r="L742" t="n">
        <v>0</v>
      </c>
      <c r="M742" t="n">
        <v>0</v>
      </c>
      <c r="N742" t="n">
        <v>0</v>
      </c>
      <c r="O742" t="n">
        <v>0</v>
      </c>
      <c r="P742" t="n">
        <v>0</v>
      </c>
      <c r="Q742" t="n">
        <v>0</v>
      </c>
      <c r="R742" t="n">
        <v>0</v>
      </c>
      <c r="S742" t="n">
        <v>0</v>
      </c>
      <c r="T742" t="n">
        <v>0</v>
      </c>
      <c r="U742" s="2" t="inlineStr"/>
    </row>
    <row r="743" ht="15" customHeight="1">
      <c r="A743" t="inlineStr">
        <is>
          <t>A 7901-2024</t>
        </is>
      </c>
      <c r="B743" t="inlineStr">
        <is>
          <t>avverkningsanmälan</t>
        </is>
      </c>
      <c r="C743" t="inlineStr">
        <is>
          <t>Föryngringsavverkning</t>
        </is>
      </c>
      <c r="D743" s="1" t="n">
        <v>45350</v>
      </c>
      <c r="E743" s="1" t="n">
        <v>46219</v>
      </c>
      <c r="F743" t="inlineStr">
        <is>
          <t>NORRBOTTENS LÄN</t>
        </is>
      </c>
      <c r="G743" t="inlineStr">
        <is>
          <t>PITEÅ</t>
        </is>
      </c>
      <c r="I743" t="n">
        <v>7.8</v>
      </c>
      <c r="J743" t="n">
        <v>0</v>
      </c>
      <c r="K743" t="n">
        <v>0</v>
      </c>
      <c r="L743" t="n">
        <v>0</v>
      </c>
      <c r="M743" t="n">
        <v>0</v>
      </c>
      <c r="N743" t="n">
        <v>0</v>
      </c>
      <c r="O743" t="n">
        <v>0</v>
      </c>
      <c r="P743" t="n">
        <v>0</v>
      </c>
      <c r="Q743" t="n">
        <v>0</v>
      </c>
      <c r="R743" t="n">
        <v>0</v>
      </c>
      <c r="S743" t="n">
        <v>0</v>
      </c>
      <c r="T743" t="n">
        <v>0</v>
      </c>
      <c r="U743" s="2" t="inlineStr"/>
    </row>
    <row r="744" ht="15" customHeight="1">
      <c r="A744" t="inlineStr">
        <is>
          <t>A 40088-2025</t>
        </is>
      </c>
      <c r="B744" t="inlineStr">
        <is>
          <t>avverkningsanmälan</t>
        </is>
      </c>
      <c r="C744" t="inlineStr">
        <is>
          <t>Föryngringsavverkning</t>
        </is>
      </c>
      <c r="D744" s="1" t="n">
        <v>45894</v>
      </c>
      <c r="E744" s="1" t="n">
        <v>46219</v>
      </c>
      <c r="F744" t="inlineStr">
        <is>
          <t>NORRBOTTENS LÄN</t>
        </is>
      </c>
      <c r="G744" t="inlineStr">
        <is>
          <t>PITEÅ</t>
        </is>
      </c>
      <c r="I744" t="n">
        <v>2.5</v>
      </c>
      <c r="J744" t="n">
        <v>0</v>
      </c>
      <c r="K744" t="n">
        <v>0</v>
      </c>
      <c r="L744" t="n">
        <v>0</v>
      </c>
      <c r="M744" t="n">
        <v>0</v>
      </c>
      <c r="N744" t="n">
        <v>0</v>
      </c>
      <c r="O744" t="n">
        <v>0</v>
      </c>
      <c r="P744" t="n">
        <v>0</v>
      </c>
      <c r="Q744" t="n">
        <v>0</v>
      </c>
      <c r="R744" t="n">
        <v>0</v>
      </c>
      <c r="S744" t="n">
        <v>0</v>
      </c>
      <c r="T744" t="n">
        <v>0</v>
      </c>
      <c r="U744" s="2" t="inlineStr"/>
    </row>
    <row r="745" ht="15" customHeight="1">
      <c r="A745" t="inlineStr">
        <is>
          <t>A 24304-2025</t>
        </is>
      </c>
      <c r="B745" t="inlineStr">
        <is>
          <t>avverkningsanmälan</t>
        </is>
      </c>
      <c r="C745" t="inlineStr">
        <is>
          <t>Föryngringsavverkning</t>
        </is>
      </c>
      <c r="D745" s="1" t="n">
        <v>45797</v>
      </c>
      <c r="E745" s="1" t="n">
        <v>46219</v>
      </c>
      <c r="F745" t="inlineStr">
        <is>
          <t>NORRBOTTENS LÄN</t>
        </is>
      </c>
      <c r="G745" t="inlineStr">
        <is>
          <t>PITEÅ</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51705-2024</t>
        </is>
      </c>
      <c r="B746" t="inlineStr">
        <is>
          <t>avverkningsanmälan</t>
        </is>
      </c>
      <c r="C746" t="inlineStr">
        <is>
          <t>Föryngringsavverkning</t>
        </is>
      </c>
      <c r="D746" s="1" t="n">
        <v>45607</v>
      </c>
      <c r="E746" s="1" t="n">
        <v>46219</v>
      </c>
      <c r="F746" t="inlineStr">
        <is>
          <t>NORRBOTTENS LÄN</t>
        </is>
      </c>
      <c r="G746" t="inlineStr">
        <is>
          <t>PITEÅ</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1908-2024</t>
        </is>
      </c>
      <c r="B747" t="inlineStr">
        <is>
          <t>avverkningsanmälan</t>
        </is>
      </c>
      <c r="C747" t="inlineStr">
        <is>
          <t>Föryngringsavverkning</t>
        </is>
      </c>
      <c r="D747" s="1" t="n">
        <v>45308</v>
      </c>
      <c r="E747" s="1" t="n">
        <v>46219</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42685-2025</t>
        </is>
      </c>
      <c r="B748" t="inlineStr">
        <is>
          <t>avverkningsanmälan</t>
        </is>
      </c>
      <c r="C748" t="inlineStr">
        <is>
          <t>Föryngringsavverkning</t>
        </is>
      </c>
      <c r="D748" s="1" t="n">
        <v>45908</v>
      </c>
      <c r="E748" s="1" t="n">
        <v>46219</v>
      </c>
      <c r="F748" t="inlineStr">
        <is>
          <t>NORRBOTTENS LÄN</t>
        </is>
      </c>
      <c r="G748" t="inlineStr">
        <is>
          <t>PITEÅ</t>
        </is>
      </c>
      <c r="I748" t="n">
        <v>5</v>
      </c>
      <c r="J748" t="n">
        <v>0</v>
      </c>
      <c r="K748" t="n">
        <v>0</v>
      </c>
      <c r="L748" t="n">
        <v>0</v>
      </c>
      <c r="M748" t="n">
        <v>0</v>
      </c>
      <c r="N748" t="n">
        <v>0</v>
      </c>
      <c r="O748" t="n">
        <v>0</v>
      </c>
      <c r="P748" t="n">
        <v>0</v>
      </c>
      <c r="Q748" t="n">
        <v>0</v>
      </c>
      <c r="R748" t="n">
        <v>0</v>
      </c>
      <c r="S748" t="n">
        <v>0</v>
      </c>
      <c r="T748" t="n">
        <v>0</v>
      </c>
      <c r="U748" s="2" t="inlineStr"/>
    </row>
    <row r="749" ht="15" customHeight="1">
      <c r="A749" t="inlineStr">
        <is>
          <t>A 17866-2024</t>
        </is>
      </c>
      <c r="B749" t="inlineStr">
        <is>
          <t>avverkningsanmälan</t>
        </is>
      </c>
      <c r="C749" t="inlineStr">
        <is>
          <t>Föryngringsavverkning</t>
        </is>
      </c>
      <c r="D749" s="1" t="n">
        <v>45419</v>
      </c>
      <c r="E749" s="1" t="n">
        <v>46219</v>
      </c>
      <c r="F749" t="inlineStr">
        <is>
          <t>NORRBOTTENS LÄN</t>
        </is>
      </c>
      <c r="G749" t="inlineStr">
        <is>
          <t>PITEÅ</t>
        </is>
      </c>
      <c r="I749" t="n">
        <v>10.6</v>
      </c>
      <c r="J749" t="n">
        <v>0</v>
      </c>
      <c r="K749" t="n">
        <v>0</v>
      </c>
      <c r="L749" t="n">
        <v>0</v>
      </c>
      <c r="M749" t="n">
        <v>0</v>
      </c>
      <c r="N749" t="n">
        <v>0</v>
      </c>
      <c r="O749" t="n">
        <v>0</v>
      </c>
      <c r="P749" t="n">
        <v>0</v>
      </c>
      <c r="Q749" t="n">
        <v>0</v>
      </c>
      <c r="R749" t="n">
        <v>0</v>
      </c>
      <c r="S749" t="n">
        <v>0</v>
      </c>
      <c r="T749" t="n">
        <v>0</v>
      </c>
      <c r="U749" s="2" t="inlineStr"/>
    </row>
    <row r="750" ht="15" customHeight="1">
      <c r="A750" t="inlineStr">
        <is>
          <t>A 34797-2025</t>
        </is>
      </c>
      <c r="B750" t="inlineStr">
        <is>
          <t>avverkningsanmälan</t>
        </is>
      </c>
      <c r="C750" t="inlineStr">
        <is>
          <t>Föryngringsavverkning</t>
        </is>
      </c>
      <c r="D750" s="1" t="n">
        <v>45848</v>
      </c>
      <c r="E750" s="1" t="n">
        <v>46219</v>
      </c>
      <c r="F750" t="inlineStr">
        <is>
          <t>NORRBOTTENS LÄN</t>
        </is>
      </c>
      <c r="G750" t="inlineStr">
        <is>
          <t>PITEÅ</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597-2025</t>
        </is>
      </c>
      <c r="B751" t="inlineStr">
        <is>
          <t>avverkningsanmälan</t>
        </is>
      </c>
      <c r="C751" t="inlineStr">
        <is>
          <t>Föryngringsavverkning</t>
        </is>
      </c>
      <c r="D751" s="1" t="n">
        <v>45664</v>
      </c>
      <c r="E751" s="1" t="n">
        <v>46219</v>
      </c>
      <c r="F751" t="inlineStr">
        <is>
          <t>NORRBOTTENS LÄN</t>
        </is>
      </c>
      <c r="G751" t="inlineStr">
        <is>
          <t>PITEÅ</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11018-2024</t>
        </is>
      </c>
      <c r="B752" t="inlineStr">
        <is>
          <t>avverkningsanmälan</t>
        </is>
      </c>
      <c r="C752" t="inlineStr">
        <is>
          <t>Föryngringsavverkning</t>
        </is>
      </c>
      <c r="D752" s="1" t="n">
        <v>45370</v>
      </c>
      <c r="E752" s="1" t="n">
        <v>46219</v>
      </c>
      <c r="F752" t="inlineStr">
        <is>
          <t>NORRBOTTENS LÄN</t>
        </is>
      </c>
      <c r="G752" t="inlineStr">
        <is>
          <t>PITEÅ</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34677-2025</t>
        </is>
      </c>
      <c r="B753" t="inlineStr">
        <is>
          <t>avverkningsanmälan</t>
        </is>
      </c>
      <c r="C753" t="inlineStr">
        <is>
          <t>Föryngringsavverkning</t>
        </is>
      </c>
      <c r="D753" s="1" t="n">
        <v>45848</v>
      </c>
      <c r="E753" s="1" t="n">
        <v>46219</v>
      </c>
      <c r="F753" t="inlineStr">
        <is>
          <t>NORRBOTTENS LÄN</t>
        </is>
      </c>
      <c r="G753" t="inlineStr">
        <is>
          <t>PITEÅ</t>
        </is>
      </c>
      <c r="I753" t="n">
        <v>2.8</v>
      </c>
      <c r="J753" t="n">
        <v>0</v>
      </c>
      <c r="K753" t="n">
        <v>0</v>
      </c>
      <c r="L753" t="n">
        <v>0</v>
      </c>
      <c r="M753" t="n">
        <v>0</v>
      </c>
      <c r="N753" t="n">
        <v>0</v>
      </c>
      <c r="O753" t="n">
        <v>0</v>
      </c>
      <c r="P753" t="n">
        <v>0</v>
      </c>
      <c r="Q753" t="n">
        <v>0</v>
      </c>
      <c r="R753" t="n">
        <v>0</v>
      </c>
      <c r="S753" t="n">
        <v>0</v>
      </c>
      <c r="T753" t="n">
        <v>0</v>
      </c>
      <c r="U753" s="2" t="inlineStr"/>
    </row>
    <row r="754" ht="15" customHeight="1">
      <c r="A754" t="inlineStr">
        <is>
          <t>A 41474-2025</t>
        </is>
      </c>
      <c r="B754" t="inlineStr">
        <is>
          <t>avverkningsanmälan</t>
        </is>
      </c>
      <c r="C754" t="inlineStr">
        <is>
          <t>Föryngringsavverkning</t>
        </is>
      </c>
      <c r="D754" s="1" t="n">
        <v>45901</v>
      </c>
      <c r="E754" s="1" t="n">
        <v>46219</v>
      </c>
      <c r="F754" t="inlineStr">
        <is>
          <t>NORRBOTTENS LÄN</t>
        </is>
      </c>
      <c r="G754" t="inlineStr">
        <is>
          <t>PITEÅ</t>
        </is>
      </c>
      <c r="I754" t="n">
        <v>3.5</v>
      </c>
      <c r="J754" t="n">
        <v>0</v>
      </c>
      <c r="K754" t="n">
        <v>0</v>
      </c>
      <c r="L754" t="n">
        <v>0</v>
      </c>
      <c r="M754" t="n">
        <v>0</v>
      </c>
      <c r="N754" t="n">
        <v>0</v>
      </c>
      <c r="O754" t="n">
        <v>0</v>
      </c>
      <c r="P754" t="n">
        <v>0</v>
      </c>
      <c r="Q754" t="n">
        <v>0</v>
      </c>
      <c r="R754" t="n">
        <v>0</v>
      </c>
      <c r="S754" t="n">
        <v>0</v>
      </c>
      <c r="T754" t="n">
        <v>0</v>
      </c>
      <c r="U754" s="2" t="inlineStr"/>
    </row>
    <row r="755" ht="15" customHeight="1">
      <c r="A755" t="inlineStr">
        <is>
          <t>A 34733-2025</t>
        </is>
      </c>
      <c r="B755" t="inlineStr">
        <is>
          <t>avverkningsanmälan</t>
        </is>
      </c>
      <c r="C755" t="inlineStr">
        <is>
          <t>Föryngringsavverkning</t>
        </is>
      </c>
      <c r="D755" s="1" t="n">
        <v>45848</v>
      </c>
      <c r="E755" s="1" t="n">
        <v>46219</v>
      </c>
      <c r="F755" t="inlineStr">
        <is>
          <t>NORRBOTTENS LÄN</t>
        </is>
      </c>
      <c r="G755" t="inlineStr">
        <is>
          <t>PITEÅ</t>
        </is>
      </c>
      <c r="H755" t="inlineStr">
        <is>
          <t>Sveaskog</t>
        </is>
      </c>
      <c r="I755" t="n">
        <v>9.699999999999999</v>
      </c>
      <c r="J755" t="n">
        <v>0</v>
      </c>
      <c r="K755" t="n">
        <v>0</v>
      </c>
      <c r="L755" t="n">
        <v>0</v>
      </c>
      <c r="M755" t="n">
        <v>0</v>
      </c>
      <c r="N755" t="n">
        <v>0</v>
      </c>
      <c r="O755" t="n">
        <v>0</v>
      </c>
      <c r="P755" t="n">
        <v>0</v>
      </c>
      <c r="Q755" t="n">
        <v>0</v>
      </c>
      <c r="R755" t="n">
        <v>0</v>
      </c>
      <c r="S755" t="n">
        <v>0</v>
      </c>
      <c r="T755" t="n">
        <v>0</v>
      </c>
      <c r="U755" s="2" t="inlineStr"/>
    </row>
    <row r="756" ht="15" customHeight="1">
      <c r="A756" t="inlineStr">
        <is>
          <t>A 28678-2025</t>
        </is>
      </c>
      <c r="B756" t="inlineStr">
        <is>
          <t>avverkningsanmälan</t>
        </is>
      </c>
      <c r="C756" t="inlineStr">
        <is>
          <t>Föryngringsavverkning</t>
        </is>
      </c>
      <c r="D756" s="1" t="n">
        <v>45819</v>
      </c>
      <c r="E756" s="1" t="n">
        <v>46219</v>
      </c>
      <c r="F756" t="inlineStr">
        <is>
          <t>NORRBOTTENS LÄN</t>
        </is>
      </c>
      <c r="G756" t="inlineStr">
        <is>
          <t>PITEÅ</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34809-2025</t>
        </is>
      </c>
      <c r="B757" t="inlineStr">
        <is>
          <t>avverkningsanmälan</t>
        </is>
      </c>
      <c r="C757" t="inlineStr">
        <is>
          <t>Föryngringsavverkning</t>
        </is>
      </c>
      <c r="D757" s="1" t="n">
        <v>45849</v>
      </c>
      <c r="E757" s="1" t="n">
        <v>46219</v>
      </c>
      <c r="F757" t="inlineStr">
        <is>
          <t>NORRBOTTENS LÄN</t>
        </is>
      </c>
      <c r="G757" t="inlineStr">
        <is>
          <t>PITEÅ</t>
        </is>
      </c>
      <c r="H757" t="inlineStr">
        <is>
          <t>Sveaskog</t>
        </is>
      </c>
      <c r="I757" t="n">
        <v>10</v>
      </c>
      <c r="J757" t="n">
        <v>0</v>
      </c>
      <c r="K757" t="n">
        <v>0</v>
      </c>
      <c r="L757" t="n">
        <v>0</v>
      </c>
      <c r="M757" t="n">
        <v>0</v>
      </c>
      <c r="N757" t="n">
        <v>0</v>
      </c>
      <c r="O757" t="n">
        <v>0</v>
      </c>
      <c r="P757" t="n">
        <v>0</v>
      </c>
      <c r="Q757" t="n">
        <v>0</v>
      </c>
      <c r="R757" t="n">
        <v>0</v>
      </c>
      <c r="S757" t="n">
        <v>0</v>
      </c>
      <c r="T757" t="n">
        <v>0</v>
      </c>
      <c r="U757" s="2" t="inlineStr"/>
    </row>
    <row r="758" ht="15" customHeight="1">
      <c r="A758" t="inlineStr">
        <is>
          <t>A 28715-2024</t>
        </is>
      </c>
      <c r="B758" t="inlineStr">
        <is>
          <t>avverkningsanmälan</t>
        </is>
      </c>
      <c r="C758" t="inlineStr">
        <is>
          <t>Föryngringsavverkning</t>
        </is>
      </c>
      <c r="D758" s="1" t="n">
        <v>45478</v>
      </c>
      <c r="E758" s="1" t="n">
        <v>46219</v>
      </c>
      <c r="F758" t="inlineStr">
        <is>
          <t>NORRBOTTENS LÄN</t>
        </is>
      </c>
      <c r="G758" t="inlineStr">
        <is>
          <t>PITEÅ</t>
        </is>
      </c>
      <c r="I758" t="n">
        <v>4.9</v>
      </c>
      <c r="J758" t="n">
        <v>0</v>
      </c>
      <c r="K758" t="n">
        <v>0</v>
      </c>
      <c r="L758" t="n">
        <v>0</v>
      </c>
      <c r="M758" t="n">
        <v>0</v>
      </c>
      <c r="N758" t="n">
        <v>0</v>
      </c>
      <c r="O758" t="n">
        <v>0</v>
      </c>
      <c r="P758" t="n">
        <v>0</v>
      </c>
      <c r="Q758" t="n">
        <v>0</v>
      </c>
      <c r="R758" t="n">
        <v>0</v>
      </c>
      <c r="S758" t="n">
        <v>0</v>
      </c>
      <c r="T758" t="n">
        <v>0</v>
      </c>
      <c r="U758" s="2" t="inlineStr"/>
    </row>
    <row r="759" ht="15" customHeight="1">
      <c r="A759" t="inlineStr">
        <is>
          <t>A 54334-2025</t>
        </is>
      </c>
      <c r="B759" t="inlineStr">
        <is>
          <t>avverkningsanmälan</t>
        </is>
      </c>
      <c r="C759" t="inlineStr">
        <is>
          <t>Föryngringsavverkning</t>
        </is>
      </c>
      <c r="D759" s="1" t="n">
        <v>45965</v>
      </c>
      <c r="E759" s="1" t="n">
        <v>46219</v>
      </c>
      <c r="F759" t="inlineStr">
        <is>
          <t>NORRBOTTENS LÄN</t>
        </is>
      </c>
      <c r="G759" t="inlineStr">
        <is>
          <t>PITEÅ</t>
        </is>
      </c>
      <c r="I759" t="n">
        <v>2.9</v>
      </c>
      <c r="J759" t="n">
        <v>0</v>
      </c>
      <c r="K759" t="n">
        <v>0</v>
      </c>
      <c r="L759" t="n">
        <v>0</v>
      </c>
      <c r="M759" t="n">
        <v>0</v>
      </c>
      <c r="N759" t="n">
        <v>0</v>
      </c>
      <c r="O759" t="n">
        <v>0</v>
      </c>
      <c r="P759" t="n">
        <v>0</v>
      </c>
      <c r="Q759" t="n">
        <v>0</v>
      </c>
      <c r="R759" t="n">
        <v>0</v>
      </c>
      <c r="S759" t="n">
        <v>0</v>
      </c>
      <c r="T759" t="n">
        <v>0</v>
      </c>
      <c r="U759" s="2" t="inlineStr"/>
    </row>
    <row r="760" ht="15" customHeight="1">
      <c r="A760" t="inlineStr">
        <is>
          <t>A 42225-2025</t>
        </is>
      </c>
      <c r="B760" t="inlineStr">
        <is>
          <t>avverkningsanmälan</t>
        </is>
      </c>
      <c r="C760" t="inlineStr">
        <is>
          <t>Föryngringsavverkning</t>
        </is>
      </c>
      <c r="D760" s="1" t="n">
        <v>45904</v>
      </c>
      <c r="E760" s="1" t="n">
        <v>46219</v>
      </c>
      <c r="F760" t="inlineStr">
        <is>
          <t>NORRBOTTENS LÄN</t>
        </is>
      </c>
      <c r="G760" t="inlineStr">
        <is>
          <t>PITEÅ</t>
        </is>
      </c>
      <c r="I760" t="n">
        <v>1.6</v>
      </c>
      <c r="J760" t="n">
        <v>0</v>
      </c>
      <c r="K760" t="n">
        <v>0</v>
      </c>
      <c r="L760" t="n">
        <v>0</v>
      </c>
      <c r="M760" t="n">
        <v>0</v>
      </c>
      <c r="N760" t="n">
        <v>0</v>
      </c>
      <c r="O760" t="n">
        <v>0</v>
      </c>
      <c r="P760" t="n">
        <v>0</v>
      </c>
      <c r="Q760" t="n">
        <v>0</v>
      </c>
      <c r="R760" t="n">
        <v>0</v>
      </c>
      <c r="S760" t="n">
        <v>0</v>
      </c>
      <c r="T760" t="n">
        <v>0</v>
      </c>
      <c r="U760" s="2" t="inlineStr"/>
    </row>
    <row r="761" ht="15" customHeight="1">
      <c r="A761" t="inlineStr">
        <is>
          <t>A 3887-2025</t>
        </is>
      </c>
      <c r="B761" t="inlineStr">
        <is>
          <t>avverkningsanmälan</t>
        </is>
      </c>
      <c r="C761" t="inlineStr">
        <is>
          <t>Föryngringsavverkning</t>
        </is>
      </c>
      <c r="D761" s="1" t="n">
        <v>45684</v>
      </c>
      <c r="E761" s="1" t="n">
        <v>46219</v>
      </c>
      <c r="F761" t="inlineStr">
        <is>
          <t>NORRBOTTENS LÄN</t>
        </is>
      </c>
      <c r="G761" t="inlineStr">
        <is>
          <t>PITEÅ</t>
        </is>
      </c>
      <c r="I761" t="n">
        <v>4.1</v>
      </c>
      <c r="J761" t="n">
        <v>0</v>
      </c>
      <c r="K761" t="n">
        <v>0</v>
      </c>
      <c r="L761" t="n">
        <v>0</v>
      </c>
      <c r="M761" t="n">
        <v>0</v>
      </c>
      <c r="N761" t="n">
        <v>0</v>
      </c>
      <c r="O761" t="n">
        <v>0</v>
      </c>
      <c r="P761" t="n">
        <v>0</v>
      </c>
      <c r="Q761" t="n">
        <v>0</v>
      </c>
      <c r="R761" t="n">
        <v>0</v>
      </c>
      <c r="S761" t="n">
        <v>0</v>
      </c>
      <c r="T761" t="n">
        <v>0</v>
      </c>
      <c r="U761" s="2" t="inlineStr"/>
    </row>
    <row r="762" ht="15" customHeight="1">
      <c r="A762" t="inlineStr">
        <is>
          <t>A 39510-2025</t>
        </is>
      </c>
      <c r="B762" t="inlineStr">
        <is>
          <t>avverkningsanmälan</t>
        </is>
      </c>
      <c r="C762" t="inlineStr">
        <is>
          <t>Föryngringsavverkning</t>
        </is>
      </c>
      <c r="D762" s="1" t="n">
        <v>45890</v>
      </c>
      <c r="E762" s="1" t="n">
        <v>46219</v>
      </c>
      <c r="F762" t="inlineStr">
        <is>
          <t>NORRBOTTENS LÄN</t>
        </is>
      </c>
      <c r="G762" t="inlineStr">
        <is>
          <t>PITEÅ</t>
        </is>
      </c>
      <c r="I762" t="n">
        <v>19.7</v>
      </c>
      <c r="J762" t="n">
        <v>0</v>
      </c>
      <c r="K762" t="n">
        <v>0</v>
      </c>
      <c r="L762" t="n">
        <v>0</v>
      </c>
      <c r="M762" t="n">
        <v>0</v>
      </c>
      <c r="N762" t="n">
        <v>0</v>
      </c>
      <c r="O762" t="n">
        <v>0</v>
      </c>
      <c r="P762" t="n">
        <v>0</v>
      </c>
      <c r="Q762" t="n">
        <v>0</v>
      </c>
      <c r="R762" t="n">
        <v>0</v>
      </c>
      <c r="S762" t="n">
        <v>0</v>
      </c>
      <c r="T762" t="n">
        <v>0</v>
      </c>
      <c r="U762" s="2" t="inlineStr"/>
    </row>
    <row r="763" ht="15" customHeight="1">
      <c r="A763" t="inlineStr">
        <is>
          <t>A 48802-2025</t>
        </is>
      </c>
      <c r="B763" t="inlineStr">
        <is>
          <t>avverkningsanmälan</t>
        </is>
      </c>
      <c r="C763" t="inlineStr">
        <is>
          <t>Föryngringsavverkning</t>
        </is>
      </c>
      <c r="D763" s="1" t="n">
        <v>45937</v>
      </c>
      <c r="E763" s="1" t="n">
        <v>46219</v>
      </c>
      <c r="F763" t="inlineStr">
        <is>
          <t>NORRBOTTENS LÄN</t>
        </is>
      </c>
      <c r="G763" t="inlineStr">
        <is>
          <t>PITEÅ</t>
        </is>
      </c>
      <c r="I763" t="n">
        <v>1.3</v>
      </c>
      <c r="J763" t="n">
        <v>0</v>
      </c>
      <c r="K763" t="n">
        <v>0</v>
      </c>
      <c r="L763" t="n">
        <v>0</v>
      </c>
      <c r="M763" t="n">
        <v>0</v>
      </c>
      <c r="N763" t="n">
        <v>0</v>
      </c>
      <c r="O763" t="n">
        <v>0</v>
      </c>
      <c r="P763" t="n">
        <v>0</v>
      </c>
      <c r="Q763" t="n">
        <v>0</v>
      </c>
      <c r="R763" t="n">
        <v>0</v>
      </c>
      <c r="S763" t="n">
        <v>0</v>
      </c>
      <c r="T763" t="n">
        <v>0</v>
      </c>
      <c r="U763" s="2" t="inlineStr"/>
    </row>
    <row r="764" ht="15" customHeight="1">
      <c r="A764" t="inlineStr">
        <is>
          <t>A 20452-2026</t>
        </is>
      </c>
      <c r="B764" t="inlineStr">
        <is>
          <t>avverkningsanmälan</t>
        </is>
      </c>
      <c r="C764" t="inlineStr">
        <is>
          <t>Avverkning för annat ändamål</t>
        </is>
      </c>
      <c r="D764" s="1" t="n">
        <v>46140</v>
      </c>
      <c r="E764" s="1" t="n">
        <v>46219</v>
      </c>
      <c r="F764" t="inlineStr">
        <is>
          <t>NORRBOTTENS LÄN</t>
        </is>
      </c>
      <c r="G764" t="inlineStr">
        <is>
          <t>PITEÅ</t>
        </is>
      </c>
      <c r="H764" t="inlineStr">
        <is>
          <t>Sveaskog</t>
        </is>
      </c>
      <c r="I764" t="n">
        <v>5.1</v>
      </c>
      <c r="J764" t="n">
        <v>0</v>
      </c>
      <c r="K764" t="n">
        <v>0</v>
      </c>
      <c r="L764" t="n">
        <v>0</v>
      </c>
      <c r="M764" t="n">
        <v>0</v>
      </c>
      <c r="N764" t="n">
        <v>0</v>
      </c>
      <c r="O764" t="n">
        <v>0</v>
      </c>
      <c r="P764" t="n">
        <v>0</v>
      </c>
      <c r="Q764" t="n">
        <v>0</v>
      </c>
      <c r="R764" t="n">
        <v>0</v>
      </c>
      <c r="S764" t="n">
        <v>0</v>
      </c>
      <c r="T764" t="n">
        <v>0</v>
      </c>
      <c r="U764" s="2" t="inlineStr"/>
    </row>
    <row r="765" ht="15" customHeight="1">
      <c r="A765" t="inlineStr">
        <is>
          <t>A 49984-2025</t>
        </is>
      </c>
      <c r="B765" t="inlineStr">
        <is>
          <t>avverkningsanmälan</t>
        </is>
      </c>
      <c r="C765" t="inlineStr">
        <is>
          <t>Föryngringsavverkning</t>
        </is>
      </c>
      <c r="D765" s="1" t="n">
        <v>45942</v>
      </c>
      <c r="E765" s="1" t="n">
        <v>46219</v>
      </c>
      <c r="F765" t="inlineStr">
        <is>
          <t>NORRBOTTENS LÄN</t>
        </is>
      </c>
      <c r="G765" t="inlineStr">
        <is>
          <t>PITEÅ</t>
        </is>
      </c>
      <c r="H765" t="inlineStr">
        <is>
          <t>SCA</t>
        </is>
      </c>
      <c r="I765" t="n">
        <v>2.5</v>
      </c>
      <c r="J765" t="n">
        <v>0</v>
      </c>
      <c r="K765" t="n">
        <v>0</v>
      </c>
      <c r="L765" t="n">
        <v>0</v>
      </c>
      <c r="M765" t="n">
        <v>0</v>
      </c>
      <c r="N765" t="n">
        <v>0</v>
      </c>
      <c r="O765" t="n">
        <v>0</v>
      </c>
      <c r="P765" t="n">
        <v>0</v>
      </c>
      <c r="Q765" t="n">
        <v>0</v>
      </c>
      <c r="R765" t="n">
        <v>0</v>
      </c>
      <c r="S765" t="n">
        <v>0</v>
      </c>
      <c r="T765" t="n">
        <v>0</v>
      </c>
      <c r="U765" s="2" t="inlineStr"/>
    </row>
    <row r="766" ht="15" customHeight="1">
      <c r="A766" t="inlineStr">
        <is>
          <t>A 30477-2025</t>
        </is>
      </c>
      <c r="B766" t="inlineStr">
        <is>
          <t>avverkningsanmälan</t>
        </is>
      </c>
      <c r="C766" t="inlineStr">
        <is>
          <t>Föryngringsavverkning</t>
        </is>
      </c>
      <c r="D766" s="1" t="n">
        <v>45828</v>
      </c>
      <c r="E766" s="1" t="n">
        <v>46219</v>
      </c>
      <c r="F766" t="inlineStr">
        <is>
          <t>NORRBOTTENS LÄN</t>
        </is>
      </c>
      <c r="G766" t="inlineStr">
        <is>
          <t>PITEÅ</t>
        </is>
      </c>
      <c r="H766" t="inlineStr">
        <is>
          <t>SCA</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43422-2025</t>
        </is>
      </c>
      <c r="B767" t="inlineStr">
        <is>
          <t>avverkningsanmälan</t>
        </is>
      </c>
      <c r="C767" t="inlineStr">
        <is>
          <t>Föryngringsavverkning</t>
        </is>
      </c>
      <c r="D767" s="1" t="n">
        <v>45911</v>
      </c>
      <c r="E767" s="1" t="n">
        <v>46219</v>
      </c>
      <c r="F767" t="inlineStr">
        <is>
          <t>NORRBOTTENS LÄN</t>
        </is>
      </c>
      <c r="G767" t="inlineStr">
        <is>
          <t>PITEÅ</t>
        </is>
      </c>
      <c r="I767" t="n">
        <v>1.9</v>
      </c>
      <c r="J767" t="n">
        <v>0</v>
      </c>
      <c r="K767" t="n">
        <v>0</v>
      </c>
      <c r="L767" t="n">
        <v>0</v>
      </c>
      <c r="M767" t="n">
        <v>0</v>
      </c>
      <c r="N767" t="n">
        <v>0</v>
      </c>
      <c r="O767" t="n">
        <v>0</v>
      </c>
      <c r="P767" t="n">
        <v>0</v>
      </c>
      <c r="Q767" t="n">
        <v>0</v>
      </c>
      <c r="R767" t="n">
        <v>0</v>
      </c>
      <c r="S767" t="n">
        <v>0</v>
      </c>
      <c r="T767" t="n">
        <v>0</v>
      </c>
      <c r="U767" s="2" t="inlineStr"/>
    </row>
    <row r="768" ht="15" customHeight="1">
      <c r="A768" t="inlineStr">
        <is>
          <t>A 20931-2026</t>
        </is>
      </c>
      <c r="B768" t="inlineStr">
        <is>
          <t>avverkningsanmälan</t>
        </is>
      </c>
      <c r="C768" t="inlineStr">
        <is>
          <t>Föryngringsavverkning</t>
        </is>
      </c>
      <c r="D768" s="1" t="n">
        <v>46142</v>
      </c>
      <c r="E768" s="1" t="n">
        <v>46219</v>
      </c>
      <c r="F768" t="inlineStr">
        <is>
          <t>NORRBOTTENS LÄN</t>
        </is>
      </c>
      <c r="G768" t="inlineStr">
        <is>
          <t>PITEÅ</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48430-2025</t>
        </is>
      </c>
      <c r="B769" t="inlineStr">
        <is>
          <t>avverkningsanmälan</t>
        </is>
      </c>
      <c r="C769" t="inlineStr">
        <is>
          <t>Föryngringsavverkning</t>
        </is>
      </c>
      <c r="D769" s="1" t="n">
        <v>45934</v>
      </c>
      <c r="E769" s="1" t="n">
        <v>46219</v>
      </c>
      <c r="F769" t="inlineStr">
        <is>
          <t>NORRBOTTENS LÄN</t>
        </is>
      </c>
      <c r="G769" t="inlineStr">
        <is>
          <t>PITEÅ</t>
        </is>
      </c>
      <c r="I769" t="n">
        <v>6.7</v>
      </c>
      <c r="J769" t="n">
        <v>0</v>
      </c>
      <c r="K769" t="n">
        <v>0</v>
      </c>
      <c r="L769" t="n">
        <v>0</v>
      </c>
      <c r="M769" t="n">
        <v>0</v>
      </c>
      <c r="N769" t="n">
        <v>0</v>
      </c>
      <c r="O769" t="n">
        <v>0</v>
      </c>
      <c r="P769" t="n">
        <v>0</v>
      </c>
      <c r="Q769" t="n">
        <v>0</v>
      </c>
      <c r="R769" t="n">
        <v>0</v>
      </c>
      <c r="S769" t="n">
        <v>0</v>
      </c>
      <c r="T769" t="n">
        <v>0</v>
      </c>
      <c r="U769" s="2" t="inlineStr"/>
    </row>
    <row r="770" ht="15" customHeight="1">
      <c r="A770" t="inlineStr">
        <is>
          <t>A 44401-2024</t>
        </is>
      </c>
      <c r="B770" t="inlineStr">
        <is>
          <t>avverkningsanmälan</t>
        </is>
      </c>
      <c r="C770" t="inlineStr">
        <is>
          <t>Föryngringsavverkning</t>
        </is>
      </c>
      <c r="D770" s="1" t="n">
        <v>45573</v>
      </c>
      <c r="E770" s="1" t="n">
        <v>46219</v>
      </c>
      <c r="F770" t="inlineStr">
        <is>
          <t>NORRBOTTENS LÄN</t>
        </is>
      </c>
      <c r="G770" t="inlineStr">
        <is>
          <t>PITEÅ</t>
        </is>
      </c>
      <c r="I770" t="n">
        <v>1.5</v>
      </c>
      <c r="J770" t="n">
        <v>0</v>
      </c>
      <c r="K770" t="n">
        <v>0</v>
      </c>
      <c r="L770" t="n">
        <v>0</v>
      </c>
      <c r="M770" t="n">
        <v>0</v>
      </c>
      <c r="N770" t="n">
        <v>0</v>
      </c>
      <c r="O770" t="n">
        <v>0</v>
      </c>
      <c r="P770" t="n">
        <v>0</v>
      </c>
      <c r="Q770" t="n">
        <v>0</v>
      </c>
      <c r="R770" t="n">
        <v>0</v>
      </c>
      <c r="S770" t="n">
        <v>0</v>
      </c>
      <c r="T770" t="n">
        <v>0</v>
      </c>
      <c r="U770" s="2" t="inlineStr"/>
    </row>
    <row r="771" ht="15" customHeight="1">
      <c r="A771" t="inlineStr">
        <is>
          <t>A 24989-2025</t>
        </is>
      </c>
      <c r="B771" t="inlineStr">
        <is>
          <t>avverkningsanmälan</t>
        </is>
      </c>
      <c r="C771" t="inlineStr">
        <is>
          <t>Föryngringsavverkning</t>
        </is>
      </c>
      <c r="D771" s="1" t="n">
        <v>45799</v>
      </c>
      <c r="E771" s="1" t="n">
        <v>46219</v>
      </c>
      <c r="F771" t="inlineStr">
        <is>
          <t>NORRBOTTENS LÄN</t>
        </is>
      </c>
      <c r="G771" t="inlineStr">
        <is>
          <t>PITEÅ</t>
        </is>
      </c>
      <c r="I771" t="n">
        <v>11.7</v>
      </c>
      <c r="J771" t="n">
        <v>0</v>
      </c>
      <c r="K771" t="n">
        <v>0</v>
      </c>
      <c r="L771" t="n">
        <v>0</v>
      </c>
      <c r="M771" t="n">
        <v>0</v>
      </c>
      <c r="N771" t="n">
        <v>0</v>
      </c>
      <c r="O771" t="n">
        <v>0</v>
      </c>
      <c r="P771" t="n">
        <v>0</v>
      </c>
      <c r="Q771" t="n">
        <v>0</v>
      </c>
      <c r="R771" t="n">
        <v>0</v>
      </c>
      <c r="S771" t="n">
        <v>0</v>
      </c>
      <c r="T771" t="n">
        <v>0</v>
      </c>
      <c r="U771" s="2" t="inlineStr"/>
    </row>
    <row r="772" ht="15" customHeight="1">
      <c r="A772" t="inlineStr">
        <is>
          <t>A 27268-2022</t>
        </is>
      </c>
      <c r="B772" t="inlineStr">
        <is>
          <t>avverkningsanmälan</t>
        </is>
      </c>
      <c r="C772" t="inlineStr">
        <is>
          <t>Föryngringsavverkning</t>
        </is>
      </c>
      <c r="D772" s="1" t="n">
        <v>44741</v>
      </c>
      <c r="E772" s="1" t="n">
        <v>46219</v>
      </c>
      <c r="F772" t="inlineStr">
        <is>
          <t>NORRBOTTENS LÄN</t>
        </is>
      </c>
      <c r="G772" t="inlineStr">
        <is>
          <t>PITEÅ</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53632-2022</t>
        </is>
      </c>
      <c r="B773" t="inlineStr">
        <is>
          <t>avverkningsanmälan</t>
        </is>
      </c>
      <c r="C773" t="inlineStr">
        <is>
          <t>Föryngringsavverkning</t>
        </is>
      </c>
      <c r="D773" s="1" t="n">
        <v>44879</v>
      </c>
      <c r="E773" s="1" t="n">
        <v>46219</v>
      </c>
      <c r="F773" t="inlineStr">
        <is>
          <t>NORRBOTTENS LÄN</t>
        </is>
      </c>
      <c r="G773" t="inlineStr">
        <is>
          <t>PITEÅ</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53633-2022</t>
        </is>
      </c>
      <c r="B774" t="inlineStr">
        <is>
          <t>avverkningsanmälan</t>
        </is>
      </c>
      <c r="C774" t="inlineStr">
        <is>
          <t>Föryngringsavverkning</t>
        </is>
      </c>
      <c r="D774" s="1" t="n">
        <v>44879</v>
      </c>
      <c r="E774" s="1" t="n">
        <v>46219</v>
      </c>
      <c r="F774" t="inlineStr">
        <is>
          <t>NORRBOTTENS LÄN</t>
        </is>
      </c>
      <c r="G774" t="inlineStr">
        <is>
          <t>PITEÅ</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27270-2022</t>
        </is>
      </c>
      <c r="B775" t="inlineStr">
        <is>
          <t>avverkningsanmälan</t>
        </is>
      </c>
      <c r="C775" t="inlineStr">
        <is>
          <t>Föryngringsavverkning</t>
        </is>
      </c>
      <c r="D775" s="1" t="n">
        <v>44741</v>
      </c>
      <c r="E775" s="1" t="n">
        <v>46219</v>
      </c>
      <c r="F775" t="inlineStr">
        <is>
          <t>NORRBOTTENS LÄN</t>
        </is>
      </c>
      <c r="G775" t="inlineStr">
        <is>
          <t>PITEÅ</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2125-2026</t>
        </is>
      </c>
      <c r="B776" t="inlineStr">
        <is>
          <t>avverkningsanmälan</t>
        </is>
      </c>
      <c r="C776" t="inlineStr">
        <is>
          <t>Föryngringsavverkning</t>
        </is>
      </c>
      <c r="D776" s="1" t="n">
        <v>46036</v>
      </c>
      <c r="E776" s="1" t="n">
        <v>46219</v>
      </c>
      <c r="F776" t="inlineStr">
        <is>
          <t>NORRBOTTENS LÄN</t>
        </is>
      </c>
      <c r="G776" t="inlineStr">
        <is>
          <t>PITEÅ</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A 65769-2021</t>
        </is>
      </c>
      <c r="B777" t="inlineStr">
        <is>
          <t>avverkningsanmälan</t>
        </is>
      </c>
      <c r="C777" t="inlineStr">
        <is>
          <t>Föryngringsavverkning</t>
        </is>
      </c>
      <c r="D777" s="1" t="n">
        <v>44516</v>
      </c>
      <c r="E777" s="1" t="n">
        <v>46219</v>
      </c>
      <c r="F777" t="inlineStr">
        <is>
          <t>NORRBOTTENS LÄN</t>
        </is>
      </c>
      <c r="G777" t="inlineStr">
        <is>
          <t>PITEÅ</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67376-2021</t>
        </is>
      </c>
      <c r="B778" t="inlineStr">
        <is>
          <t>avverkningsanmälan</t>
        </is>
      </c>
      <c r="C778" t="inlineStr">
        <is>
          <t>Föryngringsavverkning</t>
        </is>
      </c>
      <c r="D778" s="1" t="n">
        <v>44523</v>
      </c>
      <c r="E778" s="1" t="n">
        <v>46219</v>
      </c>
      <c r="F778" t="inlineStr">
        <is>
          <t>NORRBOTTENS LÄN</t>
        </is>
      </c>
      <c r="G778" t="inlineStr">
        <is>
          <t>PITEÅ</t>
        </is>
      </c>
      <c r="I778" t="n">
        <v>4.6</v>
      </c>
      <c r="J778" t="n">
        <v>0</v>
      </c>
      <c r="K778" t="n">
        <v>0</v>
      </c>
      <c r="L778" t="n">
        <v>0</v>
      </c>
      <c r="M778" t="n">
        <v>0</v>
      </c>
      <c r="N778" t="n">
        <v>0</v>
      </c>
      <c r="O778" t="n">
        <v>0</v>
      </c>
      <c r="P778" t="n">
        <v>0</v>
      </c>
      <c r="Q778" t="n">
        <v>0</v>
      </c>
      <c r="R778" t="n">
        <v>0</v>
      </c>
      <c r="S778" t="n">
        <v>0</v>
      </c>
      <c r="T778" t="n">
        <v>0</v>
      </c>
      <c r="U778" s="2" t="inlineStr"/>
    </row>
    <row r="779" ht="15" customHeight="1">
      <c r="A779" t="inlineStr">
        <is>
          <t>A 4330-2022</t>
        </is>
      </c>
      <c r="B779" t="inlineStr">
        <is>
          <t>avverkningsanmälan</t>
        </is>
      </c>
      <c r="C779" t="inlineStr">
        <is>
          <t>Föryngringsavverkning</t>
        </is>
      </c>
      <c r="D779" s="1" t="n">
        <v>44588</v>
      </c>
      <c r="E779" s="1" t="n">
        <v>46219</v>
      </c>
      <c r="F779" t="inlineStr">
        <is>
          <t>NORRBOTTENS LÄN</t>
        </is>
      </c>
      <c r="G779" t="inlineStr">
        <is>
          <t>PITEÅ</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18740-2022</t>
        </is>
      </c>
      <c r="B780" t="inlineStr">
        <is>
          <t>avverkningsanmälan</t>
        </is>
      </c>
      <c r="C780" t="inlineStr">
        <is>
          <t>Föryngringsavverkning</t>
        </is>
      </c>
      <c r="D780" s="1" t="n">
        <v>44687</v>
      </c>
      <c r="E780" s="1" t="n">
        <v>46219</v>
      </c>
      <c r="F780" t="inlineStr">
        <is>
          <t>NORRBOTTENS LÄN</t>
        </is>
      </c>
      <c r="G780" t="inlineStr">
        <is>
          <t>PITEÅ</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31635-2022</t>
        </is>
      </c>
      <c r="B781" t="inlineStr">
        <is>
          <t>avverkningsanmälan</t>
        </is>
      </c>
      <c r="C781" t="inlineStr">
        <is>
          <t>Föryngringsavverkning</t>
        </is>
      </c>
      <c r="D781" s="1" t="n">
        <v>44775</v>
      </c>
      <c r="E781" s="1" t="n">
        <v>46219</v>
      </c>
      <c r="F781" t="inlineStr">
        <is>
          <t>NORRBOTTENS LÄN</t>
        </is>
      </c>
      <c r="G781" t="inlineStr">
        <is>
          <t>PITEÅ</t>
        </is>
      </c>
      <c r="I781" t="n">
        <v>2.9</v>
      </c>
      <c r="J781" t="n">
        <v>0</v>
      </c>
      <c r="K781" t="n">
        <v>0</v>
      </c>
      <c r="L781" t="n">
        <v>0</v>
      </c>
      <c r="M781" t="n">
        <v>0</v>
      </c>
      <c r="N781" t="n">
        <v>0</v>
      </c>
      <c r="O781" t="n">
        <v>0</v>
      </c>
      <c r="P781" t="n">
        <v>0</v>
      </c>
      <c r="Q781" t="n">
        <v>0</v>
      </c>
      <c r="R781" t="n">
        <v>0</v>
      </c>
      <c r="S781" t="n">
        <v>0</v>
      </c>
      <c r="T781" t="n">
        <v>0</v>
      </c>
      <c r="U781" s="2" t="inlineStr"/>
    </row>
    <row r="782" ht="15" customHeight="1">
      <c r="A782" t="inlineStr">
        <is>
          <t>A 10544-2022</t>
        </is>
      </c>
      <c r="B782" t="inlineStr">
        <is>
          <t>avverkningsanmälan</t>
        </is>
      </c>
      <c r="C782" t="inlineStr">
        <is>
          <t>Föryngringsavverkning</t>
        </is>
      </c>
      <c r="D782" s="1" t="n">
        <v>44623</v>
      </c>
      <c r="E782" s="1" t="n">
        <v>46219</v>
      </c>
      <c r="F782" t="inlineStr">
        <is>
          <t>NORRBOTTENS LÄN</t>
        </is>
      </c>
      <c r="G782" t="inlineStr">
        <is>
          <t>PITEÅ</t>
        </is>
      </c>
      <c r="I782" t="n">
        <v>21.9</v>
      </c>
      <c r="J782" t="n">
        <v>0</v>
      </c>
      <c r="K782" t="n">
        <v>0</v>
      </c>
      <c r="L782" t="n">
        <v>0</v>
      </c>
      <c r="M782" t="n">
        <v>0</v>
      </c>
      <c r="N782" t="n">
        <v>0</v>
      </c>
      <c r="O782" t="n">
        <v>0</v>
      </c>
      <c r="P782" t="n">
        <v>0</v>
      </c>
      <c r="Q782" t="n">
        <v>0</v>
      </c>
      <c r="R782" t="n">
        <v>0</v>
      </c>
      <c r="S782" t="n">
        <v>0</v>
      </c>
      <c r="T782" t="n">
        <v>0</v>
      </c>
      <c r="U782" s="2" t="inlineStr"/>
    </row>
    <row r="783" ht="15" customHeight="1">
      <c r="A783" t="inlineStr">
        <is>
          <t>A 5906-2022</t>
        </is>
      </c>
      <c r="B783" t="inlineStr">
        <is>
          <t>avverkningsanmälan</t>
        </is>
      </c>
      <c r="C783" t="inlineStr">
        <is>
          <t>Föryngringsavverkning</t>
        </is>
      </c>
      <c r="D783" s="1" t="n">
        <v>44596</v>
      </c>
      <c r="E783" s="1" t="n">
        <v>46219</v>
      </c>
      <c r="F783" t="inlineStr">
        <is>
          <t>NORRBOTTENS LÄN</t>
        </is>
      </c>
      <c r="G783" t="inlineStr">
        <is>
          <t>PITEÅ</t>
        </is>
      </c>
      <c r="I783" t="n">
        <v>1.7</v>
      </c>
      <c r="J783" t="n">
        <v>0</v>
      </c>
      <c r="K783" t="n">
        <v>0</v>
      </c>
      <c r="L783" t="n">
        <v>0</v>
      </c>
      <c r="M783" t="n">
        <v>0</v>
      </c>
      <c r="N783" t="n">
        <v>0</v>
      </c>
      <c r="O783" t="n">
        <v>0</v>
      </c>
      <c r="P783" t="n">
        <v>0</v>
      </c>
      <c r="Q783" t="n">
        <v>0</v>
      </c>
      <c r="R783" t="n">
        <v>0</v>
      </c>
      <c r="S783" t="n">
        <v>0</v>
      </c>
      <c r="T783" t="n">
        <v>0</v>
      </c>
      <c r="U783" s="2" t="inlineStr"/>
    </row>
    <row r="784" ht="15" customHeight="1">
      <c r="A784" t="inlineStr">
        <is>
          <t>A 26531-2026</t>
        </is>
      </c>
      <c r="B784" t="inlineStr">
        <is>
          <t>avverkningsanmälan</t>
        </is>
      </c>
      <c r="C784" t="inlineStr">
        <is>
          <t>Föryngringsavverkning</t>
        </is>
      </c>
      <c r="D784" s="1" t="n">
        <v>46183</v>
      </c>
      <c r="E784" s="1" t="n">
        <v>46219</v>
      </c>
      <c r="F784" t="inlineStr">
        <is>
          <t>NORRBOTTENS LÄN</t>
        </is>
      </c>
      <c r="G784" t="inlineStr">
        <is>
          <t>PITEÅ</t>
        </is>
      </c>
      <c r="H784" t="inlineStr">
        <is>
          <t>Sveaskog</t>
        </is>
      </c>
      <c r="I784" t="n">
        <v>10.5</v>
      </c>
      <c r="J784" t="n">
        <v>0</v>
      </c>
      <c r="K784" t="n">
        <v>0</v>
      </c>
      <c r="L784" t="n">
        <v>0</v>
      </c>
      <c r="M784" t="n">
        <v>0</v>
      </c>
      <c r="N784" t="n">
        <v>0</v>
      </c>
      <c r="O784" t="n">
        <v>0</v>
      </c>
      <c r="P784" t="n">
        <v>0</v>
      </c>
      <c r="Q784" t="n">
        <v>0</v>
      </c>
      <c r="R784" t="n">
        <v>0</v>
      </c>
      <c r="S784" t="n">
        <v>0</v>
      </c>
      <c r="T784" t="n">
        <v>0</v>
      </c>
      <c r="U784" s="2" t="inlineStr"/>
    </row>
    <row r="785" ht="15" customHeight="1">
      <c r="A785" t="inlineStr">
        <is>
          <t>A 26389-2026</t>
        </is>
      </c>
      <c r="B785" t="inlineStr">
        <is>
          <t>avverkningsanmälan</t>
        </is>
      </c>
      <c r="C785" t="inlineStr">
        <is>
          <t>Föryngringsavverkning</t>
        </is>
      </c>
      <c r="D785" s="1" t="n">
        <v>46183</v>
      </c>
      <c r="E785" s="1" t="n">
        <v>46219</v>
      </c>
      <c r="F785" t="inlineStr">
        <is>
          <t>NORRBOTTENS LÄN</t>
        </is>
      </c>
      <c r="G785" t="inlineStr">
        <is>
          <t>PITEÅ</t>
        </is>
      </c>
      <c r="H785" t="inlineStr">
        <is>
          <t>Sveaskog</t>
        </is>
      </c>
      <c r="I785" t="n">
        <v>28.6</v>
      </c>
      <c r="J785" t="n">
        <v>0</v>
      </c>
      <c r="K785" t="n">
        <v>0</v>
      </c>
      <c r="L785" t="n">
        <v>0</v>
      </c>
      <c r="M785" t="n">
        <v>0</v>
      </c>
      <c r="N785" t="n">
        <v>0</v>
      </c>
      <c r="O785" t="n">
        <v>0</v>
      </c>
      <c r="P785" t="n">
        <v>0</v>
      </c>
      <c r="Q785" t="n">
        <v>0</v>
      </c>
      <c r="R785" t="n">
        <v>0</v>
      </c>
      <c r="S785" t="n">
        <v>0</v>
      </c>
      <c r="T785" t="n">
        <v>0</v>
      </c>
      <c r="U785" s="2" t="inlineStr"/>
    </row>
    <row r="786" ht="15" customHeight="1">
      <c r="A786" t="inlineStr">
        <is>
          <t>A 19376-2025</t>
        </is>
      </c>
      <c r="B786" t="inlineStr">
        <is>
          <t>avverkningsanmälan</t>
        </is>
      </c>
      <c r="C786" t="inlineStr">
        <is>
          <t>Föryngringsavverkning</t>
        </is>
      </c>
      <c r="D786" s="1" t="n">
        <v>45769</v>
      </c>
      <c r="E786" s="1" t="n">
        <v>46219</v>
      </c>
      <c r="F786" t="inlineStr">
        <is>
          <t>NORRBOTTENS LÄN</t>
        </is>
      </c>
      <c r="G786" t="inlineStr">
        <is>
          <t>PITEÅ</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26479-2026</t>
        </is>
      </c>
      <c r="B787" t="inlineStr">
        <is>
          <t>avverkningsanmälan</t>
        </is>
      </c>
      <c r="C787" t="inlineStr">
        <is>
          <t>Föryngringsavverkning</t>
        </is>
      </c>
      <c r="D787" s="1" t="n">
        <v>46183</v>
      </c>
      <c r="E787" s="1" t="n">
        <v>46219</v>
      </c>
      <c r="F787" t="inlineStr">
        <is>
          <t>NORRBOTTENS LÄN</t>
        </is>
      </c>
      <c r="G787" t="inlineStr">
        <is>
          <t>PITEÅ</t>
        </is>
      </c>
      <c r="H787" t="inlineStr">
        <is>
          <t>Sveaskog</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37819-2024</t>
        </is>
      </c>
      <c r="B788" t="inlineStr">
        <is>
          <t>avverkningsanmälan</t>
        </is>
      </c>
      <c r="C788" t="inlineStr">
        <is>
          <t>Föryngringsavverkning</t>
        </is>
      </c>
      <c r="D788" s="1" t="n">
        <v>45544</v>
      </c>
      <c r="E788" s="1" t="n">
        <v>46219</v>
      </c>
      <c r="F788" t="inlineStr">
        <is>
          <t>NORRBOTTENS LÄN</t>
        </is>
      </c>
      <c r="G788" t="inlineStr">
        <is>
          <t>PITEÅ</t>
        </is>
      </c>
      <c r="I788" t="n">
        <v>3.5</v>
      </c>
      <c r="J788" t="n">
        <v>0</v>
      </c>
      <c r="K788" t="n">
        <v>0</v>
      </c>
      <c r="L788" t="n">
        <v>0</v>
      </c>
      <c r="M788" t="n">
        <v>0</v>
      </c>
      <c r="N788" t="n">
        <v>0</v>
      </c>
      <c r="O788" t="n">
        <v>0</v>
      </c>
      <c r="P788" t="n">
        <v>0</v>
      </c>
      <c r="Q788" t="n">
        <v>0</v>
      </c>
      <c r="R788" t="n">
        <v>0</v>
      </c>
      <c r="S788" t="n">
        <v>0</v>
      </c>
      <c r="T788" t="n">
        <v>0</v>
      </c>
      <c r="U788" s="2" t="inlineStr"/>
    </row>
    <row r="789" ht="15" customHeight="1">
      <c r="A789" t="inlineStr">
        <is>
          <t>A 21643-2024</t>
        </is>
      </c>
      <c r="B789" t="inlineStr">
        <is>
          <t>avverkningsanmälan</t>
        </is>
      </c>
      <c r="C789" t="inlineStr">
        <is>
          <t>Föryngringsavverkning</t>
        </is>
      </c>
      <c r="D789" s="1" t="n">
        <v>45442</v>
      </c>
      <c r="E789" s="1" t="n">
        <v>46219</v>
      </c>
      <c r="F789" t="inlineStr">
        <is>
          <t>NORRBOTTENS LÄN</t>
        </is>
      </c>
      <c r="G789" t="inlineStr">
        <is>
          <t>PITEÅ</t>
        </is>
      </c>
      <c r="I789" t="n">
        <v>3.1</v>
      </c>
      <c r="J789" t="n">
        <v>0</v>
      </c>
      <c r="K789" t="n">
        <v>0</v>
      </c>
      <c r="L789" t="n">
        <v>0</v>
      </c>
      <c r="M789" t="n">
        <v>0</v>
      </c>
      <c r="N789" t="n">
        <v>0</v>
      </c>
      <c r="O789" t="n">
        <v>0</v>
      </c>
      <c r="P789" t="n">
        <v>0</v>
      </c>
      <c r="Q789" t="n">
        <v>0</v>
      </c>
      <c r="R789" t="n">
        <v>0</v>
      </c>
      <c r="S789" t="n">
        <v>0</v>
      </c>
      <c r="T789" t="n">
        <v>0</v>
      </c>
      <c r="U789" s="2" t="inlineStr"/>
    </row>
    <row r="790" ht="15" customHeight="1">
      <c r="A790" t="inlineStr">
        <is>
          <t>A 36804-2025</t>
        </is>
      </c>
      <c r="B790" t="inlineStr">
        <is>
          <t>avverkningsanmälan</t>
        </is>
      </c>
      <c r="C790" t="inlineStr">
        <is>
          <t>Föryngringsavverkning</t>
        </is>
      </c>
      <c r="D790" s="1" t="n">
        <v>45873</v>
      </c>
      <c r="E790" s="1" t="n">
        <v>46219</v>
      </c>
      <c r="F790" t="inlineStr">
        <is>
          <t>NORRBOTTENS LÄN</t>
        </is>
      </c>
      <c r="G790" t="inlineStr">
        <is>
          <t>PITEÅ</t>
        </is>
      </c>
      <c r="H790" t="inlineStr">
        <is>
          <t>Sveaskog</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25952-2026</t>
        </is>
      </c>
      <c r="B791" t="inlineStr">
        <is>
          <t>avverkningsanmälan</t>
        </is>
      </c>
      <c r="C791" t="inlineStr">
        <is>
          <t>Föryngringsavverkning</t>
        </is>
      </c>
      <c r="D791" s="1" t="n">
        <v>46177</v>
      </c>
      <c r="E791" s="1" t="n">
        <v>46219</v>
      </c>
      <c r="F791" t="inlineStr">
        <is>
          <t>NORRBOTTENS LÄN</t>
        </is>
      </c>
      <c r="G791" t="inlineStr">
        <is>
          <t>PITEÅ</t>
        </is>
      </c>
      <c r="I791" t="n">
        <v>4.8</v>
      </c>
      <c r="J791" t="n">
        <v>0</v>
      </c>
      <c r="K791" t="n">
        <v>0</v>
      </c>
      <c r="L791" t="n">
        <v>0</v>
      </c>
      <c r="M791" t="n">
        <v>0</v>
      </c>
      <c r="N791" t="n">
        <v>0</v>
      </c>
      <c r="O791" t="n">
        <v>0</v>
      </c>
      <c r="P791" t="n">
        <v>0</v>
      </c>
      <c r="Q791" t="n">
        <v>0</v>
      </c>
      <c r="R791" t="n">
        <v>0</v>
      </c>
      <c r="S791" t="n">
        <v>0</v>
      </c>
      <c r="T791" t="n">
        <v>0</v>
      </c>
      <c r="U791" s="2" t="inlineStr"/>
    </row>
    <row r="792" ht="15" customHeight="1">
      <c r="A792" t="inlineStr">
        <is>
          <t>A 25953-2026</t>
        </is>
      </c>
      <c r="B792" t="inlineStr">
        <is>
          <t>avverkningsanmälan</t>
        </is>
      </c>
      <c r="C792" t="inlineStr">
        <is>
          <t>Föryngringsavverkning</t>
        </is>
      </c>
      <c r="D792" s="1" t="n">
        <v>46177</v>
      </c>
      <c r="E792" s="1" t="n">
        <v>46219</v>
      </c>
      <c r="F792" t="inlineStr">
        <is>
          <t>NORRBOTTENS LÄN</t>
        </is>
      </c>
      <c r="G792" t="inlineStr">
        <is>
          <t>PITEÅ</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36999-2025</t>
        </is>
      </c>
      <c r="B793" t="inlineStr">
        <is>
          <t>avverkningsanmälan</t>
        </is>
      </c>
      <c r="C793" t="inlineStr">
        <is>
          <t>Föryngringsavverkning</t>
        </is>
      </c>
      <c r="D793" s="1" t="n">
        <v>45874</v>
      </c>
      <c r="E793" s="1" t="n">
        <v>46219</v>
      </c>
      <c r="F793" t="inlineStr">
        <is>
          <t>NORRBOTTENS LÄN</t>
        </is>
      </c>
      <c r="G793" t="inlineStr">
        <is>
          <t>PITEÅ</t>
        </is>
      </c>
      <c r="H793" t="inlineStr">
        <is>
          <t>SCA</t>
        </is>
      </c>
      <c r="I793" t="n">
        <v>6.9</v>
      </c>
      <c r="J793" t="n">
        <v>0</v>
      </c>
      <c r="K793" t="n">
        <v>0</v>
      </c>
      <c r="L793" t="n">
        <v>0</v>
      </c>
      <c r="M793" t="n">
        <v>0</v>
      </c>
      <c r="N793" t="n">
        <v>0</v>
      </c>
      <c r="O793" t="n">
        <v>0</v>
      </c>
      <c r="P793" t="n">
        <v>0</v>
      </c>
      <c r="Q793" t="n">
        <v>0</v>
      </c>
      <c r="R793" t="n">
        <v>0</v>
      </c>
      <c r="S793" t="n">
        <v>0</v>
      </c>
      <c r="T793" t="n">
        <v>0</v>
      </c>
      <c r="U793" s="2" t="inlineStr"/>
    </row>
    <row r="794" ht="15" customHeight="1">
      <c r="A794" t="inlineStr">
        <is>
          <t>A 36649-2025</t>
        </is>
      </c>
      <c r="B794" t="inlineStr">
        <is>
          <t>avverkningsanmälan</t>
        </is>
      </c>
      <c r="C794" t="inlineStr">
        <is>
          <t>Föryngringsavverkning</t>
        </is>
      </c>
      <c r="D794" s="1" t="n">
        <v>45872</v>
      </c>
      <c r="E794" s="1" t="n">
        <v>46219</v>
      </c>
      <c r="F794" t="inlineStr">
        <is>
          <t>NORRBOTTENS LÄN</t>
        </is>
      </c>
      <c r="G794" t="inlineStr">
        <is>
          <t>PITEÅ</t>
        </is>
      </c>
      <c r="I794" t="n">
        <v>4.5</v>
      </c>
      <c r="J794" t="n">
        <v>0</v>
      </c>
      <c r="K794" t="n">
        <v>0</v>
      </c>
      <c r="L794" t="n">
        <v>0</v>
      </c>
      <c r="M794" t="n">
        <v>0</v>
      </c>
      <c r="N794" t="n">
        <v>0</v>
      </c>
      <c r="O794" t="n">
        <v>0</v>
      </c>
      <c r="P794" t="n">
        <v>0</v>
      </c>
      <c r="Q794" t="n">
        <v>0</v>
      </c>
      <c r="R794" t="n">
        <v>0</v>
      </c>
      <c r="S794" t="n">
        <v>0</v>
      </c>
      <c r="T794" t="n">
        <v>0</v>
      </c>
      <c r="U794" s="2" t="inlineStr"/>
    </row>
    <row r="795" ht="15" customHeight="1">
      <c r="A795" t="inlineStr">
        <is>
          <t>A 26572-2026</t>
        </is>
      </c>
      <c r="B795" t="inlineStr">
        <is>
          <t>avverkningsanmälan</t>
        </is>
      </c>
      <c r="C795" t="inlineStr">
        <is>
          <t>Föryngringsavverkning</t>
        </is>
      </c>
      <c r="D795" s="1" t="n">
        <v>46183</v>
      </c>
      <c r="E795" s="1" t="n">
        <v>46219</v>
      </c>
      <c r="F795" t="inlineStr">
        <is>
          <t>NORRBOTTENS LÄN</t>
        </is>
      </c>
      <c r="G795" t="inlineStr">
        <is>
          <t>PITEÅ</t>
        </is>
      </c>
      <c r="H795" t="inlineStr">
        <is>
          <t>Sveaskog</t>
        </is>
      </c>
      <c r="I795" t="n">
        <v>9.4</v>
      </c>
      <c r="J795" t="n">
        <v>0</v>
      </c>
      <c r="K795" t="n">
        <v>0</v>
      </c>
      <c r="L795" t="n">
        <v>0</v>
      </c>
      <c r="M795" t="n">
        <v>0</v>
      </c>
      <c r="N795" t="n">
        <v>0</v>
      </c>
      <c r="O795" t="n">
        <v>0</v>
      </c>
      <c r="P795" t="n">
        <v>0</v>
      </c>
      <c r="Q795" t="n">
        <v>0</v>
      </c>
      <c r="R795" t="n">
        <v>0</v>
      </c>
      <c r="S795" t="n">
        <v>0</v>
      </c>
      <c r="T795" t="n">
        <v>0</v>
      </c>
      <c r="U795" s="2" t="inlineStr"/>
    </row>
    <row r="796" ht="15" customHeight="1">
      <c r="A796" t="inlineStr">
        <is>
          <t>A 25951-2026</t>
        </is>
      </c>
      <c r="B796" t="inlineStr">
        <is>
          <t>avverkningsanmälan</t>
        </is>
      </c>
      <c r="C796" t="inlineStr">
        <is>
          <t>Föryngringsavverkning</t>
        </is>
      </c>
      <c r="D796" s="1" t="n">
        <v>46177</v>
      </c>
      <c r="E796" s="1" t="n">
        <v>46219</v>
      </c>
      <c r="F796" t="inlineStr">
        <is>
          <t>NORRBOTTENS LÄN</t>
        </is>
      </c>
      <c r="G796" t="inlineStr">
        <is>
          <t>PITEÅ</t>
        </is>
      </c>
      <c r="I796" t="n">
        <v>24.6</v>
      </c>
      <c r="J796" t="n">
        <v>0</v>
      </c>
      <c r="K796" t="n">
        <v>0</v>
      </c>
      <c r="L796" t="n">
        <v>0</v>
      </c>
      <c r="M796" t="n">
        <v>0</v>
      </c>
      <c r="N796" t="n">
        <v>0</v>
      </c>
      <c r="O796" t="n">
        <v>0</v>
      </c>
      <c r="P796" t="n">
        <v>0</v>
      </c>
      <c r="Q796" t="n">
        <v>0</v>
      </c>
      <c r="R796" t="n">
        <v>0</v>
      </c>
      <c r="S796" t="n">
        <v>0</v>
      </c>
      <c r="T796" t="n">
        <v>0</v>
      </c>
      <c r="U796" s="2" t="inlineStr"/>
    </row>
    <row r="797" ht="15" customHeight="1">
      <c r="A797" t="inlineStr">
        <is>
          <t>A 36990-2025</t>
        </is>
      </c>
      <c r="B797" t="inlineStr">
        <is>
          <t>avverkningsanmälan</t>
        </is>
      </c>
      <c r="C797" t="inlineStr">
        <is>
          <t>Föryngringsavverkning</t>
        </is>
      </c>
      <c r="D797" s="1" t="n">
        <v>45874</v>
      </c>
      <c r="E797" s="1" t="n">
        <v>46219</v>
      </c>
      <c r="F797" t="inlineStr">
        <is>
          <t>NORRBOTTENS LÄN</t>
        </is>
      </c>
      <c r="G797" t="inlineStr">
        <is>
          <t>PITEÅ</t>
        </is>
      </c>
      <c r="H797" t="inlineStr">
        <is>
          <t>Sveaskog</t>
        </is>
      </c>
      <c r="I797" t="n">
        <v>22.3</v>
      </c>
      <c r="J797" t="n">
        <v>0</v>
      </c>
      <c r="K797" t="n">
        <v>0</v>
      </c>
      <c r="L797" t="n">
        <v>0</v>
      </c>
      <c r="M797" t="n">
        <v>0</v>
      </c>
      <c r="N797" t="n">
        <v>0</v>
      </c>
      <c r="O797" t="n">
        <v>0</v>
      </c>
      <c r="P797" t="n">
        <v>0</v>
      </c>
      <c r="Q797" t="n">
        <v>0</v>
      </c>
      <c r="R797" t="n">
        <v>0</v>
      </c>
      <c r="S797" t="n">
        <v>0</v>
      </c>
      <c r="T797" t="n">
        <v>0</v>
      </c>
      <c r="U797" s="2" t="inlineStr"/>
    </row>
    <row r="798" ht="15" customHeight="1">
      <c r="A798" t="inlineStr">
        <is>
          <t>A 37436-2025</t>
        </is>
      </c>
      <c r="B798" t="inlineStr">
        <is>
          <t>avverkningsanmälan</t>
        </is>
      </c>
      <c r="C798" t="inlineStr">
        <is>
          <t>Föryngringsavverkning</t>
        </is>
      </c>
      <c r="D798" s="1" t="n">
        <v>45877</v>
      </c>
      <c r="E798" s="1" t="n">
        <v>46219</v>
      </c>
      <c r="F798" t="inlineStr">
        <is>
          <t>NORRBOTTENS LÄN</t>
        </is>
      </c>
      <c r="G798" t="inlineStr">
        <is>
          <t>PITEÅ</t>
        </is>
      </c>
      <c r="I798" t="n">
        <v>1</v>
      </c>
      <c r="J798" t="n">
        <v>0</v>
      </c>
      <c r="K798" t="n">
        <v>0</v>
      </c>
      <c r="L798" t="n">
        <v>0</v>
      </c>
      <c r="M798" t="n">
        <v>0</v>
      </c>
      <c r="N798" t="n">
        <v>0</v>
      </c>
      <c r="O798" t="n">
        <v>0</v>
      </c>
      <c r="P798" t="n">
        <v>0</v>
      </c>
      <c r="Q798" t="n">
        <v>0</v>
      </c>
      <c r="R798" t="n">
        <v>0</v>
      </c>
      <c r="S798" t="n">
        <v>0</v>
      </c>
      <c r="T798" t="n">
        <v>0</v>
      </c>
      <c r="U798" s="2" t="inlineStr"/>
    </row>
    <row r="799" ht="15" customHeight="1">
      <c r="A799" t="inlineStr">
        <is>
          <t>A 37721-2025</t>
        </is>
      </c>
      <c r="B799" t="inlineStr">
        <is>
          <t>avverkningsanmälan</t>
        </is>
      </c>
      <c r="C799" t="inlineStr">
        <is>
          <t>Föryngringsavverkning</t>
        </is>
      </c>
      <c r="D799" s="1" t="n">
        <v>45880</v>
      </c>
      <c r="E799" s="1" t="n">
        <v>46219</v>
      </c>
      <c r="F799" t="inlineStr">
        <is>
          <t>NORRBOTTENS LÄN</t>
        </is>
      </c>
      <c r="G799" t="inlineStr">
        <is>
          <t>PITEÅ</t>
        </is>
      </c>
      <c r="I799" t="n">
        <v>2.1</v>
      </c>
      <c r="J799" t="n">
        <v>0</v>
      </c>
      <c r="K799" t="n">
        <v>0</v>
      </c>
      <c r="L799" t="n">
        <v>0</v>
      </c>
      <c r="M799" t="n">
        <v>0</v>
      </c>
      <c r="N799" t="n">
        <v>0</v>
      </c>
      <c r="O799" t="n">
        <v>0</v>
      </c>
      <c r="P799" t="n">
        <v>0</v>
      </c>
      <c r="Q799" t="n">
        <v>0</v>
      </c>
      <c r="R799" t="n">
        <v>0</v>
      </c>
      <c r="S799" t="n">
        <v>0</v>
      </c>
      <c r="T799" t="n">
        <v>0</v>
      </c>
      <c r="U799" s="2" t="inlineStr"/>
    </row>
    <row r="800" ht="15" customHeight="1">
      <c r="A800" t="inlineStr">
        <is>
          <t>A 37722-2025</t>
        </is>
      </c>
      <c r="B800" t="inlineStr">
        <is>
          <t>avverkningsanmälan</t>
        </is>
      </c>
      <c r="C800" t="inlineStr">
        <is>
          <t>Föryngringsavverkning</t>
        </is>
      </c>
      <c r="D800" s="1" t="n">
        <v>45880</v>
      </c>
      <c r="E800" s="1" t="n">
        <v>46219</v>
      </c>
      <c r="F800" t="inlineStr">
        <is>
          <t>NORRBOTTENS LÄN</t>
        </is>
      </c>
      <c r="G800" t="inlineStr">
        <is>
          <t>PITEÅ</t>
        </is>
      </c>
      <c r="I800" t="n">
        <v>3.7</v>
      </c>
      <c r="J800" t="n">
        <v>0</v>
      </c>
      <c r="K800" t="n">
        <v>0</v>
      </c>
      <c r="L800" t="n">
        <v>0</v>
      </c>
      <c r="M800" t="n">
        <v>0</v>
      </c>
      <c r="N800" t="n">
        <v>0</v>
      </c>
      <c r="O800" t="n">
        <v>0</v>
      </c>
      <c r="P800" t="n">
        <v>0</v>
      </c>
      <c r="Q800" t="n">
        <v>0</v>
      </c>
      <c r="R800" t="n">
        <v>0</v>
      </c>
      <c r="S800" t="n">
        <v>0</v>
      </c>
      <c r="T800" t="n">
        <v>0</v>
      </c>
      <c r="U800" s="2" t="inlineStr"/>
    </row>
    <row r="801" ht="15" customHeight="1">
      <c r="A801" t="inlineStr">
        <is>
          <t>A 27337-2026</t>
        </is>
      </c>
      <c r="B801" t="inlineStr">
        <is>
          <t>avverkningsanmälan</t>
        </is>
      </c>
      <c r="C801" t="inlineStr">
        <is>
          <t>Föryngringsavverkning</t>
        </is>
      </c>
      <c r="D801" s="1" t="n">
        <v>46188</v>
      </c>
      <c r="E801" s="1" t="n">
        <v>46219</v>
      </c>
      <c r="F801" t="inlineStr">
        <is>
          <t>NORRBOTTENS LÄN</t>
        </is>
      </c>
      <c r="G801" t="inlineStr">
        <is>
          <t>PITEÅ</t>
        </is>
      </c>
      <c r="H801" t="inlineStr">
        <is>
          <t>Sveaskog</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27581-2026</t>
        </is>
      </c>
      <c r="B802" t="inlineStr">
        <is>
          <t>avverkningsanmälan</t>
        </is>
      </c>
      <c r="C802" t="inlineStr">
        <is>
          <t>Föryngringsavverkning</t>
        </is>
      </c>
      <c r="D802" s="1" t="n">
        <v>46190</v>
      </c>
      <c r="E802" s="1" t="n">
        <v>46219</v>
      </c>
      <c r="F802" t="inlineStr">
        <is>
          <t>NORRBOTTENS LÄN</t>
        </is>
      </c>
      <c r="G802" t="inlineStr">
        <is>
          <t>PITEÅ</t>
        </is>
      </c>
      <c r="H802" t="inlineStr">
        <is>
          <t>Sveaskog</t>
        </is>
      </c>
      <c r="I802" t="n">
        <v>13.7</v>
      </c>
      <c r="J802" t="n">
        <v>0</v>
      </c>
      <c r="K802" t="n">
        <v>0</v>
      </c>
      <c r="L802" t="n">
        <v>0</v>
      </c>
      <c r="M802" t="n">
        <v>0</v>
      </c>
      <c r="N802" t="n">
        <v>0</v>
      </c>
      <c r="O802" t="n">
        <v>0</v>
      </c>
      <c r="P802" t="n">
        <v>0</v>
      </c>
      <c r="Q802" t="n">
        <v>0</v>
      </c>
      <c r="R802" t="n">
        <v>0</v>
      </c>
      <c r="S802" t="n">
        <v>0</v>
      </c>
      <c r="T802" t="n">
        <v>0</v>
      </c>
      <c r="U802" s="2" t="inlineStr"/>
    </row>
    <row r="803" ht="15" customHeight="1">
      <c r="A803" t="inlineStr">
        <is>
          <t>A 27553-2026</t>
        </is>
      </c>
      <c r="B803" t="inlineStr">
        <is>
          <t>avverkningsanmälan</t>
        </is>
      </c>
      <c r="C803" t="inlineStr">
        <is>
          <t>Föryngringsavverkning</t>
        </is>
      </c>
      <c r="D803" s="1" t="n">
        <v>46190</v>
      </c>
      <c r="E803" s="1" t="n">
        <v>46219</v>
      </c>
      <c r="F803" t="inlineStr">
        <is>
          <t>NORRBOTTENS LÄN</t>
        </is>
      </c>
      <c r="G803" t="inlineStr">
        <is>
          <t>PITEÅ</t>
        </is>
      </c>
      <c r="H803" t="inlineStr">
        <is>
          <t>Sveaskog</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21772-2026</t>
        </is>
      </c>
      <c r="B804" t="inlineStr">
        <is>
          <t>avverkningsanmälan</t>
        </is>
      </c>
      <c r="C804" t="inlineStr">
        <is>
          <t>Föryngringsavverkning</t>
        </is>
      </c>
      <c r="D804" s="1" t="n">
        <v>46150</v>
      </c>
      <c r="E804" s="1" t="n">
        <v>46219</v>
      </c>
      <c r="F804" t="inlineStr">
        <is>
          <t>NORRBOTTENS LÄN</t>
        </is>
      </c>
      <c r="G804" t="inlineStr">
        <is>
          <t>PITEÅ</t>
        </is>
      </c>
      <c r="I804" t="n">
        <v>0.4</v>
      </c>
      <c r="J804" t="n">
        <v>0</v>
      </c>
      <c r="K804" t="n">
        <v>0</v>
      </c>
      <c r="L804" t="n">
        <v>0</v>
      </c>
      <c r="M804" t="n">
        <v>0</v>
      </c>
      <c r="N804" t="n">
        <v>0</v>
      </c>
      <c r="O804" t="n">
        <v>0</v>
      </c>
      <c r="P804" t="n">
        <v>0</v>
      </c>
      <c r="Q804" t="n">
        <v>0</v>
      </c>
      <c r="R804" t="n">
        <v>0</v>
      </c>
      <c r="S804" t="n">
        <v>0</v>
      </c>
      <c r="T804" t="n">
        <v>0</v>
      </c>
      <c r="U804" s="2" t="inlineStr"/>
    </row>
    <row r="805" ht="15" customHeight="1">
      <c r="A805" t="inlineStr">
        <is>
          <t>A 21770-2026</t>
        </is>
      </c>
      <c r="B805" t="inlineStr">
        <is>
          <t>avverkningsanmälan</t>
        </is>
      </c>
      <c r="C805" t="inlineStr">
        <is>
          <t>Föryngringsavverkning</t>
        </is>
      </c>
      <c r="D805" s="1" t="n">
        <v>46150</v>
      </c>
      <c r="E805" s="1" t="n">
        <v>46219</v>
      </c>
      <c r="F805" t="inlineStr">
        <is>
          <t>NORRBOTTENS LÄN</t>
        </is>
      </c>
      <c r="G805" t="inlineStr">
        <is>
          <t>PITEÅ</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21771-2026</t>
        </is>
      </c>
      <c r="B806" t="inlineStr">
        <is>
          <t>avverkningsanmälan</t>
        </is>
      </c>
      <c r="C806" t="inlineStr">
        <is>
          <t>Föryngringsavverkning</t>
        </is>
      </c>
      <c r="D806" s="1" t="n">
        <v>46150</v>
      </c>
      <c r="E806" s="1" t="n">
        <v>46219</v>
      </c>
      <c r="F806" t="inlineStr">
        <is>
          <t>NORRBOTTENS LÄN</t>
        </is>
      </c>
      <c r="G806" t="inlineStr">
        <is>
          <t>PITEÅ</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27752-2026</t>
        </is>
      </c>
      <c r="B807" t="inlineStr">
        <is>
          <t>avverkningsanmälan</t>
        </is>
      </c>
      <c r="C807" t="inlineStr">
        <is>
          <t>Föryngringsavverkning</t>
        </is>
      </c>
      <c r="D807" s="1" t="n">
        <v>46191</v>
      </c>
      <c r="E807" s="1" t="n">
        <v>46219</v>
      </c>
      <c r="F807" t="inlineStr">
        <is>
          <t>NORRBOTTENS LÄN</t>
        </is>
      </c>
      <c r="G807" t="inlineStr">
        <is>
          <t>PITEÅ</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27913-2026</t>
        </is>
      </c>
      <c r="B808" t="inlineStr">
        <is>
          <t>avverkningsanmälan</t>
        </is>
      </c>
      <c r="C808" t="inlineStr">
        <is>
          <t>Föryngringsavverkning</t>
        </is>
      </c>
      <c r="D808" s="1" t="n">
        <v>46191</v>
      </c>
      <c r="E808" s="1" t="n">
        <v>46219</v>
      </c>
      <c r="F808" t="inlineStr">
        <is>
          <t>NORRBOTTENS LÄN</t>
        </is>
      </c>
      <c r="G808" t="inlineStr">
        <is>
          <t>PITEÅ</t>
        </is>
      </c>
      <c r="H808" t="inlineStr">
        <is>
          <t>SCA</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21850-2026</t>
        </is>
      </c>
      <c r="B809" t="inlineStr">
        <is>
          <t>avverkningsanmälan</t>
        </is>
      </c>
      <c r="C809" t="inlineStr">
        <is>
          <t>Föryngringsavverkning</t>
        </is>
      </c>
      <c r="D809" s="1" t="n">
        <v>46150</v>
      </c>
      <c r="E809" s="1" t="n">
        <v>46219</v>
      </c>
      <c r="F809" t="inlineStr">
        <is>
          <t>NORRBOTTENS LÄN</t>
        </is>
      </c>
      <c r="G809" t="inlineStr">
        <is>
          <t>PITEÅ</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27806-2026</t>
        </is>
      </c>
      <c r="B810" t="inlineStr">
        <is>
          <t>avverkningsanmälan</t>
        </is>
      </c>
      <c r="C810" t="inlineStr">
        <is>
          <t>Föryngringsavverkning</t>
        </is>
      </c>
      <c r="D810" s="1" t="n">
        <v>46191</v>
      </c>
      <c r="E810" s="1" t="n">
        <v>46219</v>
      </c>
      <c r="F810" t="inlineStr">
        <is>
          <t>NORRBOTTENS LÄN</t>
        </is>
      </c>
      <c r="G810" t="inlineStr">
        <is>
          <t>PITEÅ</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22238-2026</t>
        </is>
      </c>
      <c r="B811" t="inlineStr">
        <is>
          <t>avverkningsanmälan</t>
        </is>
      </c>
      <c r="C811" t="inlineStr">
        <is>
          <t>Föryngringsavverkning</t>
        </is>
      </c>
      <c r="D811" s="1" t="n">
        <v>46154</v>
      </c>
      <c r="E811" s="1" t="n">
        <v>46219</v>
      </c>
      <c r="F811" t="inlineStr">
        <is>
          <t>NORRBOTTENS LÄN</t>
        </is>
      </c>
      <c r="G811" t="inlineStr">
        <is>
          <t>PITEÅ</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22186-2026</t>
        </is>
      </c>
      <c r="B812" t="inlineStr">
        <is>
          <t>avverkningsanmälan</t>
        </is>
      </c>
      <c r="C812" t="inlineStr">
        <is>
          <t>Föryngringsavverkning</t>
        </is>
      </c>
      <c r="D812" s="1" t="n">
        <v>46153</v>
      </c>
      <c r="E812" s="1" t="n">
        <v>46219</v>
      </c>
      <c r="F812" t="inlineStr">
        <is>
          <t>NORRBOTTENS LÄN</t>
        </is>
      </c>
      <c r="G812" t="inlineStr">
        <is>
          <t>PITEÅ</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22189-2026</t>
        </is>
      </c>
      <c r="B813" t="inlineStr">
        <is>
          <t>avverkningsanmälan</t>
        </is>
      </c>
      <c r="C813" t="inlineStr">
        <is>
          <t>Föryngringsavverkning</t>
        </is>
      </c>
      <c r="D813" s="1" t="n">
        <v>46153</v>
      </c>
      <c r="E813" s="1" t="n">
        <v>46219</v>
      </c>
      <c r="F813" t="inlineStr">
        <is>
          <t>NORRBOTTENS LÄN</t>
        </is>
      </c>
      <c r="G813" t="inlineStr">
        <is>
          <t>PITEÅ</t>
        </is>
      </c>
      <c r="I813" t="n">
        <v>2.3</v>
      </c>
      <c r="J813" t="n">
        <v>0</v>
      </c>
      <c r="K813" t="n">
        <v>0</v>
      </c>
      <c r="L813" t="n">
        <v>0</v>
      </c>
      <c r="M813" t="n">
        <v>0</v>
      </c>
      <c r="N813" t="n">
        <v>0</v>
      </c>
      <c r="O813" t="n">
        <v>0</v>
      </c>
      <c r="P813" t="n">
        <v>0</v>
      </c>
      <c r="Q813" t="n">
        <v>0</v>
      </c>
      <c r="R813" t="n">
        <v>0</v>
      </c>
      <c r="S813" t="n">
        <v>0</v>
      </c>
      <c r="T813" t="n">
        <v>0</v>
      </c>
      <c r="U813" s="2" t="inlineStr"/>
    </row>
    <row r="814" ht="15" customHeight="1">
      <c r="A814" t="inlineStr">
        <is>
          <t>A 22251-2026</t>
        </is>
      </c>
      <c r="B814" t="inlineStr">
        <is>
          <t>avverkningsanmälan</t>
        </is>
      </c>
      <c r="C814" t="inlineStr">
        <is>
          <t>Föryngringsavverkning</t>
        </is>
      </c>
      <c r="D814" s="1" t="n">
        <v>46154</v>
      </c>
      <c r="E814" s="1" t="n">
        <v>46219</v>
      </c>
      <c r="F814" t="inlineStr">
        <is>
          <t>NORRBOTTENS LÄN</t>
        </is>
      </c>
      <c r="G814" t="inlineStr">
        <is>
          <t>PITEÅ</t>
        </is>
      </c>
      <c r="I814" t="n">
        <v>3</v>
      </c>
      <c r="J814" t="n">
        <v>0</v>
      </c>
      <c r="K814" t="n">
        <v>0</v>
      </c>
      <c r="L814" t="n">
        <v>0</v>
      </c>
      <c r="M814" t="n">
        <v>0</v>
      </c>
      <c r="N814" t="n">
        <v>0</v>
      </c>
      <c r="O814" t="n">
        <v>0</v>
      </c>
      <c r="P814" t="n">
        <v>0</v>
      </c>
      <c r="Q814" t="n">
        <v>0</v>
      </c>
      <c r="R814" t="n">
        <v>0</v>
      </c>
      <c r="S814" t="n">
        <v>0</v>
      </c>
      <c r="T814" t="n">
        <v>0</v>
      </c>
      <c r="U814" s="2" t="inlineStr"/>
    </row>
    <row r="815" ht="15" customHeight="1">
      <c r="A815" t="inlineStr">
        <is>
          <t>A 28095-2026</t>
        </is>
      </c>
      <c r="B815" t="inlineStr">
        <is>
          <t>avverkningsanmälan</t>
        </is>
      </c>
      <c r="C815" t="inlineStr">
        <is>
          <t>Föryngringsavverkning</t>
        </is>
      </c>
      <c r="D815" s="1" t="n">
        <v>46195</v>
      </c>
      <c r="E815" s="1" t="n">
        <v>46219</v>
      </c>
      <c r="F815" t="inlineStr">
        <is>
          <t>NORRBOTTENS LÄN</t>
        </is>
      </c>
      <c r="G815" t="inlineStr">
        <is>
          <t>PITEÅ</t>
        </is>
      </c>
      <c r="I815" t="n">
        <v>14.7</v>
      </c>
      <c r="J815" t="n">
        <v>0</v>
      </c>
      <c r="K815" t="n">
        <v>0</v>
      </c>
      <c r="L815" t="n">
        <v>0</v>
      </c>
      <c r="M815" t="n">
        <v>0</v>
      </c>
      <c r="N815" t="n">
        <v>0</v>
      </c>
      <c r="O815" t="n">
        <v>0</v>
      </c>
      <c r="P815" t="n">
        <v>0</v>
      </c>
      <c r="Q815" t="n">
        <v>0</v>
      </c>
      <c r="R815" t="n">
        <v>0</v>
      </c>
      <c r="S815" t="n">
        <v>0</v>
      </c>
      <c r="T815" t="n">
        <v>0</v>
      </c>
      <c r="U815" s="2" t="inlineStr"/>
    </row>
    <row r="816" ht="15" customHeight="1">
      <c r="A816" t="inlineStr">
        <is>
          <t>A 43674-2025</t>
        </is>
      </c>
      <c r="B816" t="inlineStr">
        <is>
          <t>avverkningsanmälan</t>
        </is>
      </c>
      <c r="C816" t="inlineStr">
        <is>
          <t>Föryngringsavverkning</t>
        </is>
      </c>
      <c r="D816" s="1" t="n">
        <v>45912</v>
      </c>
      <c r="E816" s="1" t="n">
        <v>46219</v>
      </c>
      <c r="F816" t="inlineStr">
        <is>
          <t>NORRBOTTENS LÄN</t>
        </is>
      </c>
      <c r="G816" t="inlineStr">
        <is>
          <t>PITEÅ</t>
        </is>
      </c>
      <c r="I816" t="n">
        <v>3.5</v>
      </c>
      <c r="J816" t="n">
        <v>0</v>
      </c>
      <c r="K816" t="n">
        <v>0</v>
      </c>
      <c r="L816" t="n">
        <v>0</v>
      </c>
      <c r="M816" t="n">
        <v>0</v>
      </c>
      <c r="N816" t="n">
        <v>0</v>
      </c>
      <c r="O816" t="n">
        <v>0</v>
      </c>
      <c r="P816" t="n">
        <v>0</v>
      </c>
      <c r="Q816" t="n">
        <v>0</v>
      </c>
      <c r="R816" t="n">
        <v>0</v>
      </c>
      <c r="S816" t="n">
        <v>0</v>
      </c>
      <c r="T816" t="n">
        <v>0</v>
      </c>
      <c r="U816" s="2" t="inlineStr"/>
    </row>
    <row r="817" ht="15" customHeight="1">
      <c r="A817" t="inlineStr">
        <is>
          <t>A 23079-2026</t>
        </is>
      </c>
      <c r="B817" t="inlineStr">
        <is>
          <t>avverkningsanmälan</t>
        </is>
      </c>
      <c r="C817" t="inlineStr">
        <is>
          <t>Föryngringsavverkning</t>
        </is>
      </c>
      <c r="D817" s="1" t="n">
        <v>46161</v>
      </c>
      <c r="E817" s="1" t="n">
        <v>46219</v>
      </c>
      <c r="F817" t="inlineStr">
        <is>
          <t>NORRBOTTENS LÄN</t>
        </is>
      </c>
      <c r="G817" t="inlineStr">
        <is>
          <t>PITEÅ</t>
        </is>
      </c>
      <c r="I817" t="n">
        <v>3</v>
      </c>
      <c r="J817" t="n">
        <v>0</v>
      </c>
      <c r="K817" t="n">
        <v>0</v>
      </c>
      <c r="L817" t="n">
        <v>0</v>
      </c>
      <c r="M817" t="n">
        <v>0</v>
      </c>
      <c r="N817" t="n">
        <v>0</v>
      </c>
      <c r="O817" t="n">
        <v>0</v>
      </c>
      <c r="P817" t="n">
        <v>0</v>
      </c>
      <c r="Q817" t="n">
        <v>0</v>
      </c>
      <c r="R817" t="n">
        <v>0</v>
      </c>
      <c r="S817" t="n">
        <v>0</v>
      </c>
      <c r="T817" t="n">
        <v>0</v>
      </c>
      <c r="U817" s="2" t="inlineStr"/>
    </row>
    <row r="818" ht="15" customHeight="1">
      <c r="A818" t="inlineStr">
        <is>
          <t>A 23036-2026</t>
        </is>
      </c>
      <c r="B818" t="inlineStr">
        <is>
          <t>avverkningsanmälan</t>
        </is>
      </c>
      <c r="C818" t="inlineStr">
        <is>
          <t>Föryngringsavverkning</t>
        </is>
      </c>
      <c r="D818" s="1" t="n">
        <v>46161</v>
      </c>
      <c r="E818" s="1" t="n">
        <v>46219</v>
      </c>
      <c r="F818" t="inlineStr">
        <is>
          <t>NORRBOTTENS LÄN</t>
        </is>
      </c>
      <c r="G818" t="inlineStr">
        <is>
          <t>PITEÅ</t>
        </is>
      </c>
      <c r="I818" t="n">
        <v>4.2</v>
      </c>
      <c r="J818" t="n">
        <v>0</v>
      </c>
      <c r="K818" t="n">
        <v>0</v>
      </c>
      <c r="L818" t="n">
        <v>0</v>
      </c>
      <c r="M818" t="n">
        <v>0</v>
      </c>
      <c r="N818" t="n">
        <v>0</v>
      </c>
      <c r="O818" t="n">
        <v>0</v>
      </c>
      <c r="P818" t="n">
        <v>0</v>
      </c>
      <c r="Q818" t="n">
        <v>0</v>
      </c>
      <c r="R818" t="n">
        <v>0</v>
      </c>
      <c r="S818" t="n">
        <v>0</v>
      </c>
      <c r="T818" t="n">
        <v>0</v>
      </c>
      <c r="U818" s="2" t="inlineStr"/>
    </row>
    <row r="819" ht="15" customHeight="1">
      <c r="A819" t="inlineStr">
        <is>
          <t>S 2589-2024</t>
        </is>
      </c>
      <c r="B819" t="inlineStr">
        <is>
          <t>samrådsanmälan</t>
        </is>
      </c>
      <c r="C819" t="inlineStr">
        <is>
          <t>Skogsgödsling</t>
        </is>
      </c>
      <c r="D819" s="1" t="n">
        <v>45476</v>
      </c>
      <c r="E819" s="1" t="n">
        <v>46219</v>
      </c>
      <c r="F819" t="inlineStr">
        <is>
          <t>NORRBOTTENS LÄN</t>
        </is>
      </c>
      <c r="G819" t="inlineStr">
        <is>
          <t>PITEÅ</t>
        </is>
      </c>
      <c r="I819" t="n">
        <v>8.4</v>
      </c>
      <c r="J819" t="n">
        <v>0</v>
      </c>
      <c r="K819" t="n">
        <v>0</v>
      </c>
      <c r="L819" t="n">
        <v>0</v>
      </c>
      <c r="M819" t="n">
        <v>0</v>
      </c>
      <c r="N819" t="n">
        <v>0</v>
      </c>
      <c r="O819" t="n">
        <v>0</v>
      </c>
      <c r="P819" t="n">
        <v>0</v>
      </c>
      <c r="Q819" t="n">
        <v>0</v>
      </c>
      <c r="R819" t="n">
        <v>0</v>
      </c>
      <c r="S819" t="n">
        <v>0</v>
      </c>
      <c r="T819" t="n">
        <v>0</v>
      </c>
      <c r="U819" s="2" t="inlineStr"/>
    </row>
    <row r="820" ht="15" customHeight="1">
      <c r="A820" t="inlineStr">
        <is>
          <t>S 2428-2023</t>
        </is>
      </c>
      <c r="B820" t="inlineStr">
        <is>
          <t>samrådsanmälan</t>
        </is>
      </c>
      <c r="C820" t="inlineStr">
        <is>
          <t>Skogsgödsling</t>
        </is>
      </c>
      <c r="D820" s="1" t="n">
        <v>45113</v>
      </c>
      <c r="E820" s="1" t="n">
        <v>46219</v>
      </c>
      <c r="F820" t="inlineStr">
        <is>
          <t>NORRBOTTENS LÄN</t>
        </is>
      </c>
      <c r="G820" t="inlineStr">
        <is>
          <t>PITEÅ</t>
        </is>
      </c>
      <c r="H820" t="inlineStr">
        <is>
          <t>Övriga Aktiebolag</t>
        </is>
      </c>
      <c r="I820" t="n">
        <v>19.4</v>
      </c>
      <c r="J820" t="n">
        <v>0</v>
      </c>
      <c r="K820" t="n">
        <v>0</v>
      </c>
      <c r="L820" t="n">
        <v>0</v>
      </c>
      <c r="M820" t="n">
        <v>0</v>
      </c>
      <c r="N820" t="n">
        <v>0</v>
      </c>
      <c r="O820" t="n">
        <v>0</v>
      </c>
      <c r="P820" t="n">
        <v>0</v>
      </c>
      <c r="Q820" t="n">
        <v>0</v>
      </c>
      <c r="R820" t="n">
        <v>0</v>
      </c>
      <c r="S820" t="n">
        <v>0</v>
      </c>
      <c r="T820" t="n">
        <v>0</v>
      </c>
      <c r="U820" s="2" t="inlineStr"/>
    </row>
    <row r="821" ht="15" customHeight="1">
      <c r="A821" t="inlineStr">
        <is>
          <t>S 1088-2023</t>
        </is>
      </c>
      <c r="B821" t="inlineStr">
        <is>
          <t>samrådsanmälan</t>
        </is>
      </c>
      <c r="C821" t="inlineStr">
        <is>
          <t>Skogsgödsling</t>
        </is>
      </c>
      <c r="D821" s="1" t="n">
        <v>45013</v>
      </c>
      <c r="E821" s="1" t="n">
        <v>46219</v>
      </c>
      <c r="F821" t="inlineStr">
        <is>
          <t>NORRBOTTENS LÄN</t>
        </is>
      </c>
      <c r="G821" t="inlineStr">
        <is>
          <t>PITEÅ</t>
        </is>
      </c>
      <c r="H821" t="inlineStr">
        <is>
          <t>SCA</t>
        </is>
      </c>
      <c r="I821" t="n">
        <v>316.1</v>
      </c>
      <c r="J821" t="n">
        <v>0</v>
      </c>
      <c r="K821" t="n">
        <v>0</v>
      </c>
      <c r="L821" t="n">
        <v>0</v>
      </c>
      <c r="M821" t="n">
        <v>0</v>
      </c>
      <c r="N821" t="n">
        <v>0</v>
      </c>
      <c r="O821" t="n">
        <v>0</v>
      </c>
      <c r="P821" t="n">
        <v>0</v>
      </c>
      <c r="Q821" t="n">
        <v>0</v>
      </c>
      <c r="R821" t="n">
        <v>0</v>
      </c>
      <c r="S821" t="n">
        <v>0</v>
      </c>
      <c r="T821" t="n">
        <v>0</v>
      </c>
      <c r="U821" s="2" t="inlineStr"/>
    </row>
    <row r="822" ht="15" customHeight="1">
      <c r="A822" t="inlineStr">
        <is>
          <t>S 2449-2023</t>
        </is>
      </c>
      <c r="B822" t="inlineStr">
        <is>
          <t>samrådsanmälan</t>
        </is>
      </c>
      <c r="C822" t="inlineStr">
        <is>
          <t>Dikesrensning</t>
        </is>
      </c>
      <c r="D822" s="1" t="n">
        <v>45114</v>
      </c>
      <c r="E822" s="1" t="n">
        <v>46219</v>
      </c>
      <c r="F822" t="inlineStr">
        <is>
          <t>NORRBOTTENS LÄN</t>
        </is>
      </c>
      <c r="G822" t="inlineStr">
        <is>
          <t>PITEÅ</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S 1856-2024</t>
        </is>
      </c>
      <c r="B823" t="inlineStr">
        <is>
          <t>samrådsanmälan</t>
        </is>
      </c>
      <c r="C823" t="inlineStr">
        <is>
          <t>Skogsgödsling</t>
        </is>
      </c>
      <c r="D823" s="1" t="n">
        <v>45440</v>
      </c>
      <c r="E823" s="1" t="n">
        <v>46219</v>
      </c>
      <c r="F823" t="inlineStr">
        <is>
          <t>NORRBOTTENS LÄN</t>
        </is>
      </c>
      <c r="G823" t="inlineStr">
        <is>
          <t>PITEÅ</t>
        </is>
      </c>
      <c r="I823" t="n">
        <v>80</v>
      </c>
      <c r="J823" t="n">
        <v>0</v>
      </c>
      <c r="K823" t="n">
        <v>0</v>
      </c>
      <c r="L823" t="n">
        <v>0</v>
      </c>
      <c r="M823" t="n">
        <v>0</v>
      </c>
      <c r="N823" t="n">
        <v>0</v>
      </c>
      <c r="O823" t="n">
        <v>0</v>
      </c>
      <c r="P823" t="n">
        <v>0</v>
      </c>
      <c r="Q823" t="n">
        <v>0</v>
      </c>
      <c r="R823" t="n">
        <v>0</v>
      </c>
      <c r="S823" t="n">
        <v>0</v>
      </c>
      <c r="T823" t="n">
        <v>0</v>
      </c>
      <c r="U823" s="2" t="inlineStr"/>
    </row>
    <row r="824" ht="15" customHeight="1">
      <c r="A824" t="inlineStr">
        <is>
          <t>S 5254-2022</t>
        </is>
      </c>
      <c r="B824" t="inlineStr">
        <is>
          <t>samrådsanmälan</t>
        </is>
      </c>
      <c r="C824" t="inlineStr">
        <is>
          <t>Skogsbilväg</t>
        </is>
      </c>
      <c r="D824" s="1" t="n">
        <v>44825</v>
      </c>
      <c r="E824" s="1" t="n">
        <v>46219</v>
      </c>
      <c r="F824" t="inlineStr">
        <is>
          <t>NORRBOTTENS LÄN</t>
        </is>
      </c>
      <c r="G824" t="inlineStr">
        <is>
          <t>PITEÅ</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S 1745-2023</t>
        </is>
      </c>
      <c r="B825" t="inlineStr">
        <is>
          <t>samrådsanmälan</t>
        </is>
      </c>
      <c r="C825" t="inlineStr">
        <is>
          <t>Skogsgödsling</t>
        </is>
      </c>
      <c r="D825" s="1" t="n">
        <v>45070</v>
      </c>
      <c r="E825" s="1" t="n">
        <v>46219</v>
      </c>
      <c r="F825" t="inlineStr">
        <is>
          <t>NORRBOTTENS LÄN</t>
        </is>
      </c>
      <c r="G825" t="inlineStr">
        <is>
          <t>PITEÅ</t>
        </is>
      </c>
      <c r="I825" t="n">
        <v>12.8</v>
      </c>
      <c r="J825" t="n">
        <v>0</v>
      </c>
      <c r="K825" t="n">
        <v>0</v>
      </c>
      <c r="L825" t="n">
        <v>0</v>
      </c>
      <c r="M825" t="n">
        <v>0</v>
      </c>
      <c r="N825" t="n">
        <v>0</v>
      </c>
      <c r="O825" t="n">
        <v>0</v>
      </c>
      <c r="P825" t="n">
        <v>0</v>
      </c>
      <c r="Q825" t="n">
        <v>0</v>
      </c>
      <c r="R825" t="n">
        <v>0</v>
      </c>
      <c r="S825" t="n">
        <v>0</v>
      </c>
      <c r="T825" t="n">
        <v>0</v>
      </c>
      <c r="U825" s="2" t="inlineStr"/>
    </row>
    <row r="826" ht="15" customHeight="1">
      <c r="A826" t="inlineStr">
        <is>
          <t>S 3716-2022</t>
        </is>
      </c>
      <c r="B826" t="inlineStr">
        <is>
          <t>samrådsanmälan</t>
        </is>
      </c>
      <c r="C826" t="inlineStr">
        <is>
          <t>Skogsgödsling</t>
        </is>
      </c>
      <c r="D826" s="1" t="n">
        <v>44741</v>
      </c>
      <c r="E826" s="1" t="n">
        <v>46219</v>
      </c>
      <c r="F826" t="inlineStr">
        <is>
          <t>NORRBOTTENS LÄN</t>
        </is>
      </c>
      <c r="G826" t="inlineStr">
        <is>
          <t>PITEÅ</t>
        </is>
      </c>
      <c r="H826" t="inlineStr">
        <is>
          <t>Övriga Aktiebolag</t>
        </is>
      </c>
      <c r="I826" t="n">
        <v>31.9</v>
      </c>
      <c r="J826" t="n">
        <v>0</v>
      </c>
      <c r="K826" t="n">
        <v>0</v>
      </c>
      <c r="L826" t="n">
        <v>0</v>
      </c>
      <c r="M826" t="n">
        <v>0</v>
      </c>
      <c r="N826" t="n">
        <v>0</v>
      </c>
      <c r="O826" t="n">
        <v>0</v>
      </c>
      <c r="P826" t="n">
        <v>0</v>
      </c>
      <c r="Q826" t="n">
        <v>0</v>
      </c>
      <c r="R826" t="n">
        <v>0</v>
      </c>
      <c r="S826" t="n">
        <v>0</v>
      </c>
      <c r="T826" t="n">
        <v>0</v>
      </c>
      <c r="U826" s="2" t="inlineStr"/>
    </row>
    <row r="827" ht="15" customHeight="1">
      <c r="A827" t="inlineStr">
        <is>
          <t>S 314-2025</t>
        </is>
      </c>
      <c r="B827" t="inlineStr">
        <is>
          <t>samrådsanmälan</t>
        </is>
      </c>
      <c r="C827" t="inlineStr">
        <is>
          <t>Skogsgödsling</t>
        </is>
      </c>
      <c r="D827" s="1" t="n">
        <v>45688</v>
      </c>
      <c r="E827" s="1" t="n">
        <v>46219</v>
      </c>
      <c r="F827" t="inlineStr">
        <is>
          <t>NORRBOTTENS LÄN</t>
        </is>
      </c>
      <c r="G827" t="inlineStr">
        <is>
          <t>PITEÅ</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S 972-2025</t>
        </is>
      </c>
      <c r="B828" t="inlineStr">
        <is>
          <t>samrådsanmälan</t>
        </is>
      </c>
      <c r="C828" t="inlineStr">
        <is>
          <t>Skogsgödsling</t>
        </is>
      </c>
      <c r="D828" s="1" t="n">
        <v>45743</v>
      </c>
      <c r="E828" s="1" t="n">
        <v>46219</v>
      </c>
      <c r="F828" t="inlineStr">
        <is>
          <t>NORRBOTTENS LÄN</t>
        </is>
      </c>
      <c r="G828" t="inlineStr">
        <is>
          <t>PITEÅ</t>
        </is>
      </c>
      <c r="I828" t="n">
        <v>9.5</v>
      </c>
      <c r="J828" t="n">
        <v>0</v>
      </c>
      <c r="K828" t="n">
        <v>0</v>
      </c>
      <c r="L828" t="n">
        <v>0</v>
      </c>
      <c r="M828" t="n">
        <v>0</v>
      </c>
      <c r="N828" t="n">
        <v>0</v>
      </c>
      <c r="O828" t="n">
        <v>0</v>
      </c>
      <c r="P828" t="n">
        <v>0</v>
      </c>
      <c r="Q828" t="n">
        <v>0</v>
      </c>
      <c r="R828" t="n">
        <v>0</v>
      </c>
      <c r="S828" t="n">
        <v>0</v>
      </c>
      <c r="T828" t="n">
        <v>0</v>
      </c>
      <c r="U828" s="2" t="inlineStr"/>
    </row>
    <row r="829" ht="15" customHeight="1">
      <c r="A829" t="inlineStr">
        <is>
          <t>S 973-2025</t>
        </is>
      </c>
      <c r="B829" t="inlineStr">
        <is>
          <t>samrådsanmälan</t>
        </is>
      </c>
      <c r="C829" t="inlineStr">
        <is>
          <t>Skogsgödsling</t>
        </is>
      </c>
      <c r="D829" s="1" t="n">
        <v>45743</v>
      </c>
      <c r="E829" s="1" t="n">
        <v>46219</v>
      </c>
      <c r="F829" t="inlineStr">
        <is>
          <t>NORRBOTTENS LÄN</t>
        </is>
      </c>
      <c r="G829" t="inlineStr">
        <is>
          <t>PITEÅ</t>
        </is>
      </c>
      <c r="I829" t="n">
        <v>7.6</v>
      </c>
      <c r="J829" t="n">
        <v>0</v>
      </c>
      <c r="K829" t="n">
        <v>0</v>
      </c>
      <c r="L829" t="n">
        <v>0</v>
      </c>
      <c r="M829" t="n">
        <v>0</v>
      </c>
      <c r="N829" t="n">
        <v>0</v>
      </c>
      <c r="O829" t="n">
        <v>0</v>
      </c>
      <c r="P829" t="n">
        <v>0</v>
      </c>
      <c r="Q829" t="n">
        <v>0</v>
      </c>
      <c r="R829" t="n">
        <v>0</v>
      </c>
      <c r="S829" t="n">
        <v>0</v>
      </c>
      <c r="T829" t="n">
        <v>0</v>
      </c>
      <c r="U829" s="2" t="inlineStr"/>
    </row>
    <row r="830" ht="15" customHeight="1">
      <c r="A830" t="inlineStr">
        <is>
          <t>S 976-2025</t>
        </is>
      </c>
      <c r="B830" t="inlineStr">
        <is>
          <t>samrådsanmälan</t>
        </is>
      </c>
      <c r="C830" t="inlineStr">
        <is>
          <t>Skogsgödsling</t>
        </is>
      </c>
      <c r="D830" s="1" t="n">
        <v>45743</v>
      </c>
      <c r="E830" s="1" t="n">
        <v>46219</v>
      </c>
      <c r="F830" t="inlineStr">
        <is>
          <t>NORRBOTTENS LÄN</t>
        </is>
      </c>
      <c r="G830" t="inlineStr">
        <is>
          <t>PITEÅ</t>
        </is>
      </c>
      <c r="I830" t="n">
        <v>19.9</v>
      </c>
      <c r="J830" t="n">
        <v>0</v>
      </c>
      <c r="K830" t="n">
        <v>0</v>
      </c>
      <c r="L830" t="n">
        <v>0</v>
      </c>
      <c r="M830" t="n">
        <v>0</v>
      </c>
      <c r="N830" t="n">
        <v>0</v>
      </c>
      <c r="O830" t="n">
        <v>0</v>
      </c>
      <c r="P830" t="n">
        <v>0</v>
      </c>
      <c r="Q830" t="n">
        <v>0</v>
      </c>
      <c r="R830" t="n">
        <v>0</v>
      </c>
      <c r="S830" t="n">
        <v>0</v>
      </c>
      <c r="T830" t="n">
        <v>0</v>
      </c>
      <c r="U830" s="2" t="inlineStr"/>
    </row>
    <row r="831" ht="15" customHeight="1">
      <c r="A831" t="inlineStr">
        <is>
          <t>S 975-2025</t>
        </is>
      </c>
      <c r="B831" t="inlineStr">
        <is>
          <t>samrådsanmälan</t>
        </is>
      </c>
      <c r="C831" t="inlineStr">
        <is>
          <t>Skogsgödsling</t>
        </is>
      </c>
      <c r="D831" s="1" t="n">
        <v>45743</v>
      </c>
      <c r="E831" s="1" t="n">
        <v>46219</v>
      </c>
      <c r="F831" t="inlineStr">
        <is>
          <t>NORRBOTTENS LÄN</t>
        </is>
      </c>
      <c r="G831" t="inlineStr">
        <is>
          <t>PITEÅ</t>
        </is>
      </c>
      <c r="I831" t="n">
        <v>24.7</v>
      </c>
      <c r="J831" t="n">
        <v>0</v>
      </c>
      <c r="K831" t="n">
        <v>0</v>
      </c>
      <c r="L831" t="n">
        <v>0</v>
      </c>
      <c r="M831" t="n">
        <v>0</v>
      </c>
      <c r="N831" t="n">
        <v>0</v>
      </c>
      <c r="O831" t="n">
        <v>0</v>
      </c>
      <c r="P831" t="n">
        <v>0</v>
      </c>
      <c r="Q831" t="n">
        <v>0</v>
      </c>
      <c r="R831" t="n">
        <v>0</v>
      </c>
      <c r="S831" t="n">
        <v>0</v>
      </c>
      <c r="T831" t="n">
        <v>0</v>
      </c>
      <c r="U831" s="2" t="inlineStr"/>
    </row>
    <row r="832" ht="15" customHeight="1">
      <c r="A832" t="inlineStr">
        <is>
          <t>S 1060-2026</t>
        </is>
      </c>
      <c r="B832" t="inlineStr">
        <is>
          <t>samrådsanmälan</t>
        </is>
      </c>
      <c r="C832" t="inlineStr">
        <is>
          <t>Askåterföring</t>
        </is>
      </c>
      <c r="D832" s="1" t="n">
        <v>46127</v>
      </c>
      <c r="E832" s="1" t="n">
        <v>46219</v>
      </c>
      <c r="F832" t="inlineStr">
        <is>
          <t>NORRBOTTENS LÄN</t>
        </is>
      </c>
      <c r="G832" t="inlineStr">
        <is>
          <t>PITEÅ</t>
        </is>
      </c>
      <c r="I832" t="n">
        <v>8.1</v>
      </c>
      <c r="J832" t="n">
        <v>0</v>
      </c>
      <c r="K832" t="n">
        <v>0</v>
      </c>
      <c r="L832" t="n">
        <v>0</v>
      </c>
      <c r="M832" t="n">
        <v>0</v>
      </c>
      <c r="N832" t="n">
        <v>0</v>
      </c>
      <c r="O832" t="n">
        <v>0</v>
      </c>
      <c r="P832" t="n">
        <v>0</v>
      </c>
      <c r="Q832" t="n">
        <v>0</v>
      </c>
      <c r="R832" t="n">
        <v>0</v>
      </c>
      <c r="S832" t="n">
        <v>0</v>
      </c>
      <c r="T832" t="n">
        <v>0</v>
      </c>
      <c r="U832" s="2" t="inlineStr"/>
    </row>
    <row r="833" ht="15" customHeight="1">
      <c r="A833" t="inlineStr">
        <is>
          <t>S 1716-2026</t>
        </is>
      </c>
      <c r="B833" t="inlineStr">
        <is>
          <t>samrådsanmälan</t>
        </is>
      </c>
      <c r="C833" t="inlineStr">
        <is>
          <t>Skogsgödsling</t>
        </is>
      </c>
      <c r="D833" s="1" t="n">
        <v>46184</v>
      </c>
      <c r="E833" s="1" t="n">
        <v>46219</v>
      </c>
      <c r="F833" t="inlineStr">
        <is>
          <t>NORRBOTTENS LÄN</t>
        </is>
      </c>
      <c r="G833" t="inlineStr">
        <is>
          <t>PITEÅ</t>
        </is>
      </c>
      <c r="H833" t="inlineStr">
        <is>
          <t>Övriga Aktiebolag</t>
        </is>
      </c>
      <c r="I833" t="n">
        <v>12.6</v>
      </c>
      <c r="J833" t="n">
        <v>0</v>
      </c>
      <c r="K833" t="n">
        <v>0</v>
      </c>
      <c r="L833" t="n">
        <v>0</v>
      </c>
      <c r="M833" t="n">
        <v>0</v>
      </c>
      <c r="N833" t="n">
        <v>0</v>
      </c>
      <c r="O833" t="n">
        <v>0</v>
      </c>
      <c r="P833" t="n">
        <v>0</v>
      </c>
      <c r="Q833" t="n">
        <v>0</v>
      </c>
      <c r="R833" t="n">
        <v>0</v>
      </c>
      <c r="S833" t="n">
        <v>0</v>
      </c>
      <c r="T833" t="n">
        <v>0</v>
      </c>
      <c r="U833" s="2" t="inlineStr"/>
    </row>
    <row r="834">
      <c r="A834" t="inlineStr">
        <is>
          <t>S 1255-2026</t>
        </is>
      </c>
      <c r="B834" t="inlineStr">
        <is>
          <t>samrådsanmälan</t>
        </is>
      </c>
      <c r="C834" t="inlineStr">
        <is>
          <t>Skogsgödsling</t>
        </is>
      </c>
      <c r="D834" s="1" t="n">
        <v>46147</v>
      </c>
      <c r="E834" s="1" t="n">
        <v>46219</v>
      </c>
      <c r="F834" t="inlineStr">
        <is>
          <t>NORRBOTTENS LÄN</t>
        </is>
      </c>
      <c r="G834" t="inlineStr">
        <is>
          <t>PITEÅ</t>
        </is>
      </c>
      <c r="I834" t="n">
        <v>4.9</v>
      </c>
      <c r="J834" t="n">
        <v>0</v>
      </c>
      <c r="K834" t="n">
        <v>0</v>
      </c>
      <c r="L834" t="n">
        <v>0</v>
      </c>
      <c r="M834" t="n">
        <v>0</v>
      </c>
      <c r="N834" t="n">
        <v>0</v>
      </c>
      <c r="O834" t="n">
        <v>0</v>
      </c>
      <c r="P834" t="n">
        <v>0</v>
      </c>
      <c r="Q834" t="n">
        <v>0</v>
      </c>
      <c r="R834" t="n">
        <v>0</v>
      </c>
      <c r="S834" t="n">
        <v>0</v>
      </c>
      <c r="T834" t="n">
        <v>0</v>
      </c>
      <c r="U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2026-07-16T01:25:08Z</dcterms:created>
  <dcterms:modified xmlns:dcterms="http://purl.org/dc/terms/" xmlns:xsi="http://www.w3.org/2001/XMLSchema-instance" xsi:type="dcterms:W3CDTF">2026-07-16T01:25:09Z</dcterms:modified>
</cp:coreProperties>
</file>