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46074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46074</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46074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46074</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46074</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46074</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46074</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46074</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46074</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46074</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46074</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46074</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46074</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46074</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46074</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46074</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46074</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46074</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46074</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46074</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28246-2025</t>
        </is>
      </c>
      <c r="B33" s="1" t="n">
        <v>45818.51263888889</v>
      </c>
      <c r="C33" s="1" t="n">
        <v>46074</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11372-2025</t>
        </is>
      </c>
      <c r="B34" s="1" t="n">
        <v>45726.55266203704</v>
      </c>
      <c r="C34" s="1" t="n">
        <v>46074</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30248-2025</t>
        </is>
      </c>
      <c r="B35" s="1" t="n">
        <v>45827.413125</v>
      </c>
      <c r="C35" s="1" t="n">
        <v>46074</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34361-2025</t>
        </is>
      </c>
      <c r="B36" s="1" t="n">
        <v>45846.48820601852</v>
      </c>
      <c r="C36" s="1" t="n">
        <v>46074</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46074</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46074</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46074</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46074</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46074</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46074</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46074</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46074</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46074</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46074</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46074</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46074</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46074</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46074</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46074</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28861-2024</t>
        </is>
      </c>
      <c r="B52" s="1" t="n">
        <v>45478</v>
      </c>
      <c r="C52" s="1" t="n">
        <v>46074</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61810-2024</t>
        </is>
      </c>
      <c r="B53" s="1" t="n">
        <v>45649</v>
      </c>
      <c r="C53" s="1" t="n">
        <v>46074</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21102-2024</t>
        </is>
      </c>
      <c r="B54" s="1" t="n">
        <v>45439.95087962963</v>
      </c>
      <c r="C54" s="1" t="n">
        <v>46074</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46074</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30602-2025</t>
        </is>
      </c>
      <c r="B56" s="1" t="n">
        <v>45831.45141203704</v>
      </c>
      <c r="C56" s="1" t="n">
        <v>46074</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30868-2025</t>
        </is>
      </c>
      <c r="B57" s="1" t="n">
        <v>45832.32988425926</v>
      </c>
      <c r="C57" s="1" t="n">
        <v>46074</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42048-2025</t>
        </is>
      </c>
      <c r="B58" s="1" t="n">
        <v>45903</v>
      </c>
      <c r="C58" s="1" t="n">
        <v>46074</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41703-2025</t>
        </is>
      </c>
      <c r="B59" s="1" t="n">
        <v>45902.4184375</v>
      </c>
      <c r="C59" s="1" t="n">
        <v>46074</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34329-2025</t>
        </is>
      </c>
      <c r="B60" s="1" t="n">
        <v>45846.44512731482</v>
      </c>
      <c r="C60" s="1" t="n">
        <v>46074</v>
      </c>
      <c r="D60" t="inlineStr">
        <is>
          <t>NORRBOTTENS LÄN</t>
        </is>
      </c>
      <c r="E60" t="inlineStr">
        <is>
          <t>PITEÅ</t>
        </is>
      </c>
      <c r="F60" t="inlineStr">
        <is>
          <t>Övriga statliga verk och myndigheter</t>
        </is>
      </c>
      <c r="G60" t="n">
        <v>2.4</v>
      </c>
      <c r="H60" t="n">
        <v>1</v>
      </c>
      <c r="I60" t="n">
        <v>0</v>
      </c>
      <c r="J60" t="n">
        <v>1</v>
      </c>
      <c r="K60" t="n">
        <v>0</v>
      </c>
      <c r="L60" t="n">
        <v>0</v>
      </c>
      <c r="M60" t="n">
        <v>0</v>
      </c>
      <c r="N60" t="n">
        <v>0</v>
      </c>
      <c r="O60" t="n">
        <v>1</v>
      </c>
      <c r="P60" t="n">
        <v>0</v>
      </c>
      <c r="Q60" t="n">
        <v>1</v>
      </c>
      <c r="R60" s="2" t="inlineStr">
        <is>
          <t>Spillkråka</t>
        </is>
      </c>
      <c r="S60">
        <f>HYPERLINK("https://klasma.github.io/Logging_2581/artfynd/A 34329-2025 artfynd.xlsx", "A 34329-2025")</f>
        <v/>
      </c>
      <c r="T60">
        <f>HYPERLINK("https://klasma.github.io/Logging_2581/kartor/A 34329-2025 karta.png", "A 34329-2025")</f>
        <v/>
      </c>
      <c r="V60">
        <f>HYPERLINK("https://klasma.github.io/Logging_2581/klagomål/A 34329-2025 FSC-klagomål.docx", "A 34329-2025")</f>
        <v/>
      </c>
      <c r="W60">
        <f>HYPERLINK("https://klasma.github.io/Logging_2581/klagomålsmail/A 34329-2025 FSC-klagomål mail.docx", "A 34329-2025")</f>
        <v/>
      </c>
      <c r="X60">
        <f>HYPERLINK("https://klasma.github.io/Logging_2581/tillsyn/A 34329-2025 tillsynsbegäran.docx", "A 34329-2025")</f>
        <v/>
      </c>
      <c r="Y60">
        <f>HYPERLINK("https://klasma.github.io/Logging_2581/tillsynsmail/A 34329-2025 tillsynsbegäran mail.docx", "A 34329-2025")</f>
        <v/>
      </c>
      <c r="Z60">
        <f>HYPERLINK("https://klasma.github.io/Logging_2581/fåglar/A 34329-2025 prioriterade fågelarter.docx", "A 34329-2025")</f>
        <v/>
      </c>
    </row>
    <row r="61" ht="15" customHeight="1">
      <c r="A61" t="inlineStr">
        <is>
          <t>A 52268-2023</t>
        </is>
      </c>
      <c r="B61" s="1" t="n">
        <v>45224.54791666667</v>
      </c>
      <c r="C61" s="1" t="n">
        <v>46074</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44858-2025</t>
        </is>
      </c>
      <c r="B62" s="1" t="n">
        <v>45918</v>
      </c>
      <c r="C62" s="1" t="n">
        <v>46074</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45630-2025</t>
        </is>
      </c>
      <c r="B63" s="1" t="n">
        <v>45922.83304398148</v>
      </c>
      <c r="C63" s="1" t="n">
        <v>46074</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46074</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46074</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37818-2024</t>
        </is>
      </c>
      <c r="B66" s="1" t="n">
        <v>45544</v>
      </c>
      <c r="C66" s="1" t="n">
        <v>46074</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46252-2025</t>
        </is>
      </c>
      <c r="B67" s="1" t="n">
        <v>45925.34493055556</v>
      </c>
      <c r="C67" s="1" t="n">
        <v>46074</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36804-2025</t>
        </is>
      </c>
      <c r="B68" s="1" t="n">
        <v>45873.67907407408</v>
      </c>
      <c r="C68" s="1" t="n">
        <v>46074</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27927-2023</t>
        </is>
      </c>
      <c r="B69" s="1" t="n">
        <v>45098</v>
      </c>
      <c r="C69" s="1" t="n">
        <v>46074</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46074</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55338-2025</t>
        </is>
      </c>
      <c r="B71" s="1" t="n">
        <v>45971.34482638889</v>
      </c>
      <c r="C71" s="1" t="n">
        <v>46074</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60686-2024</t>
        </is>
      </c>
      <c r="B72" s="1" t="n">
        <v>45644.46938657408</v>
      </c>
      <c r="C72" s="1" t="n">
        <v>46074</v>
      </c>
      <c r="D72" t="inlineStr">
        <is>
          <t>NORRBOTTENS LÄN</t>
        </is>
      </c>
      <c r="E72" t="inlineStr">
        <is>
          <t>PITEÅ</t>
        </is>
      </c>
      <c r="G72" t="n">
        <v>1.3</v>
      </c>
      <c r="H72" t="n">
        <v>0</v>
      </c>
      <c r="I72" t="n">
        <v>1</v>
      </c>
      <c r="J72" t="n">
        <v>0</v>
      </c>
      <c r="K72" t="n">
        <v>0</v>
      </c>
      <c r="L72" t="n">
        <v>0</v>
      </c>
      <c r="M72" t="n">
        <v>0</v>
      </c>
      <c r="N72" t="n">
        <v>0</v>
      </c>
      <c r="O72" t="n">
        <v>0</v>
      </c>
      <c r="P72" t="n">
        <v>0</v>
      </c>
      <c r="Q72" t="n">
        <v>1</v>
      </c>
      <c r="R72" s="2" t="inlineStr">
        <is>
          <t>Norrlandslav</t>
        </is>
      </c>
      <c r="S72">
        <f>HYPERLINK("https://klasma.github.io/Logging_2581/artfynd/A 60686-2024 artfynd.xlsx", "A 60686-2024")</f>
        <v/>
      </c>
      <c r="T72">
        <f>HYPERLINK("https://klasma.github.io/Logging_2581/kartor/A 60686-2024 karta.png", "A 60686-2024")</f>
        <v/>
      </c>
      <c r="V72">
        <f>HYPERLINK("https://klasma.github.io/Logging_2581/klagomål/A 60686-2024 FSC-klagomål.docx", "A 60686-2024")</f>
        <v/>
      </c>
      <c r="W72">
        <f>HYPERLINK("https://klasma.github.io/Logging_2581/klagomålsmail/A 60686-2024 FSC-klagomål mail.docx", "A 60686-2024")</f>
        <v/>
      </c>
      <c r="X72">
        <f>HYPERLINK("https://klasma.github.io/Logging_2581/tillsyn/A 60686-2024 tillsynsbegäran.docx", "A 60686-2024")</f>
        <v/>
      </c>
      <c r="Y72">
        <f>HYPERLINK("https://klasma.github.io/Logging_2581/tillsynsmail/A 60686-2024 tillsynsbegäran mail.docx", "A 60686-2024")</f>
        <v/>
      </c>
    </row>
    <row r="73" ht="15" customHeight="1">
      <c r="A73" t="inlineStr">
        <is>
          <t>A 60456-2025</t>
        </is>
      </c>
      <c r="B73" s="1" t="n">
        <v>45995</v>
      </c>
      <c r="C73" s="1" t="n">
        <v>46074</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4470-2026</t>
        </is>
      </c>
      <c r="B74" s="1" t="n">
        <v>46045.65673611111</v>
      </c>
      <c r="C74" s="1" t="n">
        <v>46074</v>
      </c>
      <c r="D74" t="inlineStr">
        <is>
          <t>NORRBOTTENS LÄN</t>
        </is>
      </c>
      <c r="E74" t="inlineStr">
        <is>
          <t>PITEÅ</t>
        </is>
      </c>
      <c r="F74" t="inlineStr">
        <is>
          <t>SCA</t>
        </is>
      </c>
      <c r="G74" t="n">
        <v>2.5</v>
      </c>
      <c r="H74" t="n">
        <v>0</v>
      </c>
      <c r="I74" t="n">
        <v>0</v>
      </c>
      <c r="J74" t="n">
        <v>1</v>
      </c>
      <c r="K74" t="n">
        <v>0</v>
      </c>
      <c r="L74" t="n">
        <v>0</v>
      </c>
      <c r="M74" t="n">
        <v>0</v>
      </c>
      <c r="N74" t="n">
        <v>0</v>
      </c>
      <c r="O74" t="n">
        <v>1</v>
      </c>
      <c r="P74" t="n">
        <v>0</v>
      </c>
      <c r="Q74" t="n">
        <v>1</v>
      </c>
      <c r="R74" s="2" t="inlineStr">
        <is>
          <t>Lunglav</t>
        </is>
      </c>
      <c r="S74">
        <f>HYPERLINK("https://klasma.github.io/Logging_2581/artfynd/A 4470-2026 artfynd.xlsx", "A 4470-2026")</f>
        <v/>
      </c>
      <c r="T74">
        <f>HYPERLINK("https://klasma.github.io/Logging_2581/kartor/A 4470-2026 karta.png", "A 4470-2026")</f>
        <v/>
      </c>
      <c r="V74">
        <f>HYPERLINK("https://klasma.github.io/Logging_2581/klagomål/A 4470-2026 FSC-klagomål.docx", "A 4470-2026")</f>
        <v/>
      </c>
      <c r="W74">
        <f>HYPERLINK("https://klasma.github.io/Logging_2581/klagomålsmail/A 4470-2026 FSC-klagomål mail.docx", "A 4470-2026")</f>
        <v/>
      </c>
      <c r="X74">
        <f>HYPERLINK("https://klasma.github.io/Logging_2581/tillsyn/A 4470-2026 tillsynsbegäran.docx", "A 4470-2026")</f>
        <v/>
      </c>
      <c r="Y74">
        <f>HYPERLINK("https://klasma.github.io/Logging_2581/tillsynsmail/A 4470-2026 tillsynsbegäran mail.docx", "A 4470-2026")</f>
        <v/>
      </c>
    </row>
    <row r="75" ht="15" customHeight="1">
      <c r="A75" t="inlineStr">
        <is>
          <t>A 5113-2026</t>
        </is>
      </c>
      <c r="B75" s="1" t="n">
        <v>46049.57390046296</v>
      </c>
      <c r="C75" s="1" t="n">
        <v>46074</v>
      </c>
      <c r="D75" t="inlineStr">
        <is>
          <t>NORRBOTTENS LÄN</t>
        </is>
      </c>
      <c r="E75" t="inlineStr">
        <is>
          <t>PITEÅ</t>
        </is>
      </c>
      <c r="G75" t="n">
        <v>4.6</v>
      </c>
      <c r="H75" t="n">
        <v>0</v>
      </c>
      <c r="I75" t="n">
        <v>0</v>
      </c>
      <c r="J75" t="n">
        <v>1</v>
      </c>
      <c r="K75" t="n">
        <v>0</v>
      </c>
      <c r="L75" t="n">
        <v>0</v>
      </c>
      <c r="M75" t="n">
        <v>0</v>
      </c>
      <c r="N75" t="n">
        <v>0</v>
      </c>
      <c r="O75" t="n">
        <v>1</v>
      </c>
      <c r="P75" t="n">
        <v>0</v>
      </c>
      <c r="Q75" t="n">
        <v>1</v>
      </c>
      <c r="R75" s="2" t="inlineStr">
        <is>
          <t>Garnlav</t>
        </is>
      </c>
      <c r="S75">
        <f>HYPERLINK("https://klasma.github.io/Logging_2581/artfynd/A 5113-2026 artfynd.xlsx", "A 5113-2026")</f>
        <v/>
      </c>
      <c r="T75">
        <f>HYPERLINK("https://klasma.github.io/Logging_2581/kartor/A 5113-2026 karta.png", "A 5113-2026")</f>
        <v/>
      </c>
      <c r="V75">
        <f>HYPERLINK("https://klasma.github.io/Logging_2581/klagomål/A 5113-2026 FSC-klagomål.docx", "A 5113-2026")</f>
        <v/>
      </c>
      <c r="W75">
        <f>HYPERLINK("https://klasma.github.io/Logging_2581/klagomålsmail/A 5113-2026 FSC-klagomål mail.docx", "A 5113-2026")</f>
        <v/>
      </c>
      <c r="X75">
        <f>HYPERLINK("https://klasma.github.io/Logging_2581/tillsyn/A 5113-2026 tillsynsbegäran.docx", "A 5113-2026")</f>
        <v/>
      </c>
      <c r="Y75">
        <f>HYPERLINK("https://klasma.github.io/Logging_2581/tillsynsmail/A 5113-2026 tillsynsbegäran mail.docx", "A 5113-2026")</f>
        <v/>
      </c>
    </row>
    <row r="76" ht="15" customHeight="1">
      <c r="A76" t="inlineStr">
        <is>
          <t>A 62512-2025</t>
        </is>
      </c>
      <c r="B76" s="1" t="n">
        <v>46007.59918981481</v>
      </c>
      <c r="C76" s="1" t="n">
        <v>46074</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20562-2025</t>
        </is>
      </c>
      <c r="B77" s="1" t="n">
        <v>45775.65873842593</v>
      </c>
      <c r="C77" s="1" t="n">
        <v>46074</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62725-2025</t>
        </is>
      </c>
      <c r="B78" s="1" t="n">
        <v>46008.55003472222</v>
      </c>
      <c r="C78" s="1" t="n">
        <v>46074</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6125-2026</t>
        </is>
      </c>
      <c r="B79" s="1" t="n">
        <v>46053.92268518519</v>
      </c>
      <c r="C79" s="1" t="n">
        <v>46074</v>
      </c>
      <c r="D79" t="inlineStr">
        <is>
          <t>NORRBOTTENS LÄN</t>
        </is>
      </c>
      <c r="E79" t="inlineStr">
        <is>
          <t>PITEÅ</t>
        </is>
      </c>
      <c r="G79" t="n">
        <v>12.4</v>
      </c>
      <c r="H79" t="n">
        <v>1</v>
      </c>
      <c r="I79" t="n">
        <v>0</v>
      </c>
      <c r="J79" t="n">
        <v>0</v>
      </c>
      <c r="K79" t="n">
        <v>0</v>
      </c>
      <c r="L79" t="n">
        <v>0</v>
      </c>
      <c r="M79" t="n">
        <v>0</v>
      </c>
      <c r="N79" t="n">
        <v>0</v>
      </c>
      <c r="O79" t="n">
        <v>0</v>
      </c>
      <c r="P79" t="n">
        <v>0</v>
      </c>
      <c r="Q79" t="n">
        <v>1</v>
      </c>
      <c r="R79" s="2" t="inlineStr">
        <is>
          <t>Tjäder</t>
        </is>
      </c>
      <c r="S79">
        <f>HYPERLINK("https://klasma.github.io/Logging_2581/artfynd/A 6125-2026 artfynd.xlsx", "A 6125-2026")</f>
        <v/>
      </c>
      <c r="T79">
        <f>HYPERLINK("https://klasma.github.io/Logging_2581/kartor/A 6125-2026 karta.png", "A 6125-2026")</f>
        <v/>
      </c>
      <c r="V79">
        <f>HYPERLINK("https://klasma.github.io/Logging_2581/klagomål/A 6125-2026 FSC-klagomål.docx", "A 6125-2026")</f>
        <v/>
      </c>
      <c r="W79">
        <f>HYPERLINK("https://klasma.github.io/Logging_2581/klagomålsmail/A 6125-2026 FSC-klagomål mail.docx", "A 6125-2026")</f>
        <v/>
      </c>
      <c r="X79">
        <f>HYPERLINK("https://klasma.github.io/Logging_2581/tillsyn/A 6125-2026 tillsynsbegäran.docx", "A 6125-2026")</f>
        <v/>
      </c>
      <c r="Y79">
        <f>HYPERLINK("https://klasma.github.io/Logging_2581/tillsynsmail/A 6125-2026 tillsynsbegäran mail.docx", "A 6125-2026")</f>
        <v/>
      </c>
      <c r="Z79">
        <f>HYPERLINK("https://klasma.github.io/Logging_2581/fåglar/A 6125-2026 prioriterade fågelarter.docx", "A 6125-2026")</f>
        <v/>
      </c>
    </row>
    <row r="80" ht="15" customHeight="1">
      <c r="A80" t="inlineStr">
        <is>
          <t>A 20087-2024</t>
        </is>
      </c>
      <c r="B80" s="1" t="n">
        <v>45434.45416666667</v>
      </c>
      <c r="C80" s="1" t="n">
        <v>46074</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45418-2025</t>
        </is>
      </c>
      <c r="B81" s="1" t="n">
        <v>45922.44846064815</v>
      </c>
      <c r="C81" s="1" t="n">
        <v>46074</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8221-2026</t>
        </is>
      </c>
      <c r="B82" s="1" t="n">
        <v>46064.4640625</v>
      </c>
      <c r="C82" s="1" t="n">
        <v>46074</v>
      </c>
      <c r="D82" t="inlineStr">
        <is>
          <t>NORRBOTTENS LÄN</t>
        </is>
      </c>
      <c r="E82" t="inlineStr">
        <is>
          <t>PITEÅ</t>
        </is>
      </c>
      <c r="G82" t="n">
        <v>6.2</v>
      </c>
      <c r="H82" t="n">
        <v>1</v>
      </c>
      <c r="I82" t="n">
        <v>0</v>
      </c>
      <c r="J82" t="n">
        <v>1</v>
      </c>
      <c r="K82" t="n">
        <v>0</v>
      </c>
      <c r="L82" t="n">
        <v>0</v>
      </c>
      <c r="M82" t="n">
        <v>0</v>
      </c>
      <c r="N82" t="n">
        <v>0</v>
      </c>
      <c r="O82" t="n">
        <v>1</v>
      </c>
      <c r="P82" t="n">
        <v>0</v>
      </c>
      <c r="Q82" t="n">
        <v>1</v>
      </c>
      <c r="R82" s="2" t="inlineStr">
        <is>
          <t>Talltita</t>
        </is>
      </c>
      <c r="S82">
        <f>HYPERLINK("https://klasma.github.io/Logging_2581/artfynd/A 8221-2026 artfynd.xlsx", "A 8221-2026")</f>
        <v/>
      </c>
      <c r="T82">
        <f>HYPERLINK("https://klasma.github.io/Logging_2581/kartor/A 8221-2026 karta.png", "A 8221-2026")</f>
        <v/>
      </c>
      <c r="V82">
        <f>HYPERLINK("https://klasma.github.io/Logging_2581/klagomål/A 8221-2026 FSC-klagomål.docx", "A 8221-2026")</f>
        <v/>
      </c>
      <c r="W82">
        <f>HYPERLINK("https://klasma.github.io/Logging_2581/klagomålsmail/A 8221-2026 FSC-klagomål mail.docx", "A 8221-2026")</f>
        <v/>
      </c>
      <c r="X82">
        <f>HYPERLINK("https://klasma.github.io/Logging_2581/tillsyn/A 8221-2026 tillsynsbegäran.docx", "A 8221-2026")</f>
        <v/>
      </c>
      <c r="Y82">
        <f>HYPERLINK("https://klasma.github.io/Logging_2581/tillsynsmail/A 8221-2026 tillsynsbegäran mail.docx", "A 8221-2026")</f>
        <v/>
      </c>
      <c r="Z82">
        <f>HYPERLINK("https://klasma.github.io/Logging_2581/fåglar/A 8221-2026 prioriterade fågelarter.docx", "A 8221-2026")</f>
        <v/>
      </c>
    </row>
    <row r="83" ht="15" customHeight="1">
      <c r="A83" t="inlineStr">
        <is>
          <t>A 8205-2026</t>
        </is>
      </c>
      <c r="B83" s="1" t="n">
        <v>46064.44733796296</v>
      </c>
      <c r="C83" s="1" t="n">
        <v>46074</v>
      </c>
      <c r="D83" t="inlineStr">
        <is>
          <t>NORRBOTTENS LÄN</t>
        </is>
      </c>
      <c r="E83" t="inlineStr">
        <is>
          <t>PITEÅ</t>
        </is>
      </c>
      <c r="G83" t="n">
        <v>7.4</v>
      </c>
      <c r="H83" t="n">
        <v>1</v>
      </c>
      <c r="I83" t="n">
        <v>0</v>
      </c>
      <c r="J83" t="n">
        <v>1</v>
      </c>
      <c r="K83" t="n">
        <v>0</v>
      </c>
      <c r="L83" t="n">
        <v>0</v>
      </c>
      <c r="M83" t="n">
        <v>0</v>
      </c>
      <c r="N83" t="n">
        <v>0</v>
      </c>
      <c r="O83" t="n">
        <v>1</v>
      </c>
      <c r="P83" t="n">
        <v>0</v>
      </c>
      <c r="Q83" t="n">
        <v>1</v>
      </c>
      <c r="R83" s="2" t="inlineStr">
        <is>
          <t>Svartvit flugsnappare</t>
        </is>
      </c>
      <c r="S83">
        <f>HYPERLINK("https://klasma.github.io/Logging_2581/artfynd/A 8205-2026 artfynd.xlsx", "A 8205-2026")</f>
        <v/>
      </c>
      <c r="T83">
        <f>HYPERLINK("https://klasma.github.io/Logging_2581/kartor/A 8205-2026 karta.png", "A 8205-2026")</f>
        <v/>
      </c>
      <c r="V83">
        <f>HYPERLINK("https://klasma.github.io/Logging_2581/klagomål/A 8205-2026 FSC-klagomål.docx", "A 8205-2026")</f>
        <v/>
      </c>
      <c r="W83">
        <f>HYPERLINK("https://klasma.github.io/Logging_2581/klagomålsmail/A 8205-2026 FSC-klagomål mail.docx", "A 8205-2026")</f>
        <v/>
      </c>
      <c r="X83">
        <f>HYPERLINK("https://klasma.github.io/Logging_2581/tillsyn/A 8205-2026 tillsynsbegäran.docx", "A 8205-2026")</f>
        <v/>
      </c>
      <c r="Y83">
        <f>HYPERLINK("https://klasma.github.io/Logging_2581/tillsynsmail/A 8205-2026 tillsynsbegäran mail.docx", "A 8205-2026")</f>
        <v/>
      </c>
      <c r="Z83">
        <f>HYPERLINK("https://klasma.github.io/Logging_2581/fåglar/A 8205-2026 prioriterade fågelarter.docx", "A 8205-2026")</f>
        <v/>
      </c>
    </row>
    <row r="84" ht="15" customHeight="1">
      <c r="A84" t="inlineStr">
        <is>
          <t>A 8188-2026</t>
        </is>
      </c>
      <c r="B84" s="1" t="n">
        <v>46064.42334490741</v>
      </c>
      <c r="C84" s="1" t="n">
        <v>46074</v>
      </c>
      <c r="D84" t="inlineStr">
        <is>
          <t>NORRBOTTENS LÄN</t>
        </is>
      </c>
      <c r="E84" t="inlineStr">
        <is>
          <t>PITEÅ</t>
        </is>
      </c>
      <c r="G84" t="n">
        <v>4.7</v>
      </c>
      <c r="H84" t="n">
        <v>1</v>
      </c>
      <c r="I84" t="n">
        <v>0</v>
      </c>
      <c r="J84" t="n">
        <v>0</v>
      </c>
      <c r="K84" t="n">
        <v>0</v>
      </c>
      <c r="L84" t="n">
        <v>0</v>
      </c>
      <c r="M84" t="n">
        <v>0</v>
      </c>
      <c r="N84" t="n">
        <v>0</v>
      </c>
      <c r="O84" t="n">
        <v>0</v>
      </c>
      <c r="P84" t="n">
        <v>0</v>
      </c>
      <c r="Q84" t="n">
        <v>1</v>
      </c>
      <c r="R84" s="2" t="inlineStr">
        <is>
          <t>Kungsfågel</t>
        </is>
      </c>
      <c r="S84">
        <f>HYPERLINK("https://klasma.github.io/Logging_2581/artfynd/A 8188-2026 artfynd.xlsx", "A 8188-2026")</f>
        <v/>
      </c>
      <c r="T84">
        <f>HYPERLINK("https://klasma.github.io/Logging_2581/kartor/A 8188-2026 karta.png", "A 8188-2026")</f>
        <v/>
      </c>
      <c r="V84">
        <f>HYPERLINK("https://klasma.github.io/Logging_2581/klagomål/A 8188-2026 FSC-klagomål.docx", "A 8188-2026")</f>
        <v/>
      </c>
      <c r="W84">
        <f>HYPERLINK("https://klasma.github.io/Logging_2581/klagomålsmail/A 8188-2026 FSC-klagomål mail.docx", "A 8188-2026")</f>
        <v/>
      </c>
      <c r="X84">
        <f>HYPERLINK("https://klasma.github.io/Logging_2581/tillsyn/A 8188-2026 tillsynsbegäran.docx", "A 8188-2026")</f>
        <v/>
      </c>
      <c r="Y84">
        <f>HYPERLINK("https://klasma.github.io/Logging_2581/tillsynsmail/A 8188-2026 tillsynsbegäran mail.docx", "A 8188-2026")</f>
        <v/>
      </c>
      <c r="Z84">
        <f>HYPERLINK("https://klasma.github.io/Logging_2581/fåglar/A 8188-2026 prioriterade fågelarter.docx", "A 8188-2026")</f>
        <v/>
      </c>
    </row>
    <row r="85" ht="15" customHeight="1">
      <c r="A85" t="inlineStr">
        <is>
          <t>A 44704-2024</t>
        </is>
      </c>
      <c r="B85" s="1" t="n">
        <v>45574.56923611111</v>
      </c>
      <c r="C85" s="1" t="n">
        <v>46074</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Granticka</t>
        </is>
      </c>
      <c r="S85">
        <f>HYPERLINK("https://klasma.github.io/Logging_2581/artfynd/A 44704-2024 artfynd.xlsx", "A 44704-2024")</f>
        <v/>
      </c>
      <c r="T85">
        <f>HYPERLINK("https://klasma.github.io/Logging_2581/kartor/A 44704-2024 karta.png", "A 44704-2024")</f>
        <v/>
      </c>
      <c r="V85">
        <f>HYPERLINK("https://klasma.github.io/Logging_2581/klagomål/A 44704-2024 FSC-klagomål.docx", "A 44704-2024")</f>
        <v/>
      </c>
      <c r="W85">
        <f>HYPERLINK("https://klasma.github.io/Logging_2581/klagomålsmail/A 44704-2024 FSC-klagomål mail.docx", "A 44704-2024")</f>
        <v/>
      </c>
      <c r="X85">
        <f>HYPERLINK("https://klasma.github.io/Logging_2581/tillsyn/A 44704-2024 tillsynsbegäran.docx", "A 44704-2024")</f>
        <v/>
      </c>
      <c r="Y85">
        <f>HYPERLINK("https://klasma.github.io/Logging_2581/tillsynsmail/A 44704-2024 tillsynsbegäran mail.docx", "A 44704-2024")</f>
        <v/>
      </c>
    </row>
    <row r="86" ht="15" customHeight="1">
      <c r="A86" t="inlineStr">
        <is>
          <t>A 5331-2026</t>
        </is>
      </c>
      <c r="B86" s="1" t="n">
        <v>46050</v>
      </c>
      <c r="C86" s="1" t="n">
        <v>46074</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49685-2025</t>
        </is>
      </c>
      <c r="B87" s="1" t="n">
        <v>45939</v>
      </c>
      <c r="C87" s="1" t="n">
        <v>46074</v>
      </c>
      <c r="D87" t="inlineStr">
        <is>
          <t>NORRBOTTENS LÄN</t>
        </is>
      </c>
      <c r="E87" t="inlineStr">
        <is>
          <t>PITEÅ</t>
        </is>
      </c>
      <c r="G87" t="n">
        <v>3.1</v>
      </c>
      <c r="H87" t="n">
        <v>1</v>
      </c>
      <c r="I87" t="n">
        <v>0</v>
      </c>
      <c r="J87" t="n">
        <v>0</v>
      </c>
      <c r="K87" t="n">
        <v>0</v>
      </c>
      <c r="L87" t="n">
        <v>0</v>
      </c>
      <c r="M87" t="n">
        <v>0</v>
      </c>
      <c r="N87" t="n">
        <v>0</v>
      </c>
      <c r="O87" t="n">
        <v>0</v>
      </c>
      <c r="P87" t="n">
        <v>0</v>
      </c>
      <c r="Q87" t="n">
        <v>1</v>
      </c>
      <c r="R87" s="2" t="inlineStr">
        <is>
          <t>Huggorm</t>
        </is>
      </c>
      <c r="S87">
        <f>HYPERLINK("https://klasma.github.io/Logging_2581/artfynd/A 49685-2025 artfynd.xlsx", "A 49685-2025")</f>
        <v/>
      </c>
      <c r="T87">
        <f>HYPERLINK("https://klasma.github.io/Logging_2581/kartor/A 49685-2025 karta.png", "A 49685-2025")</f>
        <v/>
      </c>
      <c r="V87">
        <f>HYPERLINK("https://klasma.github.io/Logging_2581/klagomål/A 49685-2025 FSC-klagomål.docx", "A 49685-2025")</f>
        <v/>
      </c>
      <c r="W87">
        <f>HYPERLINK("https://klasma.github.io/Logging_2581/klagomålsmail/A 49685-2025 FSC-klagomål mail.docx", "A 49685-2025")</f>
        <v/>
      </c>
      <c r="X87">
        <f>HYPERLINK("https://klasma.github.io/Logging_2581/tillsyn/A 49685-2025 tillsynsbegäran.docx", "A 49685-2025")</f>
        <v/>
      </c>
      <c r="Y87">
        <f>HYPERLINK("https://klasma.github.io/Logging_2581/tillsynsmail/A 49685-2025 tillsynsbegäran mail.docx", "A 49685-2025")</f>
        <v/>
      </c>
    </row>
    <row r="88" ht="15" customHeight="1">
      <c r="A88" t="inlineStr">
        <is>
          <t>A 56518-2024</t>
        </is>
      </c>
      <c r="B88" s="1" t="n">
        <v>45625</v>
      </c>
      <c r="C88" s="1" t="n">
        <v>46074</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23075-2024</t>
        </is>
      </c>
      <c r="B89" s="1" t="n">
        <v>45450</v>
      </c>
      <c r="C89" s="1" t="n">
        <v>46074</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58032-2024</t>
        </is>
      </c>
      <c r="B90" s="1" t="n">
        <v>45631.7077199074</v>
      </c>
      <c r="C90" s="1" t="n">
        <v>46074</v>
      </c>
      <c r="D90" t="inlineStr">
        <is>
          <t>NORRBOTTENS LÄN</t>
        </is>
      </c>
      <c r="E90" t="inlineStr">
        <is>
          <t>PITEÅ</t>
        </is>
      </c>
      <c r="G90" t="n">
        <v>1.2</v>
      </c>
      <c r="H90" t="n">
        <v>0</v>
      </c>
      <c r="I90" t="n">
        <v>0</v>
      </c>
      <c r="J90" t="n">
        <v>1</v>
      </c>
      <c r="K90" t="n">
        <v>0</v>
      </c>
      <c r="L90" t="n">
        <v>0</v>
      </c>
      <c r="M90" t="n">
        <v>0</v>
      </c>
      <c r="N90" t="n">
        <v>0</v>
      </c>
      <c r="O90" t="n">
        <v>1</v>
      </c>
      <c r="P90" t="n">
        <v>0</v>
      </c>
      <c r="Q90" t="n">
        <v>1</v>
      </c>
      <c r="R90" s="2" t="inlineStr">
        <is>
          <t>Granticka</t>
        </is>
      </c>
      <c r="S90">
        <f>HYPERLINK("https://klasma.github.io/Logging_2581/artfynd/A 58032-2024 artfynd.xlsx", "A 58032-2024")</f>
        <v/>
      </c>
      <c r="T90">
        <f>HYPERLINK("https://klasma.github.io/Logging_2581/kartor/A 58032-2024 karta.png", "A 58032-2024")</f>
        <v/>
      </c>
      <c r="V90">
        <f>HYPERLINK("https://klasma.github.io/Logging_2581/klagomål/A 58032-2024 FSC-klagomål.docx", "A 58032-2024")</f>
        <v/>
      </c>
      <c r="W90">
        <f>HYPERLINK("https://klasma.github.io/Logging_2581/klagomålsmail/A 58032-2024 FSC-klagomål mail.docx", "A 58032-2024")</f>
        <v/>
      </c>
      <c r="X90">
        <f>HYPERLINK("https://klasma.github.io/Logging_2581/tillsyn/A 58032-2024 tillsynsbegäran.docx", "A 58032-2024")</f>
        <v/>
      </c>
      <c r="Y90">
        <f>HYPERLINK("https://klasma.github.io/Logging_2581/tillsynsmail/A 58032-2024 tillsynsbegäran mail.docx", "A 58032-2024")</f>
        <v/>
      </c>
    </row>
    <row r="91" ht="15" customHeight="1">
      <c r="A91" t="inlineStr">
        <is>
          <t>A 56592-2023</t>
        </is>
      </c>
      <c r="B91" s="1" t="n">
        <v>45243.64162037037</v>
      </c>
      <c r="C91" s="1" t="n">
        <v>46074</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30453-2024</t>
        </is>
      </c>
      <c r="B92" s="1" t="n">
        <v>45491.92774305555</v>
      </c>
      <c r="C92" s="1" t="n">
        <v>46074</v>
      </c>
      <c r="D92" t="inlineStr">
        <is>
          <t>NORRBOTTENS LÄN</t>
        </is>
      </c>
      <c r="E92" t="inlineStr">
        <is>
          <t>PITEÅ</t>
        </is>
      </c>
      <c r="G92" t="n">
        <v>2.5</v>
      </c>
      <c r="H92" t="n">
        <v>1</v>
      </c>
      <c r="I92" t="n">
        <v>0</v>
      </c>
      <c r="J92" t="n">
        <v>1</v>
      </c>
      <c r="K92" t="n">
        <v>0</v>
      </c>
      <c r="L92" t="n">
        <v>0</v>
      </c>
      <c r="M92" t="n">
        <v>0</v>
      </c>
      <c r="N92" t="n">
        <v>0</v>
      </c>
      <c r="O92" t="n">
        <v>1</v>
      </c>
      <c r="P92" t="n">
        <v>0</v>
      </c>
      <c r="Q92" t="n">
        <v>1</v>
      </c>
      <c r="R92" s="2" t="inlineStr">
        <is>
          <t>Rödvingetrast</t>
        </is>
      </c>
      <c r="S92">
        <f>HYPERLINK("https://klasma.github.io/Logging_2581/artfynd/A 30453-2024 artfynd.xlsx", "A 30453-2024")</f>
        <v/>
      </c>
      <c r="T92">
        <f>HYPERLINK("https://klasma.github.io/Logging_2581/kartor/A 30453-2024 karta.png", "A 30453-2024")</f>
        <v/>
      </c>
      <c r="V92">
        <f>HYPERLINK("https://klasma.github.io/Logging_2581/klagomål/A 30453-2024 FSC-klagomål.docx", "A 30453-2024")</f>
        <v/>
      </c>
      <c r="W92">
        <f>HYPERLINK("https://klasma.github.io/Logging_2581/klagomålsmail/A 30453-2024 FSC-klagomål mail.docx", "A 30453-2024")</f>
        <v/>
      </c>
      <c r="X92">
        <f>HYPERLINK("https://klasma.github.io/Logging_2581/tillsyn/A 30453-2024 tillsynsbegäran.docx", "A 30453-2024")</f>
        <v/>
      </c>
      <c r="Y92">
        <f>HYPERLINK("https://klasma.github.io/Logging_2581/tillsynsmail/A 30453-2024 tillsynsbegäran mail.docx", "A 30453-2024")</f>
        <v/>
      </c>
      <c r="Z92">
        <f>HYPERLINK("https://klasma.github.io/Logging_2581/fåglar/A 30453-2024 prioriterade fågelarter.docx", "A 30453-2024")</f>
        <v/>
      </c>
    </row>
    <row r="93" ht="15" customHeight="1">
      <c r="A93" t="inlineStr">
        <is>
          <t>A 9007-2024</t>
        </is>
      </c>
      <c r="B93" s="1" t="n">
        <v>45356</v>
      </c>
      <c r="C93" s="1" t="n">
        <v>46074</v>
      </c>
      <c r="D93" t="inlineStr">
        <is>
          <t>NORRBOTTENS LÄN</t>
        </is>
      </c>
      <c r="E93" t="inlineStr">
        <is>
          <t>PITEÅ</t>
        </is>
      </c>
      <c r="G93" t="n">
        <v>1.6</v>
      </c>
      <c r="H93" t="n">
        <v>1</v>
      </c>
      <c r="I93" t="n">
        <v>0</v>
      </c>
      <c r="J93" t="n">
        <v>0</v>
      </c>
      <c r="K93" t="n">
        <v>1</v>
      </c>
      <c r="L93" t="n">
        <v>0</v>
      </c>
      <c r="M93" t="n">
        <v>0</v>
      </c>
      <c r="N93" t="n">
        <v>0</v>
      </c>
      <c r="O93" t="n">
        <v>1</v>
      </c>
      <c r="P93" t="n">
        <v>1</v>
      </c>
      <c r="Q93" t="n">
        <v>1</v>
      </c>
      <c r="R93" s="2" t="inlineStr">
        <is>
          <t>Norna</t>
        </is>
      </c>
      <c r="S93">
        <f>HYPERLINK("https://klasma.github.io/Logging_2581/artfynd/A 9007-2024 artfynd.xlsx", "A 9007-2024")</f>
        <v/>
      </c>
      <c r="T93">
        <f>HYPERLINK("https://klasma.github.io/Logging_2581/kartor/A 9007-2024 karta.png", "A 9007-2024")</f>
        <v/>
      </c>
      <c r="V93">
        <f>HYPERLINK("https://klasma.github.io/Logging_2581/klagomål/A 9007-2024 FSC-klagomål.docx", "A 9007-2024")</f>
        <v/>
      </c>
      <c r="W93">
        <f>HYPERLINK("https://klasma.github.io/Logging_2581/klagomålsmail/A 9007-2024 FSC-klagomål mail.docx", "A 9007-2024")</f>
        <v/>
      </c>
      <c r="X93">
        <f>HYPERLINK("https://klasma.github.io/Logging_2581/tillsyn/A 9007-2024 tillsynsbegäran.docx", "A 9007-2024")</f>
        <v/>
      </c>
      <c r="Y93">
        <f>HYPERLINK("https://klasma.github.io/Logging_2581/tillsynsmail/A 9007-2024 tillsynsbegäran mail.docx", "A 9007-2024")</f>
        <v/>
      </c>
    </row>
    <row r="94" ht="15" customHeight="1">
      <c r="A94" t="inlineStr">
        <is>
          <t>A 50644-2022</t>
        </is>
      </c>
      <c r="B94" s="1" t="n">
        <v>44866.94907407407</v>
      </c>
      <c r="C94" s="1" t="n">
        <v>46074</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46074</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46074</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46074</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46074</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46074</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46074</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46074</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46074</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46074</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46074</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46074</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46074</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46074</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46074</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46074</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46074</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46074</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46074</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46074</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46074</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46074</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46074</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46074</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46074</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46074</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46074</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46074</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46074</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46074</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46074</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46074</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46074</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46074</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46074</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46074</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46074</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46074</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46074</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46074</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46074</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46074</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46074</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46074</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46074</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46074</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46074</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46074</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46074</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46074</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46074</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46074</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46074</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46074</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46074</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46074</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46074</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46074</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46074</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46074</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46074</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46074</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46074</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46074</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46074</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46074</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46074</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46074</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46074</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10021-2024</t>
        </is>
      </c>
      <c r="B163" s="1" t="n">
        <v>45363.96973379629</v>
      </c>
      <c r="C163" s="1" t="n">
        <v>46074</v>
      </c>
      <c r="D163" t="inlineStr">
        <is>
          <t>NORRBOTTENS LÄN</t>
        </is>
      </c>
      <c r="E163" t="inlineStr">
        <is>
          <t>PITEÅ</t>
        </is>
      </c>
      <c r="G163" t="n">
        <v>2.9</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46074</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46074</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46074</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35660-2024</t>
        </is>
      </c>
      <c r="B167" s="1" t="n">
        <v>45532.37145833333</v>
      </c>
      <c r="C167" s="1" t="n">
        <v>46074</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row>
    <row r="168" ht="15" customHeight="1">
      <c r="A168" t="inlineStr">
        <is>
          <t>A 35670-2024</t>
        </is>
      </c>
      <c r="B168" s="1" t="n">
        <v>45532.3909375</v>
      </c>
      <c r="C168" s="1" t="n">
        <v>46074</v>
      </c>
      <c r="D168" t="inlineStr">
        <is>
          <t>NORRBOTTENS LÄN</t>
        </is>
      </c>
      <c r="E168" t="inlineStr">
        <is>
          <t>PITEÅ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46074</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46074</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46074</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46074</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3870-2025</t>
        </is>
      </c>
      <c r="B173" s="1" t="n">
        <v>45684.3259837963</v>
      </c>
      <c r="C173" s="1" t="n">
        <v>46074</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3887-2025</t>
        </is>
      </c>
      <c r="B174" s="1" t="n">
        <v>45684.36634259259</v>
      </c>
      <c r="C174" s="1" t="n">
        <v>46074</v>
      </c>
      <c r="D174" t="inlineStr">
        <is>
          <t>NORRBOTTENS LÄN</t>
        </is>
      </c>
      <c r="E174" t="inlineStr">
        <is>
          <t>PITEÅ</t>
        </is>
      </c>
      <c r="G174" t="n">
        <v>4.1</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46074</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46074</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46074</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46074</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46074</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1501-2025</t>
        </is>
      </c>
      <c r="B180" s="1" t="n">
        <v>45670</v>
      </c>
      <c r="C180" s="1" t="n">
        <v>46074</v>
      </c>
      <c r="D180" t="inlineStr">
        <is>
          <t>NORRBOTTENS LÄN</t>
        </is>
      </c>
      <c r="E180" t="inlineStr">
        <is>
          <t>PITEÅ</t>
        </is>
      </c>
      <c r="G180" t="n">
        <v>2.7</v>
      </c>
      <c r="H180" t="n">
        <v>0</v>
      </c>
      <c r="I180" t="n">
        <v>0</v>
      </c>
      <c r="J180" t="n">
        <v>0</v>
      </c>
      <c r="K180" t="n">
        <v>0</v>
      </c>
      <c r="L180" t="n">
        <v>0</v>
      </c>
      <c r="M180" t="n">
        <v>0</v>
      </c>
      <c r="N180" t="n">
        <v>0</v>
      </c>
      <c r="O180" t="n">
        <v>0</v>
      </c>
      <c r="P180" t="n">
        <v>0</v>
      </c>
      <c r="Q180" t="n">
        <v>0</v>
      </c>
      <c r="R180" s="2" t="inlineStr"/>
    </row>
    <row r="181" ht="15" customHeight="1">
      <c r="A181" t="inlineStr">
        <is>
          <t>A 60108-2024</t>
        </is>
      </c>
      <c r="B181" s="1" t="n">
        <v>45642.57230324074</v>
      </c>
      <c r="C181" s="1" t="n">
        <v>46074</v>
      </c>
      <c r="D181" t="inlineStr">
        <is>
          <t>NORRBOTTENS LÄN</t>
        </is>
      </c>
      <c r="E181" t="inlineStr">
        <is>
          <t>PITEÅ</t>
        </is>
      </c>
      <c r="G181" t="n">
        <v>5.7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46074</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38938-2024</t>
        </is>
      </c>
      <c r="B183" s="1" t="n">
        <v>45548.34413194445</v>
      </c>
      <c r="C183" s="1" t="n">
        <v>46074</v>
      </c>
      <c r="D183" t="inlineStr">
        <is>
          <t>NORRBOTTENS LÄN</t>
        </is>
      </c>
      <c r="E183" t="inlineStr">
        <is>
          <t>PITEÅ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32251-2024</t>
        </is>
      </c>
      <c r="B184" s="1" t="n">
        <v>45511.95188657408</v>
      </c>
      <c r="C184" s="1" t="n">
        <v>46074</v>
      </c>
      <c r="D184" t="inlineStr">
        <is>
          <t>NORRBOTTENS LÄN</t>
        </is>
      </c>
      <c r="E184" t="inlineStr">
        <is>
          <t>PITEÅ</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17838-2024</t>
        </is>
      </c>
      <c r="B185" s="1" t="n">
        <v>45418</v>
      </c>
      <c r="C185" s="1" t="n">
        <v>46074</v>
      </c>
      <c r="D185" t="inlineStr">
        <is>
          <t>NORRBOTTENS LÄN</t>
        </is>
      </c>
      <c r="E185" t="inlineStr">
        <is>
          <t>PITEÅ</t>
        </is>
      </c>
      <c r="G185" t="n">
        <v>4.3</v>
      </c>
      <c r="H185" t="n">
        <v>0</v>
      </c>
      <c r="I185" t="n">
        <v>0</v>
      </c>
      <c r="J185" t="n">
        <v>0</v>
      </c>
      <c r="K185" t="n">
        <v>0</v>
      </c>
      <c r="L185" t="n">
        <v>0</v>
      </c>
      <c r="M185" t="n">
        <v>0</v>
      </c>
      <c r="N185" t="n">
        <v>0</v>
      </c>
      <c r="O185" t="n">
        <v>0</v>
      </c>
      <c r="P185" t="n">
        <v>0</v>
      </c>
      <c r="Q185" t="n">
        <v>0</v>
      </c>
      <c r="R185" s="2" t="inlineStr"/>
    </row>
    <row r="186" ht="15" customHeight="1">
      <c r="A186" t="inlineStr">
        <is>
          <t>A 7901-2024</t>
        </is>
      </c>
      <c r="B186" s="1" t="n">
        <v>45350.42581018519</v>
      </c>
      <c r="C186" s="1" t="n">
        <v>46074</v>
      </c>
      <c r="D186" t="inlineStr">
        <is>
          <t>NORRBOTTENS LÄN</t>
        </is>
      </c>
      <c r="E186" t="inlineStr">
        <is>
          <t>PITEÅ</t>
        </is>
      </c>
      <c r="G186" t="n">
        <v>7.8</v>
      </c>
      <c r="H186" t="n">
        <v>0</v>
      </c>
      <c r="I186" t="n">
        <v>0</v>
      </c>
      <c r="J186" t="n">
        <v>0</v>
      </c>
      <c r="K186" t="n">
        <v>0</v>
      </c>
      <c r="L186" t="n">
        <v>0</v>
      </c>
      <c r="M186" t="n">
        <v>0</v>
      </c>
      <c r="N186" t="n">
        <v>0</v>
      </c>
      <c r="O186" t="n">
        <v>0</v>
      </c>
      <c r="P186" t="n">
        <v>0</v>
      </c>
      <c r="Q186" t="n">
        <v>0</v>
      </c>
      <c r="R186" s="2" t="inlineStr"/>
    </row>
    <row r="187" ht="15" customHeight="1">
      <c r="A187" t="inlineStr">
        <is>
          <t>A 7905-2024</t>
        </is>
      </c>
      <c r="B187" s="1" t="n">
        <v>45350.4345949074</v>
      </c>
      <c r="C187" s="1" t="n">
        <v>46074</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15081-2021</t>
        </is>
      </c>
      <c r="B188" s="1" t="n">
        <v>44281</v>
      </c>
      <c r="C188" s="1" t="n">
        <v>46074</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46074</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46074</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50329-2024</t>
        </is>
      </c>
      <c r="B191" s="1" t="n">
        <v>45600.69767361111</v>
      </c>
      <c r="C191" s="1" t="n">
        <v>46074</v>
      </c>
      <c r="D191" t="inlineStr">
        <is>
          <t>NORRBOTTENS LÄN</t>
        </is>
      </c>
      <c r="E191" t="inlineStr">
        <is>
          <t>PITEÅ</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2768-2025</t>
        </is>
      </c>
      <c r="B192" s="1" t="n">
        <v>45677.49145833333</v>
      </c>
      <c r="C192" s="1" t="n">
        <v>46074</v>
      </c>
      <c r="D192" t="inlineStr">
        <is>
          <t>NORRBOTTENS LÄN</t>
        </is>
      </c>
      <c r="E192" t="inlineStr">
        <is>
          <t>PITEÅ</t>
        </is>
      </c>
      <c r="G192" t="n">
        <v>9.5</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46074</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46074</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46074</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46074</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42450-2023</t>
        </is>
      </c>
      <c r="B197" s="1" t="n">
        <v>45180</v>
      </c>
      <c r="C197" s="1" t="n">
        <v>46074</v>
      </c>
      <c r="D197" t="inlineStr">
        <is>
          <t>NORRBOTTENS LÄN</t>
        </is>
      </c>
      <c r="E197" t="inlineStr">
        <is>
          <t>PITEÅ</t>
        </is>
      </c>
      <c r="G197" t="n">
        <v>0.5</v>
      </c>
      <c r="H197" t="n">
        <v>0</v>
      </c>
      <c r="I197" t="n">
        <v>0</v>
      </c>
      <c r="J197" t="n">
        <v>0</v>
      </c>
      <c r="K197" t="n">
        <v>0</v>
      </c>
      <c r="L197" t="n">
        <v>0</v>
      </c>
      <c r="M197" t="n">
        <v>0</v>
      </c>
      <c r="N197" t="n">
        <v>0</v>
      </c>
      <c r="O197" t="n">
        <v>0</v>
      </c>
      <c r="P197" t="n">
        <v>0</v>
      </c>
      <c r="Q197" t="n">
        <v>0</v>
      </c>
      <c r="R197" s="2" t="inlineStr"/>
    </row>
    <row r="198" ht="15" customHeight="1">
      <c r="A198" t="inlineStr">
        <is>
          <t>A 21854-2022</t>
        </is>
      </c>
      <c r="B198" s="1" t="n">
        <v>44708</v>
      </c>
      <c r="C198" s="1" t="n">
        <v>46074</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46074</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45329-2024</t>
        </is>
      </c>
      <c r="B200" s="1" t="n">
        <v>45576.45633101852</v>
      </c>
      <c r="C200" s="1" t="n">
        <v>46074</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37030-2022</t>
        </is>
      </c>
      <c r="B201" s="1" t="n">
        <v>44806.43287037037</v>
      </c>
      <c r="C201" s="1" t="n">
        <v>46074</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17318-2024</t>
        </is>
      </c>
      <c r="B202" s="1" t="n">
        <v>45414</v>
      </c>
      <c r="C202" s="1" t="n">
        <v>46074</v>
      </c>
      <c r="D202" t="inlineStr">
        <is>
          <t>NORRBOTTENS LÄN</t>
        </is>
      </c>
      <c r="E202" t="inlineStr">
        <is>
          <t>PITEÅ</t>
        </is>
      </c>
      <c r="G202" t="n">
        <v>4.2</v>
      </c>
      <c r="H202" t="n">
        <v>0</v>
      </c>
      <c r="I202" t="n">
        <v>0</v>
      </c>
      <c r="J202" t="n">
        <v>0</v>
      </c>
      <c r="K202" t="n">
        <v>0</v>
      </c>
      <c r="L202" t="n">
        <v>0</v>
      </c>
      <c r="M202" t="n">
        <v>0</v>
      </c>
      <c r="N202" t="n">
        <v>0</v>
      </c>
      <c r="O202" t="n">
        <v>0</v>
      </c>
      <c r="P202" t="n">
        <v>0</v>
      </c>
      <c r="Q202" t="n">
        <v>0</v>
      </c>
      <c r="R202" s="2" t="inlineStr"/>
    </row>
    <row r="203" ht="15" customHeight="1">
      <c r="A203" t="inlineStr">
        <is>
          <t>A 39562-2023</t>
        </is>
      </c>
      <c r="B203" s="1" t="n">
        <v>45167.3946412037</v>
      </c>
      <c r="C203" s="1" t="n">
        <v>46074</v>
      </c>
      <c r="D203" t="inlineStr">
        <is>
          <t>NORRBOTTENS LÄN</t>
        </is>
      </c>
      <c r="E203" t="inlineStr">
        <is>
          <t>PITEÅ</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57180-2022</t>
        </is>
      </c>
      <c r="B204" s="1" t="n">
        <v>44895.61856481482</v>
      </c>
      <c r="C204" s="1" t="n">
        <v>46074</v>
      </c>
      <c r="D204" t="inlineStr">
        <is>
          <t>NORRBOTTENS LÄN</t>
        </is>
      </c>
      <c r="E204" t="inlineStr">
        <is>
          <t>PITEÅ</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37821-2024</t>
        </is>
      </c>
      <c r="B205" s="1" t="n">
        <v>45544</v>
      </c>
      <c r="C205" s="1" t="n">
        <v>46074</v>
      </c>
      <c r="D205" t="inlineStr">
        <is>
          <t>NORRBOTTENS LÄN</t>
        </is>
      </c>
      <c r="E205" t="inlineStr">
        <is>
          <t>PITEÅ</t>
        </is>
      </c>
      <c r="G205" t="n">
        <v>4.5</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46074</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48624-2023</t>
        </is>
      </c>
      <c r="B207" s="1" t="n">
        <v>45208</v>
      </c>
      <c r="C207" s="1" t="n">
        <v>46074</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9011-2024</t>
        </is>
      </c>
      <c r="B208" s="1" t="n">
        <v>45356</v>
      </c>
      <c r="C208" s="1" t="n">
        <v>46074</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19808-2025</t>
        </is>
      </c>
      <c r="B209" s="1" t="n">
        <v>45771.4549537037</v>
      </c>
      <c r="C209" s="1" t="n">
        <v>46074</v>
      </c>
      <c r="D209" t="inlineStr">
        <is>
          <t>NORRBOTTENS LÄN</t>
        </is>
      </c>
      <c r="E209" t="inlineStr">
        <is>
          <t>PITEÅ</t>
        </is>
      </c>
      <c r="G209" t="n">
        <v>1.1</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46074</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48602-2022</t>
        </is>
      </c>
      <c r="B211" s="1" t="n">
        <v>44859</v>
      </c>
      <c r="C211" s="1" t="n">
        <v>46074</v>
      </c>
      <c r="D211" t="inlineStr">
        <is>
          <t>NORRBOTTENS LÄN</t>
        </is>
      </c>
      <c r="E211" t="inlineStr">
        <is>
          <t>PITEÅ</t>
        </is>
      </c>
      <c r="G211" t="n">
        <v>2</v>
      </c>
      <c r="H211" t="n">
        <v>0</v>
      </c>
      <c r="I211" t="n">
        <v>0</v>
      </c>
      <c r="J211" t="n">
        <v>0</v>
      </c>
      <c r="K211" t="n">
        <v>0</v>
      </c>
      <c r="L211" t="n">
        <v>0</v>
      </c>
      <c r="M211" t="n">
        <v>0</v>
      </c>
      <c r="N211" t="n">
        <v>0</v>
      </c>
      <c r="O211" t="n">
        <v>0</v>
      </c>
      <c r="P211" t="n">
        <v>0</v>
      </c>
      <c r="Q211" t="n">
        <v>0</v>
      </c>
      <c r="R211" s="2" t="inlineStr"/>
    </row>
    <row r="212" ht="15" customHeight="1">
      <c r="A212" t="inlineStr">
        <is>
          <t>A 2219-2024</t>
        </is>
      </c>
      <c r="B212" s="1" t="n">
        <v>45309.86796296296</v>
      </c>
      <c r="C212" s="1" t="n">
        <v>46074</v>
      </c>
      <c r="D212" t="inlineStr">
        <is>
          <t>NORRBOTTENS LÄN</t>
        </is>
      </c>
      <c r="E212" t="inlineStr">
        <is>
          <t>PITEÅ</t>
        </is>
      </c>
      <c r="G212" t="n">
        <v>6.4</v>
      </c>
      <c r="H212" t="n">
        <v>0</v>
      </c>
      <c r="I212" t="n">
        <v>0</v>
      </c>
      <c r="J212" t="n">
        <v>0</v>
      </c>
      <c r="K212" t="n">
        <v>0</v>
      </c>
      <c r="L212" t="n">
        <v>0</v>
      </c>
      <c r="M212" t="n">
        <v>0</v>
      </c>
      <c r="N212" t="n">
        <v>0</v>
      </c>
      <c r="O212" t="n">
        <v>0</v>
      </c>
      <c r="P212" t="n">
        <v>0</v>
      </c>
      <c r="Q212" t="n">
        <v>0</v>
      </c>
      <c r="R212" s="2" t="inlineStr"/>
    </row>
    <row r="213" ht="15" customHeight="1">
      <c r="A213" t="inlineStr">
        <is>
          <t>A 7459-2024</t>
        </is>
      </c>
      <c r="B213" s="1" t="n">
        <v>45345</v>
      </c>
      <c r="C213" s="1" t="n">
        <v>46074</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35197-2023</t>
        </is>
      </c>
      <c r="B214" s="1" t="n">
        <v>45145</v>
      </c>
      <c r="C214" s="1" t="n">
        <v>46074</v>
      </c>
      <c r="D214" t="inlineStr">
        <is>
          <t>NORRBOTTENS LÄN</t>
        </is>
      </c>
      <c r="E214" t="inlineStr">
        <is>
          <t>PITEÅ</t>
        </is>
      </c>
      <c r="G214" t="n">
        <v>4.8</v>
      </c>
      <c r="H214" t="n">
        <v>0</v>
      </c>
      <c r="I214" t="n">
        <v>0</v>
      </c>
      <c r="J214" t="n">
        <v>0</v>
      </c>
      <c r="K214" t="n">
        <v>0</v>
      </c>
      <c r="L214" t="n">
        <v>0</v>
      </c>
      <c r="M214" t="n">
        <v>0</v>
      </c>
      <c r="N214" t="n">
        <v>0</v>
      </c>
      <c r="O214" t="n">
        <v>0</v>
      </c>
      <c r="P214" t="n">
        <v>0</v>
      </c>
      <c r="Q214" t="n">
        <v>0</v>
      </c>
      <c r="R214" s="2" t="inlineStr"/>
    </row>
    <row r="215" ht="15" customHeight="1">
      <c r="A215" t="inlineStr">
        <is>
          <t>A 32371-2023</t>
        </is>
      </c>
      <c r="B215" s="1" t="n">
        <v>45110</v>
      </c>
      <c r="C215" s="1" t="n">
        <v>46074</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47845-2023</t>
        </is>
      </c>
      <c r="B216" s="1" t="n">
        <v>45204.39530092593</v>
      </c>
      <c r="C216" s="1" t="n">
        <v>46074</v>
      </c>
      <c r="D216" t="inlineStr">
        <is>
          <t>NORRBOTTENS LÄN</t>
        </is>
      </c>
      <c r="E216" t="inlineStr">
        <is>
          <t>PITEÅ</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46074</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46074</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46074</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46074</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34337-2022</t>
        </is>
      </c>
      <c r="B221" s="1" t="n">
        <v>44792</v>
      </c>
      <c r="C221" s="1" t="n">
        <v>46074</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51273-2023</t>
        </is>
      </c>
      <c r="B222" s="1" t="n">
        <v>45219</v>
      </c>
      <c r="C222" s="1" t="n">
        <v>46074</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60687-2024</t>
        </is>
      </c>
      <c r="B223" s="1" t="n">
        <v>45644.47315972222</v>
      </c>
      <c r="C223" s="1" t="n">
        <v>46074</v>
      </c>
      <c r="D223" t="inlineStr">
        <is>
          <t>NORRBOTTENS LÄN</t>
        </is>
      </c>
      <c r="E223" t="inlineStr">
        <is>
          <t>PITEÅ</t>
        </is>
      </c>
      <c r="G223" t="n">
        <v>1.8</v>
      </c>
      <c r="H223" t="n">
        <v>0</v>
      </c>
      <c r="I223" t="n">
        <v>0</v>
      </c>
      <c r="J223" t="n">
        <v>0</v>
      </c>
      <c r="K223" t="n">
        <v>0</v>
      </c>
      <c r="L223" t="n">
        <v>0</v>
      </c>
      <c r="M223" t="n">
        <v>0</v>
      </c>
      <c r="N223" t="n">
        <v>0</v>
      </c>
      <c r="O223" t="n">
        <v>0</v>
      </c>
      <c r="P223" t="n">
        <v>0</v>
      </c>
      <c r="Q223" t="n">
        <v>0</v>
      </c>
      <c r="R223" s="2" t="inlineStr"/>
    </row>
    <row r="224" ht="15" customHeight="1">
      <c r="A224" t="inlineStr">
        <is>
          <t>A 51578-2023</t>
        </is>
      </c>
      <c r="B224" s="1" t="n">
        <v>45215</v>
      </c>
      <c r="C224" s="1" t="n">
        <v>46074</v>
      </c>
      <c r="D224" t="inlineStr">
        <is>
          <t>NORRBOTTENS LÄN</t>
        </is>
      </c>
      <c r="E224" t="inlineStr">
        <is>
          <t>PITEÅ</t>
        </is>
      </c>
      <c r="G224" t="n">
        <v>6.4</v>
      </c>
      <c r="H224" t="n">
        <v>0</v>
      </c>
      <c r="I224" t="n">
        <v>0</v>
      </c>
      <c r="J224" t="n">
        <v>0</v>
      </c>
      <c r="K224" t="n">
        <v>0</v>
      </c>
      <c r="L224" t="n">
        <v>0</v>
      </c>
      <c r="M224" t="n">
        <v>0</v>
      </c>
      <c r="N224" t="n">
        <v>0</v>
      </c>
      <c r="O224" t="n">
        <v>0</v>
      </c>
      <c r="P224" t="n">
        <v>0</v>
      </c>
      <c r="Q224" t="n">
        <v>0</v>
      </c>
      <c r="R224" s="2" t="inlineStr"/>
    </row>
    <row r="225" ht="15" customHeight="1">
      <c r="A225" t="inlineStr">
        <is>
          <t>A 4776-2022</t>
        </is>
      </c>
      <c r="B225" s="1" t="n">
        <v>44592</v>
      </c>
      <c r="C225" s="1" t="n">
        <v>46074</v>
      </c>
      <c r="D225" t="inlineStr">
        <is>
          <t>NORRBOTTENS LÄN</t>
        </is>
      </c>
      <c r="E225" t="inlineStr">
        <is>
          <t>PITEÅ</t>
        </is>
      </c>
      <c r="G225" t="n">
        <v>9.5</v>
      </c>
      <c r="H225" t="n">
        <v>0</v>
      </c>
      <c r="I225" t="n">
        <v>0</v>
      </c>
      <c r="J225" t="n">
        <v>0</v>
      </c>
      <c r="K225" t="n">
        <v>0</v>
      </c>
      <c r="L225" t="n">
        <v>0</v>
      </c>
      <c r="M225" t="n">
        <v>0</v>
      </c>
      <c r="N225" t="n">
        <v>0</v>
      </c>
      <c r="O225" t="n">
        <v>0</v>
      </c>
      <c r="P225" t="n">
        <v>0</v>
      </c>
      <c r="Q225" t="n">
        <v>0</v>
      </c>
      <c r="R225" s="2" t="inlineStr"/>
    </row>
    <row r="226" ht="15" customHeight="1">
      <c r="A226" t="inlineStr">
        <is>
          <t>A 16265-2021</t>
        </is>
      </c>
      <c r="B226" s="1" t="n">
        <v>44292</v>
      </c>
      <c r="C226" s="1" t="n">
        <v>46074</v>
      </c>
      <c r="D226" t="inlineStr">
        <is>
          <t>NORRBOTTENS LÄN</t>
        </is>
      </c>
      <c r="E226" t="inlineStr">
        <is>
          <t>PITEÅ</t>
        </is>
      </c>
      <c r="G226" t="n">
        <v>4.5</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46074</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38590-2024</t>
        </is>
      </c>
      <c r="B228" s="1" t="n">
        <v>45546</v>
      </c>
      <c r="C228" s="1" t="n">
        <v>46074</v>
      </c>
      <c r="D228" t="inlineStr">
        <is>
          <t>NORRBOTTENS LÄN</t>
        </is>
      </c>
      <c r="E228" t="inlineStr">
        <is>
          <t>PITEÅ</t>
        </is>
      </c>
      <c r="G228" t="n">
        <v>7</v>
      </c>
      <c r="H228" t="n">
        <v>0</v>
      </c>
      <c r="I228" t="n">
        <v>0</v>
      </c>
      <c r="J228" t="n">
        <v>0</v>
      </c>
      <c r="K228" t="n">
        <v>0</v>
      </c>
      <c r="L228" t="n">
        <v>0</v>
      </c>
      <c r="M228" t="n">
        <v>0</v>
      </c>
      <c r="N228" t="n">
        <v>0</v>
      </c>
      <c r="O228" t="n">
        <v>0</v>
      </c>
      <c r="P228" t="n">
        <v>0</v>
      </c>
      <c r="Q228" t="n">
        <v>0</v>
      </c>
      <c r="R228" s="2" t="inlineStr"/>
    </row>
    <row r="229" ht="15" customHeight="1">
      <c r="A229" t="inlineStr">
        <is>
          <t>A 44461-2023</t>
        </is>
      </c>
      <c r="B229" s="1" t="n">
        <v>45183</v>
      </c>
      <c r="C229" s="1" t="n">
        <v>46074</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59820-2023</t>
        </is>
      </c>
      <c r="B230" s="1" t="n">
        <v>45257</v>
      </c>
      <c r="C230" s="1" t="n">
        <v>46074</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8583-2023</t>
        </is>
      </c>
      <c r="B231" s="1" t="n">
        <v>44977.66061342593</v>
      </c>
      <c r="C231" s="1" t="n">
        <v>46074</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8023-2024</t>
        </is>
      </c>
      <c r="B232" s="1" t="n">
        <v>45350</v>
      </c>
      <c r="C232" s="1" t="n">
        <v>46074</v>
      </c>
      <c r="D232" t="inlineStr">
        <is>
          <t>NORRBOTTENS LÄN</t>
        </is>
      </c>
      <c r="E232" t="inlineStr">
        <is>
          <t>PITEÅ</t>
        </is>
      </c>
      <c r="G232" t="n">
        <v>2.3</v>
      </c>
      <c r="H232" t="n">
        <v>0</v>
      </c>
      <c r="I232" t="n">
        <v>0</v>
      </c>
      <c r="J232" t="n">
        <v>0</v>
      </c>
      <c r="K232" t="n">
        <v>0</v>
      </c>
      <c r="L232" t="n">
        <v>0</v>
      </c>
      <c r="M232" t="n">
        <v>0</v>
      </c>
      <c r="N232" t="n">
        <v>0</v>
      </c>
      <c r="O232" t="n">
        <v>0</v>
      </c>
      <c r="P232" t="n">
        <v>0</v>
      </c>
      <c r="Q232" t="n">
        <v>0</v>
      </c>
      <c r="R232" s="2" t="inlineStr"/>
    </row>
    <row r="233" ht="15" customHeight="1">
      <c r="A233" t="inlineStr">
        <is>
          <t>A 61159-2023</t>
        </is>
      </c>
      <c r="B233" s="1" t="n">
        <v>45262</v>
      </c>
      <c r="C233" s="1" t="n">
        <v>46074</v>
      </c>
      <c r="D233" t="inlineStr">
        <is>
          <t>NORRBOTTENS LÄN</t>
        </is>
      </c>
      <c r="E233" t="inlineStr">
        <is>
          <t>PITEÅ</t>
        </is>
      </c>
      <c r="G233" t="n">
        <v>2.9</v>
      </c>
      <c r="H233" t="n">
        <v>0</v>
      </c>
      <c r="I233" t="n">
        <v>0</v>
      </c>
      <c r="J233" t="n">
        <v>0</v>
      </c>
      <c r="K233" t="n">
        <v>0</v>
      </c>
      <c r="L233" t="n">
        <v>0</v>
      </c>
      <c r="M233" t="n">
        <v>0</v>
      </c>
      <c r="N233" t="n">
        <v>0</v>
      </c>
      <c r="O233" t="n">
        <v>0</v>
      </c>
      <c r="P233" t="n">
        <v>0</v>
      </c>
      <c r="Q233" t="n">
        <v>0</v>
      </c>
      <c r="R233" s="2" t="inlineStr"/>
    </row>
    <row r="234" ht="15" customHeight="1">
      <c r="A234" t="inlineStr">
        <is>
          <t>A 3663-2025</t>
        </is>
      </c>
      <c r="B234" s="1" t="n">
        <v>45681.42721064815</v>
      </c>
      <c r="C234" s="1" t="n">
        <v>46074</v>
      </c>
      <c r="D234" t="inlineStr">
        <is>
          <t>NORRBOTTENS LÄN</t>
        </is>
      </c>
      <c r="E234" t="inlineStr">
        <is>
          <t>PITEÅ</t>
        </is>
      </c>
      <c r="G234" t="n">
        <v>3.8</v>
      </c>
      <c r="H234" t="n">
        <v>0</v>
      </c>
      <c r="I234" t="n">
        <v>0</v>
      </c>
      <c r="J234" t="n">
        <v>0</v>
      </c>
      <c r="K234" t="n">
        <v>0</v>
      </c>
      <c r="L234" t="n">
        <v>0</v>
      </c>
      <c r="M234" t="n">
        <v>0</v>
      </c>
      <c r="N234" t="n">
        <v>0</v>
      </c>
      <c r="O234" t="n">
        <v>0</v>
      </c>
      <c r="P234" t="n">
        <v>0</v>
      </c>
      <c r="Q234" t="n">
        <v>0</v>
      </c>
      <c r="R234" s="2" t="inlineStr"/>
    </row>
    <row r="235" ht="15" customHeight="1">
      <c r="A235" t="inlineStr">
        <is>
          <t>A 44136-2024</t>
        </is>
      </c>
      <c r="B235" s="1" t="n">
        <v>45572.65831018519</v>
      </c>
      <c r="C235" s="1" t="n">
        <v>46074</v>
      </c>
      <c r="D235" t="inlineStr">
        <is>
          <t>NORRBOTTENS LÄN</t>
        </is>
      </c>
      <c r="E235" t="inlineStr">
        <is>
          <t>PITEÅ</t>
        </is>
      </c>
      <c r="G235" t="n">
        <v>12.7</v>
      </c>
      <c r="H235" t="n">
        <v>0</v>
      </c>
      <c r="I235" t="n">
        <v>0</v>
      </c>
      <c r="J235" t="n">
        <v>0</v>
      </c>
      <c r="K235" t="n">
        <v>0</v>
      </c>
      <c r="L235" t="n">
        <v>0</v>
      </c>
      <c r="M235" t="n">
        <v>0</v>
      </c>
      <c r="N235" t="n">
        <v>0</v>
      </c>
      <c r="O235" t="n">
        <v>0</v>
      </c>
      <c r="P235" t="n">
        <v>0</v>
      </c>
      <c r="Q235" t="n">
        <v>0</v>
      </c>
      <c r="R235" s="2" t="inlineStr"/>
    </row>
    <row r="236" ht="15" customHeight="1">
      <c r="A236" t="inlineStr">
        <is>
          <t>A 479-2025</t>
        </is>
      </c>
      <c r="B236" s="1" t="n">
        <v>45664.44930555556</v>
      </c>
      <c r="C236" s="1" t="n">
        <v>46074</v>
      </c>
      <c r="D236" t="inlineStr">
        <is>
          <t>NORRBOTTENS LÄN</t>
        </is>
      </c>
      <c r="E236" t="inlineStr">
        <is>
          <t>PITEÅ</t>
        </is>
      </c>
      <c r="G236" t="n">
        <v>2.8</v>
      </c>
      <c r="H236" t="n">
        <v>0</v>
      </c>
      <c r="I236" t="n">
        <v>0</v>
      </c>
      <c r="J236" t="n">
        <v>0</v>
      </c>
      <c r="K236" t="n">
        <v>0</v>
      </c>
      <c r="L236" t="n">
        <v>0</v>
      </c>
      <c r="M236" t="n">
        <v>0</v>
      </c>
      <c r="N236" t="n">
        <v>0</v>
      </c>
      <c r="O236" t="n">
        <v>0</v>
      </c>
      <c r="P236" t="n">
        <v>0</v>
      </c>
      <c r="Q236" t="n">
        <v>0</v>
      </c>
      <c r="R236" s="2" t="inlineStr"/>
    </row>
    <row r="237" ht="15" customHeight="1">
      <c r="A237" t="inlineStr">
        <is>
          <t>A 4100-2024</t>
        </is>
      </c>
      <c r="B237" s="1" t="n">
        <v>45323</v>
      </c>
      <c r="C237" s="1" t="n">
        <v>46074</v>
      </c>
      <c r="D237" t="inlineStr">
        <is>
          <t>NORRBOTTENS LÄN</t>
        </is>
      </c>
      <c r="E237" t="inlineStr">
        <is>
          <t>PITEÅ</t>
        </is>
      </c>
      <c r="G237" t="n">
        <v>4.7</v>
      </c>
      <c r="H237" t="n">
        <v>0</v>
      </c>
      <c r="I237" t="n">
        <v>0</v>
      </c>
      <c r="J237" t="n">
        <v>0</v>
      </c>
      <c r="K237" t="n">
        <v>0</v>
      </c>
      <c r="L237" t="n">
        <v>0</v>
      </c>
      <c r="M237" t="n">
        <v>0</v>
      </c>
      <c r="N237" t="n">
        <v>0</v>
      </c>
      <c r="O237" t="n">
        <v>0</v>
      </c>
      <c r="P237" t="n">
        <v>0</v>
      </c>
      <c r="Q237" t="n">
        <v>0</v>
      </c>
      <c r="R237" s="2" t="inlineStr"/>
    </row>
    <row r="238" ht="15" customHeight="1">
      <c r="A238" t="inlineStr">
        <is>
          <t>A 53751-2023</t>
        </is>
      </c>
      <c r="B238" s="1" t="n">
        <v>45230</v>
      </c>
      <c r="C238" s="1" t="n">
        <v>46074</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46074</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16557-2023</t>
        </is>
      </c>
      <c r="B240" s="1" t="n">
        <v>45029.92474537037</v>
      </c>
      <c r="C240" s="1" t="n">
        <v>46074</v>
      </c>
      <c r="D240" t="inlineStr">
        <is>
          <t>NORRBOTTENS LÄN</t>
        </is>
      </c>
      <c r="E240" t="inlineStr">
        <is>
          <t>PITEÅ</t>
        </is>
      </c>
      <c r="G240" t="n">
        <v>2.6</v>
      </c>
      <c r="H240" t="n">
        <v>0</v>
      </c>
      <c r="I240" t="n">
        <v>0</v>
      </c>
      <c r="J240" t="n">
        <v>0</v>
      </c>
      <c r="K240" t="n">
        <v>0</v>
      </c>
      <c r="L240" t="n">
        <v>0</v>
      </c>
      <c r="M240" t="n">
        <v>0</v>
      </c>
      <c r="N240" t="n">
        <v>0</v>
      </c>
      <c r="O240" t="n">
        <v>0</v>
      </c>
      <c r="P240" t="n">
        <v>0</v>
      </c>
      <c r="Q240" t="n">
        <v>0</v>
      </c>
      <c r="R240" s="2" t="inlineStr"/>
    </row>
    <row r="241" ht="15" customHeight="1">
      <c r="A241" t="inlineStr">
        <is>
          <t>A 22394-2021</t>
        </is>
      </c>
      <c r="B241" s="1" t="n">
        <v>44326</v>
      </c>
      <c r="C241" s="1" t="n">
        <v>46074</v>
      </c>
      <c r="D241" t="inlineStr">
        <is>
          <t>NORRBOTTENS LÄN</t>
        </is>
      </c>
      <c r="E241" t="inlineStr">
        <is>
          <t>PITEÅ</t>
        </is>
      </c>
      <c r="F241" t="inlineStr">
        <is>
          <t>Övriga Aktiebolag</t>
        </is>
      </c>
      <c r="G241" t="n">
        <v>23.9</v>
      </c>
      <c r="H241" t="n">
        <v>0</v>
      </c>
      <c r="I241" t="n">
        <v>0</v>
      </c>
      <c r="J241" t="n">
        <v>0</v>
      </c>
      <c r="K241" t="n">
        <v>0</v>
      </c>
      <c r="L241" t="n">
        <v>0</v>
      </c>
      <c r="M241" t="n">
        <v>0</v>
      </c>
      <c r="N241" t="n">
        <v>0</v>
      </c>
      <c r="O241" t="n">
        <v>0</v>
      </c>
      <c r="P241" t="n">
        <v>0</v>
      </c>
      <c r="Q241" t="n">
        <v>0</v>
      </c>
      <c r="R241" s="2" t="inlineStr"/>
    </row>
    <row r="242" ht="15" customHeight="1">
      <c r="A242" t="inlineStr">
        <is>
          <t>A 11937-2025</t>
        </is>
      </c>
      <c r="B242" s="1" t="n">
        <v>45728.53216435185</v>
      </c>
      <c r="C242" s="1" t="n">
        <v>46074</v>
      </c>
      <c r="D242" t="inlineStr">
        <is>
          <t>NORRBOTTENS LÄN</t>
        </is>
      </c>
      <c r="E242" t="inlineStr">
        <is>
          <t>PITEÅ</t>
        </is>
      </c>
      <c r="F242" t="inlineStr">
        <is>
          <t>Kommuner</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37635-2025</t>
        </is>
      </c>
      <c r="B243" s="1" t="n">
        <v>45880</v>
      </c>
      <c r="C243" s="1" t="n">
        <v>46074</v>
      </c>
      <c r="D243" t="inlineStr">
        <is>
          <t>NORRBOTTENS LÄN</t>
        </is>
      </c>
      <c r="E243" t="inlineStr">
        <is>
          <t>PITEÅ</t>
        </is>
      </c>
      <c r="G243" t="n">
        <v>4.1</v>
      </c>
      <c r="H243" t="n">
        <v>0</v>
      </c>
      <c r="I243" t="n">
        <v>0</v>
      </c>
      <c r="J243" t="n">
        <v>0</v>
      </c>
      <c r="K243" t="n">
        <v>0</v>
      </c>
      <c r="L243" t="n">
        <v>0</v>
      </c>
      <c r="M243" t="n">
        <v>0</v>
      </c>
      <c r="N243" t="n">
        <v>0</v>
      </c>
      <c r="O243" t="n">
        <v>0</v>
      </c>
      <c r="P243" t="n">
        <v>0</v>
      </c>
      <c r="Q243" t="n">
        <v>0</v>
      </c>
      <c r="R243" s="2" t="inlineStr"/>
    </row>
    <row r="244" ht="15" customHeight="1">
      <c r="A244" t="inlineStr">
        <is>
          <t>A 51350-2024</t>
        </is>
      </c>
      <c r="B244" s="1" t="n">
        <v>45604.35761574074</v>
      </c>
      <c r="C244" s="1" t="n">
        <v>46074</v>
      </c>
      <c r="D244" t="inlineStr">
        <is>
          <t>NORRBOTTENS LÄN</t>
        </is>
      </c>
      <c r="E244" t="inlineStr">
        <is>
          <t>PITEÅ</t>
        </is>
      </c>
      <c r="G244" t="n">
        <v>4.5</v>
      </c>
      <c r="H244" t="n">
        <v>0</v>
      </c>
      <c r="I244" t="n">
        <v>0</v>
      </c>
      <c r="J244" t="n">
        <v>0</v>
      </c>
      <c r="K244" t="n">
        <v>0</v>
      </c>
      <c r="L244" t="n">
        <v>0</v>
      </c>
      <c r="M244" t="n">
        <v>0</v>
      </c>
      <c r="N244" t="n">
        <v>0</v>
      </c>
      <c r="O244" t="n">
        <v>0</v>
      </c>
      <c r="P244" t="n">
        <v>0</v>
      </c>
      <c r="Q244" t="n">
        <v>0</v>
      </c>
      <c r="R244" s="2" t="inlineStr"/>
    </row>
    <row r="245" ht="15" customHeight="1">
      <c r="A245" t="inlineStr">
        <is>
          <t>A 44121-2023</t>
        </is>
      </c>
      <c r="B245" s="1" t="n">
        <v>45188.45032407407</v>
      </c>
      <c r="C245" s="1" t="n">
        <v>46074</v>
      </c>
      <c r="D245" t="inlineStr">
        <is>
          <t>NORRBOTTENS LÄN</t>
        </is>
      </c>
      <c r="E245" t="inlineStr">
        <is>
          <t>PITEÅ</t>
        </is>
      </c>
      <c r="F245" t="inlineStr">
        <is>
          <t>Sveaskog</t>
        </is>
      </c>
      <c r="G245" t="n">
        <v>12.2</v>
      </c>
      <c r="H245" t="n">
        <v>0</v>
      </c>
      <c r="I245" t="n">
        <v>0</v>
      </c>
      <c r="J245" t="n">
        <v>0</v>
      </c>
      <c r="K245" t="n">
        <v>0</v>
      </c>
      <c r="L245" t="n">
        <v>0</v>
      </c>
      <c r="M245" t="n">
        <v>0</v>
      </c>
      <c r="N245" t="n">
        <v>0</v>
      </c>
      <c r="O245" t="n">
        <v>0</v>
      </c>
      <c r="P245" t="n">
        <v>0</v>
      </c>
      <c r="Q245" t="n">
        <v>0</v>
      </c>
      <c r="R245" s="2" t="inlineStr"/>
    </row>
    <row r="246" ht="15" customHeight="1">
      <c r="A246" t="inlineStr">
        <is>
          <t>A 28262-2025</t>
        </is>
      </c>
      <c r="B246" s="1" t="n">
        <v>45818</v>
      </c>
      <c r="C246" s="1" t="n">
        <v>46074</v>
      </c>
      <c r="D246" t="inlineStr">
        <is>
          <t>NORRBOTTENS LÄN</t>
        </is>
      </c>
      <c r="E246" t="inlineStr">
        <is>
          <t>PITEÅ</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28661-2025</t>
        </is>
      </c>
      <c r="B247" s="1" t="n">
        <v>45819.65800925926</v>
      </c>
      <c r="C247" s="1" t="n">
        <v>46074</v>
      </c>
      <c r="D247" t="inlineStr">
        <is>
          <t>NORRBOTTENS LÄN</t>
        </is>
      </c>
      <c r="E247" t="inlineStr">
        <is>
          <t>PITEÅ</t>
        </is>
      </c>
      <c r="G247" t="n">
        <v>1.4</v>
      </c>
      <c r="H247" t="n">
        <v>0</v>
      </c>
      <c r="I247" t="n">
        <v>0</v>
      </c>
      <c r="J247" t="n">
        <v>0</v>
      </c>
      <c r="K247" t="n">
        <v>0</v>
      </c>
      <c r="L247" t="n">
        <v>0</v>
      </c>
      <c r="M247" t="n">
        <v>0</v>
      </c>
      <c r="N247" t="n">
        <v>0</v>
      </c>
      <c r="O247" t="n">
        <v>0</v>
      </c>
      <c r="P247" t="n">
        <v>0</v>
      </c>
      <c r="Q247" t="n">
        <v>0</v>
      </c>
      <c r="R247" s="2" t="inlineStr"/>
    </row>
    <row r="248" ht="15" customHeight="1">
      <c r="A248" t="inlineStr">
        <is>
          <t>A 28677-2025</t>
        </is>
      </c>
      <c r="B248" s="1" t="n">
        <v>45819.67777777778</v>
      </c>
      <c r="C248" s="1" t="n">
        <v>46074</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11998-2024</t>
        </is>
      </c>
      <c r="B249" s="1" t="n">
        <v>45377.23140046297</v>
      </c>
      <c r="C249" s="1" t="n">
        <v>46074</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44710-2024</t>
        </is>
      </c>
      <c r="B250" s="1" t="n">
        <v>45574.57387731481</v>
      </c>
      <c r="C250" s="1" t="n">
        <v>46074</v>
      </c>
      <c r="D250" t="inlineStr">
        <is>
          <t>NORRBOTTENS LÄN</t>
        </is>
      </c>
      <c r="E250" t="inlineStr">
        <is>
          <t>PITEÅ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28678-2025</t>
        </is>
      </c>
      <c r="B251" s="1" t="n">
        <v>45819.67783564814</v>
      </c>
      <c r="C251" s="1" t="n">
        <v>46074</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59920-2024</t>
        </is>
      </c>
      <c r="B252" s="1" t="n">
        <v>45641.89890046296</v>
      </c>
      <c r="C252" s="1" t="n">
        <v>46074</v>
      </c>
      <c r="D252" t="inlineStr">
        <is>
          <t>NORRBOTTENS LÄN</t>
        </is>
      </c>
      <c r="E252" t="inlineStr">
        <is>
          <t>PITEÅ</t>
        </is>
      </c>
      <c r="G252" t="n">
        <v>2.2</v>
      </c>
      <c r="H252" t="n">
        <v>0</v>
      </c>
      <c r="I252" t="n">
        <v>0</v>
      </c>
      <c r="J252" t="n">
        <v>0</v>
      </c>
      <c r="K252" t="n">
        <v>0</v>
      </c>
      <c r="L252" t="n">
        <v>0</v>
      </c>
      <c r="M252" t="n">
        <v>0</v>
      </c>
      <c r="N252" t="n">
        <v>0</v>
      </c>
      <c r="O252" t="n">
        <v>0</v>
      </c>
      <c r="P252" t="n">
        <v>0</v>
      </c>
      <c r="Q252" t="n">
        <v>0</v>
      </c>
      <c r="R252" s="2" t="inlineStr"/>
    </row>
    <row r="253" ht="15" customHeight="1">
      <c r="A253" t="inlineStr">
        <is>
          <t>A 38489-2025</t>
        </is>
      </c>
      <c r="B253" s="1" t="n">
        <v>45884.34461805555</v>
      </c>
      <c r="C253" s="1" t="n">
        <v>46074</v>
      </c>
      <c r="D253" t="inlineStr">
        <is>
          <t>NORRBOTTENS LÄN</t>
        </is>
      </c>
      <c r="E253" t="inlineStr">
        <is>
          <t>PITEÅ</t>
        </is>
      </c>
      <c r="G253" t="n">
        <v>5.1</v>
      </c>
      <c r="H253" t="n">
        <v>0</v>
      </c>
      <c r="I253" t="n">
        <v>0</v>
      </c>
      <c r="J253" t="n">
        <v>0</v>
      </c>
      <c r="K253" t="n">
        <v>0</v>
      </c>
      <c r="L253" t="n">
        <v>0</v>
      </c>
      <c r="M253" t="n">
        <v>0</v>
      </c>
      <c r="N253" t="n">
        <v>0</v>
      </c>
      <c r="O253" t="n">
        <v>0</v>
      </c>
      <c r="P253" t="n">
        <v>0</v>
      </c>
      <c r="Q253" t="n">
        <v>0</v>
      </c>
      <c r="R253" s="2" t="inlineStr"/>
    </row>
    <row r="254" ht="15" customHeight="1">
      <c r="A254" t="inlineStr">
        <is>
          <t>A 4695-2025</t>
        </is>
      </c>
      <c r="B254" s="1" t="n">
        <v>45688.35956018518</v>
      </c>
      <c r="C254" s="1" t="n">
        <v>46074</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29552-2024</t>
        </is>
      </c>
      <c r="B255" s="1" t="n">
        <v>45484</v>
      </c>
      <c r="C255" s="1" t="n">
        <v>46074</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56319-2022</t>
        </is>
      </c>
      <c r="B256" s="1" t="n">
        <v>44890</v>
      </c>
      <c r="C256" s="1" t="n">
        <v>46074</v>
      </c>
      <c r="D256" t="inlineStr">
        <is>
          <t>NORRBOTTENS LÄN</t>
        </is>
      </c>
      <c r="E256" t="inlineStr">
        <is>
          <t>PITEÅ</t>
        </is>
      </c>
      <c r="F256" t="inlineStr">
        <is>
          <t>Övriga Aktiebolag</t>
        </is>
      </c>
      <c r="G256" t="n">
        <v>5.3</v>
      </c>
      <c r="H256" t="n">
        <v>0</v>
      </c>
      <c r="I256" t="n">
        <v>0</v>
      </c>
      <c r="J256" t="n">
        <v>0</v>
      </c>
      <c r="K256" t="n">
        <v>0</v>
      </c>
      <c r="L256" t="n">
        <v>0</v>
      </c>
      <c r="M256" t="n">
        <v>0</v>
      </c>
      <c r="N256" t="n">
        <v>0</v>
      </c>
      <c r="O256" t="n">
        <v>0</v>
      </c>
      <c r="P256" t="n">
        <v>0</v>
      </c>
      <c r="Q256" t="n">
        <v>0</v>
      </c>
      <c r="R256" s="2" t="inlineStr"/>
    </row>
    <row r="257" ht="15" customHeight="1">
      <c r="A257" t="inlineStr">
        <is>
          <t>A 4086-2024</t>
        </is>
      </c>
      <c r="B257" s="1" t="n">
        <v>45323</v>
      </c>
      <c r="C257" s="1" t="n">
        <v>46074</v>
      </c>
      <c r="D257" t="inlineStr">
        <is>
          <t>NORRBOTTENS LÄN</t>
        </is>
      </c>
      <c r="E257" t="inlineStr">
        <is>
          <t>PITEÅ</t>
        </is>
      </c>
      <c r="G257" t="n">
        <v>11.3</v>
      </c>
      <c r="H257" t="n">
        <v>0</v>
      </c>
      <c r="I257" t="n">
        <v>0</v>
      </c>
      <c r="J257" t="n">
        <v>0</v>
      </c>
      <c r="K257" t="n">
        <v>0</v>
      </c>
      <c r="L257" t="n">
        <v>0</v>
      </c>
      <c r="M257" t="n">
        <v>0</v>
      </c>
      <c r="N257" t="n">
        <v>0</v>
      </c>
      <c r="O257" t="n">
        <v>0</v>
      </c>
      <c r="P257" t="n">
        <v>0</v>
      </c>
      <c r="Q257" t="n">
        <v>0</v>
      </c>
      <c r="R257" s="2" t="inlineStr"/>
    </row>
    <row r="258" ht="15" customHeight="1">
      <c r="A258" t="inlineStr">
        <is>
          <t>A 28742-2025</t>
        </is>
      </c>
      <c r="B258" s="1" t="n">
        <v>45820.38512731482</v>
      </c>
      <c r="C258" s="1" t="n">
        <v>46074</v>
      </c>
      <c r="D258" t="inlineStr">
        <is>
          <t>NORRBOTTENS LÄN</t>
        </is>
      </c>
      <c r="E258" t="inlineStr">
        <is>
          <t>PITEÅ</t>
        </is>
      </c>
      <c r="G258" t="n">
        <v>1.1</v>
      </c>
      <c r="H258" t="n">
        <v>0</v>
      </c>
      <c r="I258" t="n">
        <v>0</v>
      </c>
      <c r="J258" t="n">
        <v>0</v>
      </c>
      <c r="K258" t="n">
        <v>0</v>
      </c>
      <c r="L258" t="n">
        <v>0</v>
      </c>
      <c r="M258" t="n">
        <v>0</v>
      </c>
      <c r="N258" t="n">
        <v>0</v>
      </c>
      <c r="O258" t="n">
        <v>0</v>
      </c>
      <c r="P258" t="n">
        <v>0</v>
      </c>
      <c r="Q258" t="n">
        <v>0</v>
      </c>
      <c r="R258" s="2" t="inlineStr"/>
    </row>
    <row r="259" ht="15" customHeight="1">
      <c r="A259" t="inlineStr">
        <is>
          <t>A 43911-2023</t>
        </is>
      </c>
      <c r="B259" s="1" t="n">
        <v>45187.69538194445</v>
      </c>
      <c r="C259" s="1" t="n">
        <v>46074</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28840-2025</t>
        </is>
      </c>
      <c r="B260" s="1" t="n">
        <v>45820.56695601852</v>
      </c>
      <c r="C260" s="1" t="n">
        <v>46074</v>
      </c>
      <c r="D260" t="inlineStr">
        <is>
          <t>NORRBOTTENS LÄN</t>
        </is>
      </c>
      <c r="E260" t="inlineStr">
        <is>
          <t>PITEÅ</t>
        </is>
      </c>
      <c r="G260" t="n">
        <v>1.9</v>
      </c>
      <c r="H260" t="n">
        <v>0</v>
      </c>
      <c r="I260" t="n">
        <v>0</v>
      </c>
      <c r="J260" t="n">
        <v>0</v>
      </c>
      <c r="K260" t="n">
        <v>0</v>
      </c>
      <c r="L260" t="n">
        <v>0</v>
      </c>
      <c r="M260" t="n">
        <v>0</v>
      </c>
      <c r="N260" t="n">
        <v>0</v>
      </c>
      <c r="O260" t="n">
        <v>0</v>
      </c>
      <c r="P260" t="n">
        <v>0</v>
      </c>
      <c r="Q260" t="n">
        <v>0</v>
      </c>
      <c r="R260" s="2" t="inlineStr"/>
    </row>
    <row r="261" ht="15" customHeight="1">
      <c r="A261" t="inlineStr">
        <is>
          <t>A 4232-2024</t>
        </is>
      </c>
      <c r="B261" s="1" t="n">
        <v>45324.43004629629</v>
      </c>
      <c r="C261" s="1" t="n">
        <v>46074</v>
      </c>
      <c r="D261" t="inlineStr">
        <is>
          <t>NORRBOTTENS LÄN</t>
        </is>
      </c>
      <c r="E261" t="inlineStr">
        <is>
          <t>PITEÅ</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6574-2025</t>
        </is>
      </c>
      <c r="B262" s="1" t="n">
        <v>45699.85717592593</v>
      </c>
      <c r="C262" s="1" t="n">
        <v>46074</v>
      </c>
      <c r="D262" t="inlineStr">
        <is>
          <t>NORRBOTTENS LÄN</t>
        </is>
      </c>
      <c r="E262" t="inlineStr">
        <is>
          <t>PITEÅ</t>
        </is>
      </c>
      <c r="G262" t="n">
        <v>8.6</v>
      </c>
      <c r="H262" t="n">
        <v>0</v>
      </c>
      <c r="I262" t="n">
        <v>0</v>
      </c>
      <c r="J262" t="n">
        <v>0</v>
      </c>
      <c r="K262" t="n">
        <v>0</v>
      </c>
      <c r="L262" t="n">
        <v>0</v>
      </c>
      <c r="M262" t="n">
        <v>0</v>
      </c>
      <c r="N262" t="n">
        <v>0</v>
      </c>
      <c r="O262" t="n">
        <v>0</v>
      </c>
      <c r="P262" t="n">
        <v>0</v>
      </c>
      <c r="Q262" t="n">
        <v>0</v>
      </c>
      <c r="R262" s="2" t="inlineStr"/>
    </row>
    <row r="263" ht="15" customHeight="1">
      <c r="A263" t="inlineStr">
        <is>
          <t>A 29452-2025</t>
        </is>
      </c>
      <c r="B263" s="1" t="n">
        <v>45824.6791087963</v>
      </c>
      <c r="C263" s="1" t="n">
        <v>46074</v>
      </c>
      <c r="D263" t="inlineStr">
        <is>
          <t>NORRBOTTENS LÄN</t>
        </is>
      </c>
      <c r="E263" t="inlineStr">
        <is>
          <t>PITEÅ</t>
        </is>
      </c>
      <c r="F263" t="inlineStr">
        <is>
          <t>Övriga Aktiebolag</t>
        </is>
      </c>
      <c r="G263" t="n">
        <v>3.6</v>
      </c>
      <c r="H263" t="n">
        <v>0</v>
      </c>
      <c r="I263" t="n">
        <v>0</v>
      </c>
      <c r="J263" t="n">
        <v>0</v>
      </c>
      <c r="K263" t="n">
        <v>0</v>
      </c>
      <c r="L263" t="n">
        <v>0</v>
      </c>
      <c r="M263" t="n">
        <v>0</v>
      </c>
      <c r="N263" t="n">
        <v>0</v>
      </c>
      <c r="O263" t="n">
        <v>0</v>
      </c>
      <c r="P263" t="n">
        <v>0</v>
      </c>
      <c r="Q263" t="n">
        <v>0</v>
      </c>
      <c r="R263" s="2" t="inlineStr"/>
    </row>
    <row r="264" ht="15" customHeight="1">
      <c r="A264" t="inlineStr">
        <is>
          <t>A 19329-2025</t>
        </is>
      </c>
      <c r="B264" s="1" t="n">
        <v>45769</v>
      </c>
      <c r="C264" s="1" t="n">
        <v>46074</v>
      </c>
      <c r="D264" t="inlineStr">
        <is>
          <t>NORRBOTTENS LÄN</t>
        </is>
      </c>
      <c r="E264" t="inlineStr">
        <is>
          <t>PITEÅ</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29768-2025</t>
        </is>
      </c>
      <c r="B265" s="1" t="n">
        <v>45825.6278587963</v>
      </c>
      <c r="C265" s="1" t="n">
        <v>46074</v>
      </c>
      <c r="D265" t="inlineStr">
        <is>
          <t>NORRBOTTENS LÄN</t>
        </is>
      </c>
      <c r="E265" t="inlineStr">
        <is>
          <t>PITEÅ</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24311-2025</t>
        </is>
      </c>
      <c r="B266" s="1" t="n">
        <v>45797.51899305556</v>
      </c>
      <c r="C266" s="1" t="n">
        <v>46074</v>
      </c>
      <c r="D266" t="inlineStr">
        <is>
          <t>NORRBOTTENS LÄN</t>
        </is>
      </c>
      <c r="E266" t="inlineStr">
        <is>
          <t>PITEÅ</t>
        </is>
      </c>
      <c r="G266" t="n">
        <v>4.6</v>
      </c>
      <c r="H266" t="n">
        <v>0</v>
      </c>
      <c r="I266" t="n">
        <v>0</v>
      </c>
      <c r="J266" t="n">
        <v>0</v>
      </c>
      <c r="K266" t="n">
        <v>0</v>
      </c>
      <c r="L266" t="n">
        <v>0</v>
      </c>
      <c r="M266" t="n">
        <v>0</v>
      </c>
      <c r="N266" t="n">
        <v>0</v>
      </c>
      <c r="O266" t="n">
        <v>0</v>
      </c>
      <c r="P266" t="n">
        <v>0</v>
      </c>
      <c r="Q266" t="n">
        <v>0</v>
      </c>
      <c r="R266" s="2" t="inlineStr"/>
    </row>
    <row r="267" ht="15" customHeight="1">
      <c r="A267" t="inlineStr">
        <is>
          <t>A 18850-2025</t>
        </is>
      </c>
      <c r="B267" s="1" t="n">
        <v>45764.41936342593</v>
      </c>
      <c r="C267" s="1" t="n">
        <v>46074</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26248-2025</t>
        </is>
      </c>
      <c r="B268" s="1" t="n">
        <v>45805.57412037037</v>
      </c>
      <c r="C268" s="1" t="n">
        <v>46074</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56661-2022</t>
        </is>
      </c>
      <c r="B269" s="1" t="n">
        <v>44893.64318287037</v>
      </c>
      <c r="C269" s="1" t="n">
        <v>46074</v>
      </c>
      <c r="D269" t="inlineStr">
        <is>
          <t>NORRBOTTENS LÄN</t>
        </is>
      </c>
      <c r="E269" t="inlineStr">
        <is>
          <t>PITEÅ</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12574-2024</t>
        </is>
      </c>
      <c r="B270" s="1" t="n">
        <v>45379</v>
      </c>
      <c r="C270" s="1" t="n">
        <v>46074</v>
      </c>
      <c r="D270" t="inlineStr">
        <is>
          <t>NORRBOTTENS LÄN</t>
        </is>
      </c>
      <c r="E270" t="inlineStr">
        <is>
          <t>PITEÅ</t>
        </is>
      </c>
      <c r="G270" t="n">
        <v>3.9</v>
      </c>
      <c r="H270" t="n">
        <v>0</v>
      </c>
      <c r="I270" t="n">
        <v>0</v>
      </c>
      <c r="J270" t="n">
        <v>0</v>
      </c>
      <c r="K270" t="n">
        <v>0</v>
      </c>
      <c r="L270" t="n">
        <v>0</v>
      </c>
      <c r="M270" t="n">
        <v>0</v>
      </c>
      <c r="N270" t="n">
        <v>0</v>
      </c>
      <c r="O270" t="n">
        <v>0</v>
      </c>
      <c r="P270" t="n">
        <v>0</v>
      </c>
      <c r="Q270" t="n">
        <v>0</v>
      </c>
      <c r="R270" s="2" t="inlineStr"/>
    </row>
    <row r="271" ht="15" customHeight="1">
      <c r="A271" t="inlineStr">
        <is>
          <t>A 52385-2024</t>
        </is>
      </c>
      <c r="B271" s="1" t="n">
        <v>45609</v>
      </c>
      <c r="C271" s="1" t="n">
        <v>46074</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39891-2025</t>
        </is>
      </c>
      <c r="B272" s="1" t="n">
        <v>45891.62828703703</v>
      </c>
      <c r="C272" s="1" t="n">
        <v>46074</v>
      </c>
      <c r="D272" t="inlineStr">
        <is>
          <t>NORRBOTTENS LÄN</t>
        </is>
      </c>
      <c r="E272" t="inlineStr">
        <is>
          <t>PITEÅ</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54745-2023</t>
        </is>
      </c>
      <c r="B273" s="1" t="n">
        <v>45236</v>
      </c>
      <c r="C273" s="1" t="n">
        <v>46074</v>
      </c>
      <c r="D273" t="inlineStr">
        <is>
          <t>NORRBOTTENS LÄN</t>
        </is>
      </c>
      <c r="E273" t="inlineStr">
        <is>
          <t>PITEÅ</t>
        </is>
      </c>
      <c r="F273" t="inlineStr">
        <is>
          <t>Sveaskog</t>
        </is>
      </c>
      <c r="G273" t="n">
        <v>25.5</v>
      </c>
      <c r="H273" t="n">
        <v>0</v>
      </c>
      <c r="I273" t="n">
        <v>0</v>
      </c>
      <c r="J273" t="n">
        <v>0</v>
      </c>
      <c r="K273" t="n">
        <v>0</v>
      </c>
      <c r="L273" t="n">
        <v>0</v>
      </c>
      <c r="M273" t="n">
        <v>0</v>
      </c>
      <c r="N273" t="n">
        <v>0</v>
      </c>
      <c r="O273" t="n">
        <v>0</v>
      </c>
      <c r="P273" t="n">
        <v>0</v>
      </c>
      <c r="Q273" t="n">
        <v>0</v>
      </c>
      <c r="R273" s="2" t="inlineStr"/>
    </row>
    <row r="274" ht="15" customHeight="1">
      <c r="A274" t="inlineStr">
        <is>
          <t>A 30262-2025</t>
        </is>
      </c>
      <c r="B274" s="1" t="n">
        <v>45827.43032407408</v>
      </c>
      <c r="C274" s="1" t="n">
        <v>46074</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3521-2023</t>
        </is>
      </c>
      <c r="B275" s="1" t="n">
        <v>44950.35271990741</v>
      </c>
      <c r="C275" s="1" t="n">
        <v>46074</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57207-2023</t>
        </is>
      </c>
      <c r="B276" s="1" t="n">
        <v>45245</v>
      </c>
      <c r="C276" s="1" t="n">
        <v>46074</v>
      </c>
      <c r="D276" t="inlineStr">
        <is>
          <t>NORRBOTTENS LÄN</t>
        </is>
      </c>
      <c r="E276" t="inlineStr">
        <is>
          <t>PITEÅ</t>
        </is>
      </c>
      <c r="G276" t="n">
        <v>1.2</v>
      </c>
      <c r="H276" t="n">
        <v>0</v>
      </c>
      <c r="I276" t="n">
        <v>0</v>
      </c>
      <c r="J276" t="n">
        <v>0</v>
      </c>
      <c r="K276" t="n">
        <v>0</v>
      </c>
      <c r="L276" t="n">
        <v>0</v>
      </c>
      <c r="M276" t="n">
        <v>0</v>
      </c>
      <c r="N276" t="n">
        <v>0</v>
      </c>
      <c r="O276" t="n">
        <v>0</v>
      </c>
      <c r="P276" t="n">
        <v>0</v>
      </c>
      <c r="Q276" t="n">
        <v>0</v>
      </c>
      <c r="R276" s="2" t="inlineStr"/>
    </row>
    <row r="277" ht="15" customHeight="1">
      <c r="A277" t="inlineStr">
        <is>
          <t>A 39518-2025</t>
        </is>
      </c>
      <c r="B277" s="1" t="n">
        <v>45890.42737268518</v>
      </c>
      <c r="C277" s="1" t="n">
        <v>46074</v>
      </c>
      <c r="D277" t="inlineStr">
        <is>
          <t>NORRBOTTENS LÄN</t>
        </is>
      </c>
      <c r="E277" t="inlineStr">
        <is>
          <t>PITEÅ</t>
        </is>
      </c>
      <c r="G277" t="n">
        <v>2.9</v>
      </c>
      <c r="H277" t="n">
        <v>0</v>
      </c>
      <c r="I277" t="n">
        <v>0</v>
      </c>
      <c r="J277" t="n">
        <v>0</v>
      </c>
      <c r="K277" t="n">
        <v>0</v>
      </c>
      <c r="L277" t="n">
        <v>0</v>
      </c>
      <c r="M277" t="n">
        <v>0</v>
      </c>
      <c r="N277" t="n">
        <v>0</v>
      </c>
      <c r="O277" t="n">
        <v>0</v>
      </c>
      <c r="P277" t="n">
        <v>0</v>
      </c>
      <c r="Q277" t="n">
        <v>0</v>
      </c>
      <c r="R277" s="2" t="inlineStr"/>
    </row>
    <row r="278" ht="15" customHeight="1">
      <c r="A278" t="inlineStr">
        <is>
          <t>A 30373-2025</t>
        </is>
      </c>
      <c r="B278" s="1" t="n">
        <v>45827.56239583333</v>
      </c>
      <c r="C278" s="1" t="n">
        <v>46074</v>
      </c>
      <c r="D278" t="inlineStr">
        <is>
          <t>NORRBOTTENS LÄN</t>
        </is>
      </c>
      <c r="E278" t="inlineStr">
        <is>
          <t>PITEÅ</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15530-2025</t>
        </is>
      </c>
      <c r="B279" s="1" t="n">
        <v>45747.63582175926</v>
      </c>
      <c r="C279" s="1" t="n">
        <v>46074</v>
      </c>
      <c r="D279" t="inlineStr">
        <is>
          <t>NORRBOTTENS LÄN</t>
        </is>
      </c>
      <c r="E279" t="inlineStr">
        <is>
          <t>PITEÅ</t>
        </is>
      </c>
      <c r="G279" t="n">
        <v>5.5</v>
      </c>
      <c r="H279" t="n">
        <v>0</v>
      </c>
      <c r="I279" t="n">
        <v>0</v>
      </c>
      <c r="J279" t="n">
        <v>0</v>
      </c>
      <c r="K279" t="n">
        <v>0</v>
      </c>
      <c r="L279" t="n">
        <v>0</v>
      </c>
      <c r="M279" t="n">
        <v>0</v>
      </c>
      <c r="N279" t="n">
        <v>0</v>
      </c>
      <c r="O279" t="n">
        <v>0</v>
      </c>
      <c r="P279" t="n">
        <v>0</v>
      </c>
      <c r="Q279" t="n">
        <v>0</v>
      </c>
      <c r="R279" s="2" t="inlineStr"/>
      <c r="U279">
        <f>HYPERLINK("https://klasma.github.io/Logging_2581/knärot/A 15530-2025 karta knärot.png", "A 15530-2025")</f>
        <v/>
      </c>
      <c r="V279">
        <f>HYPERLINK("https://klasma.github.io/Logging_2581/klagomål/A 15530-2025 FSC-klagomål.docx", "A 15530-2025")</f>
        <v/>
      </c>
      <c r="W279">
        <f>HYPERLINK("https://klasma.github.io/Logging_2581/klagomålsmail/A 15530-2025 FSC-klagomål mail.docx", "A 15530-2025")</f>
        <v/>
      </c>
      <c r="X279">
        <f>HYPERLINK("https://klasma.github.io/Logging_2581/tillsyn/A 15530-2025 tillsynsbegäran.docx", "A 15530-2025")</f>
        <v/>
      </c>
      <c r="Y279">
        <f>HYPERLINK("https://klasma.github.io/Logging_2581/tillsynsmail/A 15530-2025 tillsynsbegäran mail.docx", "A 15530-2025")</f>
        <v/>
      </c>
    </row>
    <row r="280" ht="15" customHeight="1">
      <c r="A280" t="inlineStr">
        <is>
          <t>A 40251-2025</t>
        </is>
      </c>
      <c r="B280" s="1" t="n">
        <v>45895.31371527778</v>
      </c>
      <c r="C280" s="1" t="n">
        <v>46074</v>
      </c>
      <c r="D280" t="inlineStr">
        <is>
          <t>NORRBOTTENS LÄN</t>
        </is>
      </c>
      <c r="E280" t="inlineStr">
        <is>
          <t>PITEÅ</t>
        </is>
      </c>
      <c r="G280" t="n">
        <v>2.4</v>
      </c>
      <c r="H280" t="n">
        <v>0</v>
      </c>
      <c r="I280" t="n">
        <v>0</v>
      </c>
      <c r="J280" t="n">
        <v>0</v>
      </c>
      <c r="K280" t="n">
        <v>0</v>
      </c>
      <c r="L280" t="n">
        <v>0</v>
      </c>
      <c r="M280" t="n">
        <v>0</v>
      </c>
      <c r="N280" t="n">
        <v>0</v>
      </c>
      <c r="O280" t="n">
        <v>0</v>
      </c>
      <c r="P280" t="n">
        <v>0</v>
      </c>
      <c r="Q280" t="n">
        <v>0</v>
      </c>
      <c r="R280" s="2" t="inlineStr"/>
    </row>
    <row r="281" ht="15" customHeight="1">
      <c r="A281" t="inlineStr">
        <is>
          <t>A 40087-2025</t>
        </is>
      </c>
      <c r="B281" s="1" t="n">
        <v>45894.47574074074</v>
      </c>
      <c r="C281" s="1" t="n">
        <v>46074</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30459-2025</t>
        </is>
      </c>
      <c r="B282" s="1" t="n">
        <v>45827</v>
      </c>
      <c r="C282" s="1" t="n">
        <v>46074</v>
      </c>
      <c r="D282" t="inlineStr">
        <is>
          <t>NORRBOTTENS LÄN</t>
        </is>
      </c>
      <c r="E282" t="inlineStr">
        <is>
          <t>PITEÅ</t>
        </is>
      </c>
      <c r="G282" t="n">
        <v>3.1</v>
      </c>
      <c r="H282" t="n">
        <v>0</v>
      </c>
      <c r="I282" t="n">
        <v>0</v>
      </c>
      <c r="J282" t="n">
        <v>0</v>
      </c>
      <c r="K282" t="n">
        <v>0</v>
      </c>
      <c r="L282" t="n">
        <v>0</v>
      </c>
      <c r="M282" t="n">
        <v>0</v>
      </c>
      <c r="N282" t="n">
        <v>0</v>
      </c>
      <c r="O282" t="n">
        <v>0</v>
      </c>
      <c r="P282" t="n">
        <v>0</v>
      </c>
      <c r="Q282" t="n">
        <v>0</v>
      </c>
      <c r="R282" s="2" t="inlineStr"/>
    </row>
    <row r="283" ht="15" customHeight="1">
      <c r="A283" t="inlineStr">
        <is>
          <t>A 30408-2025</t>
        </is>
      </c>
      <c r="B283" s="1" t="n">
        <v>45827.59447916667</v>
      </c>
      <c r="C283" s="1" t="n">
        <v>46074</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40387-2025</t>
        </is>
      </c>
      <c r="B284" s="1" t="n">
        <v>45895</v>
      </c>
      <c r="C284" s="1" t="n">
        <v>46074</v>
      </c>
      <c r="D284" t="inlineStr">
        <is>
          <t>NORRBOTTENS LÄN</t>
        </is>
      </c>
      <c r="E284" t="inlineStr">
        <is>
          <t>PITEÅ</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40210-2025</t>
        </is>
      </c>
      <c r="B285" s="1" t="n">
        <v>45894</v>
      </c>
      <c r="C285" s="1" t="n">
        <v>46074</v>
      </c>
      <c r="D285" t="inlineStr">
        <is>
          <t>NORRBOTTENS LÄN</t>
        </is>
      </c>
      <c r="E285" t="inlineStr">
        <is>
          <t>PITEÅ</t>
        </is>
      </c>
      <c r="F285" t="inlineStr">
        <is>
          <t>Sveaskog</t>
        </is>
      </c>
      <c r="G285" t="n">
        <v>6.7</v>
      </c>
      <c r="H285" t="n">
        <v>0</v>
      </c>
      <c r="I285" t="n">
        <v>0</v>
      </c>
      <c r="J285" t="n">
        <v>0</v>
      </c>
      <c r="K285" t="n">
        <v>0</v>
      </c>
      <c r="L285" t="n">
        <v>0</v>
      </c>
      <c r="M285" t="n">
        <v>0</v>
      </c>
      <c r="N285" t="n">
        <v>0</v>
      </c>
      <c r="O285" t="n">
        <v>0</v>
      </c>
      <c r="P285" t="n">
        <v>0</v>
      </c>
      <c r="Q285" t="n">
        <v>0</v>
      </c>
      <c r="R285" s="2" t="inlineStr"/>
    </row>
    <row r="286" ht="15" customHeight="1">
      <c r="A286" t="inlineStr">
        <is>
          <t>A 40265-2025</t>
        </is>
      </c>
      <c r="B286" s="1" t="n">
        <v>45895.34462962963</v>
      </c>
      <c r="C286" s="1" t="n">
        <v>46074</v>
      </c>
      <c r="D286" t="inlineStr">
        <is>
          <t>NORRBOTTENS LÄN</t>
        </is>
      </c>
      <c r="E286" t="inlineStr">
        <is>
          <t>PITEÅ</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30460-2025</t>
        </is>
      </c>
      <c r="B287" s="1" t="n">
        <v>45827</v>
      </c>
      <c r="C287" s="1" t="n">
        <v>46074</v>
      </c>
      <c r="D287" t="inlineStr">
        <is>
          <t>NORRBOTTENS LÄN</t>
        </is>
      </c>
      <c r="E287" t="inlineStr">
        <is>
          <t>PITEÅ</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30629-2025</t>
        </is>
      </c>
      <c r="B288" s="1" t="n">
        <v>45830</v>
      </c>
      <c r="C288" s="1" t="n">
        <v>46074</v>
      </c>
      <c r="D288" t="inlineStr">
        <is>
          <t>NORRBOTTENS LÄN</t>
        </is>
      </c>
      <c r="E288" t="inlineStr">
        <is>
          <t>PITEÅ</t>
        </is>
      </c>
      <c r="G288" t="n">
        <v>13.6</v>
      </c>
      <c r="H288" t="n">
        <v>0</v>
      </c>
      <c r="I288" t="n">
        <v>0</v>
      </c>
      <c r="J288" t="n">
        <v>0</v>
      </c>
      <c r="K288" t="n">
        <v>0</v>
      </c>
      <c r="L288" t="n">
        <v>0</v>
      </c>
      <c r="M288" t="n">
        <v>0</v>
      </c>
      <c r="N288" t="n">
        <v>0</v>
      </c>
      <c r="O288" t="n">
        <v>0</v>
      </c>
      <c r="P288" t="n">
        <v>0</v>
      </c>
      <c r="Q288" t="n">
        <v>0</v>
      </c>
      <c r="R288" s="2" t="inlineStr"/>
    </row>
    <row r="289" ht="15" customHeight="1">
      <c r="A289" t="inlineStr">
        <is>
          <t>A 40254-2025</t>
        </is>
      </c>
      <c r="B289" s="1" t="n">
        <v>45895.32181712963</v>
      </c>
      <c r="C289" s="1" t="n">
        <v>46074</v>
      </c>
      <c r="D289" t="inlineStr">
        <is>
          <t>NORRBOTTENS LÄN</t>
        </is>
      </c>
      <c r="E289" t="inlineStr">
        <is>
          <t>PITEÅ</t>
        </is>
      </c>
      <c r="G289" t="n">
        <v>6.7</v>
      </c>
      <c r="H289" t="n">
        <v>0</v>
      </c>
      <c r="I289" t="n">
        <v>0</v>
      </c>
      <c r="J289" t="n">
        <v>0</v>
      </c>
      <c r="K289" t="n">
        <v>0</v>
      </c>
      <c r="L289" t="n">
        <v>0</v>
      </c>
      <c r="M289" t="n">
        <v>0</v>
      </c>
      <c r="N289" t="n">
        <v>0</v>
      </c>
      <c r="O289" t="n">
        <v>0</v>
      </c>
      <c r="P289" t="n">
        <v>0</v>
      </c>
      <c r="Q289" t="n">
        <v>0</v>
      </c>
      <c r="R289" s="2" t="inlineStr"/>
    </row>
    <row r="290" ht="15" customHeight="1">
      <c r="A290" t="inlineStr">
        <is>
          <t>A 30809-2025</t>
        </is>
      </c>
      <c r="B290" s="1" t="n">
        <v>45831.65704861111</v>
      </c>
      <c r="C290" s="1" t="n">
        <v>46074</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6744-2025</t>
        </is>
      </c>
      <c r="B291" s="1" t="n">
        <v>45700.60403935185</v>
      </c>
      <c r="C291" s="1" t="n">
        <v>46074</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40088-2025</t>
        </is>
      </c>
      <c r="B292" s="1" t="n">
        <v>45894.47658564815</v>
      </c>
      <c r="C292" s="1" t="n">
        <v>46074</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40123-2025</t>
        </is>
      </c>
      <c r="B293" s="1" t="n">
        <v>45894.53157407408</v>
      </c>
      <c r="C293" s="1" t="n">
        <v>46074</v>
      </c>
      <c r="D293" t="inlineStr">
        <is>
          <t>NORRBOTTENS LÄN</t>
        </is>
      </c>
      <c r="E293" t="inlineStr">
        <is>
          <t>PITEÅ</t>
        </is>
      </c>
      <c r="G293" t="n">
        <v>4.4</v>
      </c>
      <c r="H293" t="n">
        <v>0</v>
      </c>
      <c r="I293" t="n">
        <v>0</v>
      </c>
      <c r="J293" t="n">
        <v>0</v>
      </c>
      <c r="K293" t="n">
        <v>0</v>
      </c>
      <c r="L293" t="n">
        <v>0</v>
      </c>
      <c r="M293" t="n">
        <v>0</v>
      </c>
      <c r="N293" t="n">
        <v>0</v>
      </c>
      <c r="O293" t="n">
        <v>0</v>
      </c>
      <c r="P293" t="n">
        <v>0</v>
      </c>
      <c r="Q293" t="n">
        <v>0</v>
      </c>
      <c r="R293" s="2" t="inlineStr"/>
    </row>
    <row r="294" ht="15" customHeight="1">
      <c r="A294" t="inlineStr">
        <is>
          <t>A 59919-2024</t>
        </is>
      </c>
      <c r="B294" s="1" t="n">
        <v>45641.89665509259</v>
      </c>
      <c r="C294" s="1" t="n">
        <v>46074</v>
      </c>
      <c r="D294" t="inlineStr">
        <is>
          <t>NORRBOTTENS LÄN</t>
        </is>
      </c>
      <c r="E294" t="inlineStr">
        <is>
          <t>PITEÅ</t>
        </is>
      </c>
      <c r="G294" t="n">
        <v>1.4</v>
      </c>
      <c r="H294" t="n">
        <v>0</v>
      </c>
      <c r="I294" t="n">
        <v>0</v>
      </c>
      <c r="J294" t="n">
        <v>0</v>
      </c>
      <c r="K294" t="n">
        <v>0</v>
      </c>
      <c r="L294" t="n">
        <v>0</v>
      </c>
      <c r="M294" t="n">
        <v>0</v>
      </c>
      <c r="N294" t="n">
        <v>0</v>
      </c>
      <c r="O294" t="n">
        <v>0</v>
      </c>
      <c r="P294" t="n">
        <v>0</v>
      </c>
      <c r="Q294" t="n">
        <v>0</v>
      </c>
      <c r="R294" s="2" t="inlineStr"/>
    </row>
    <row r="295" ht="15" customHeight="1">
      <c r="A295" t="inlineStr">
        <is>
          <t>A 40086-2025</t>
        </is>
      </c>
      <c r="B295" s="1" t="n">
        <v>45894.47443287037</v>
      </c>
      <c r="C295" s="1" t="n">
        <v>46074</v>
      </c>
      <c r="D295" t="inlineStr">
        <is>
          <t>NORRBOTTENS LÄN</t>
        </is>
      </c>
      <c r="E295" t="inlineStr">
        <is>
          <t>PITEÅ</t>
        </is>
      </c>
      <c r="G295" t="n">
        <v>3</v>
      </c>
      <c r="H295" t="n">
        <v>0</v>
      </c>
      <c r="I295" t="n">
        <v>0</v>
      </c>
      <c r="J295" t="n">
        <v>0</v>
      </c>
      <c r="K295" t="n">
        <v>0</v>
      </c>
      <c r="L295" t="n">
        <v>0</v>
      </c>
      <c r="M295" t="n">
        <v>0</v>
      </c>
      <c r="N295" t="n">
        <v>0</v>
      </c>
      <c r="O295" t="n">
        <v>0</v>
      </c>
      <c r="P295" t="n">
        <v>0</v>
      </c>
      <c r="Q295" t="n">
        <v>0</v>
      </c>
      <c r="R295" s="2" t="inlineStr"/>
    </row>
    <row r="296" ht="15" customHeight="1">
      <c r="A296" t="inlineStr">
        <is>
          <t>A 59969-2024</t>
        </is>
      </c>
      <c r="B296" s="1" t="n">
        <v>45642.36207175926</v>
      </c>
      <c r="C296" s="1" t="n">
        <v>46074</v>
      </c>
      <c r="D296" t="inlineStr">
        <is>
          <t>NORRBOTTENS LÄN</t>
        </is>
      </c>
      <c r="E296" t="inlineStr">
        <is>
          <t>PITEÅ</t>
        </is>
      </c>
      <c r="G296" t="n">
        <v>0.8</v>
      </c>
      <c r="H296" t="n">
        <v>0</v>
      </c>
      <c r="I296" t="n">
        <v>0</v>
      </c>
      <c r="J296" t="n">
        <v>0</v>
      </c>
      <c r="K296" t="n">
        <v>0</v>
      </c>
      <c r="L296" t="n">
        <v>0</v>
      </c>
      <c r="M296" t="n">
        <v>0</v>
      </c>
      <c r="N296" t="n">
        <v>0</v>
      </c>
      <c r="O296" t="n">
        <v>0</v>
      </c>
      <c r="P296" t="n">
        <v>0</v>
      </c>
      <c r="Q296" t="n">
        <v>0</v>
      </c>
      <c r="R296" s="2" t="inlineStr"/>
    </row>
    <row r="297" ht="15" customHeight="1">
      <c r="A297" t="inlineStr">
        <is>
          <t>A 19433-2025</t>
        </is>
      </c>
      <c r="B297" s="1" t="n">
        <v>45769.89828703704</v>
      </c>
      <c r="C297" s="1" t="n">
        <v>46074</v>
      </c>
      <c r="D297" t="inlineStr">
        <is>
          <t>NORRBOTTENS LÄN</t>
        </is>
      </c>
      <c r="E297" t="inlineStr">
        <is>
          <t>PITEÅ</t>
        </is>
      </c>
      <c r="G297" t="n">
        <v>5</v>
      </c>
      <c r="H297" t="n">
        <v>0</v>
      </c>
      <c r="I297" t="n">
        <v>0</v>
      </c>
      <c r="J297" t="n">
        <v>0</v>
      </c>
      <c r="K297" t="n">
        <v>0</v>
      </c>
      <c r="L297" t="n">
        <v>0</v>
      </c>
      <c r="M297" t="n">
        <v>0</v>
      </c>
      <c r="N297" t="n">
        <v>0</v>
      </c>
      <c r="O297" t="n">
        <v>0</v>
      </c>
      <c r="P297" t="n">
        <v>0</v>
      </c>
      <c r="Q297" t="n">
        <v>0</v>
      </c>
      <c r="R297" s="2" t="inlineStr"/>
    </row>
    <row r="298" ht="15" customHeight="1">
      <c r="A298" t="inlineStr">
        <is>
          <t>A 3656-2025</t>
        </is>
      </c>
      <c r="B298" s="1" t="n">
        <v>45681</v>
      </c>
      <c r="C298" s="1" t="n">
        <v>46074</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30949-2025</t>
        </is>
      </c>
      <c r="B299" s="1" t="n">
        <v>45832.42759259259</v>
      </c>
      <c r="C299" s="1" t="n">
        <v>46074</v>
      </c>
      <c r="D299" t="inlineStr">
        <is>
          <t>NORRBOTTENS LÄN</t>
        </is>
      </c>
      <c r="E299" t="inlineStr">
        <is>
          <t>PITEÅ</t>
        </is>
      </c>
      <c r="G299" t="n">
        <v>8</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46074</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27689-2023</t>
        </is>
      </c>
      <c r="B301" s="1" t="n">
        <v>45097.93810185185</v>
      </c>
      <c r="C301" s="1" t="n">
        <v>46074</v>
      </c>
      <c r="D301" t="inlineStr">
        <is>
          <t>NORRBOTTENS LÄN</t>
        </is>
      </c>
      <c r="E301" t="inlineStr">
        <is>
          <t>PITEÅ</t>
        </is>
      </c>
      <c r="F301" t="inlineStr">
        <is>
          <t>SCA</t>
        </is>
      </c>
      <c r="G301" t="n">
        <v>5.5</v>
      </c>
      <c r="H301" t="n">
        <v>0</v>
      </c>
      <c r="I301" t="n">
        <v>0</v>
      </c>
      <c r="J301" t="n">
        <v>0</v>
      </c>
      <c r="K301" t="n">
        <v>0</v>
      </c>
      <c r="L301" t="n">
        <v>0</v>
      </c>
      <c r="M301" t="n">
        <v>0</v>
      </c>
      <c r="N301" t="n">
        <v>0</v>
      </c>
      <c r="O301" t="n">
        <v>0</v>
      </c>
      <c r="P301" t="n">
        <v>0</v>
      </c>
      <c r="Q301" t="n">
        <v>0</v>
      </c>
      <c r="R301" s="2" t="inlineStr"/>
    </row>
    <row r="302" ht="15" customHeight="1">
      <c r="A302" t="inlineStr">
        <is>
          <t>A 40537-2025</t>
        </is>
      </c>
      <c r="B302" s="1" t="n">
        <v>45896.41564814815</v>
      </c>
      <c r="C302" s="1" t="n">
        <v>46074</v>
      </c>
      <c r="D302" t="inlineStr">
        <is>
          <t>NORRBOTTENS LÄN</t>
        </is>
      </c>
      <c r="E302" t="inlineStr">
        <is>
          <t>PITEÅ</t>
        </is>
      </c>
      <c r="G302" t="n">
        <v>4.5</v>
      </c>
      <c r="H302" t="n">
        <v>0</v>
      </c>
      <c r="I302" t="n">
        <v>0</v>
      </c>
      <c r="J302" t="n">
        <v>0</v>
      </c>
      <c r="K302" t="n">
        <v>0</v>
      </c>
      <c r="L302" t="n">
        <v>0</v>
      </c>
      <c r="M302" t="n">
        <v>0</v>
      </c>
      <c r="N302" t="n">
        <v>0</v>
      </c>
      <c r="O302" t="n">
        <v>0</v>
      </c>
      <c r="P302" t="n">
        <v>0</v>
      </c>
      <c r="Q302" t="n">
        <v>0</v>
      </c>
      <c r="R302" s="2" t="inlineStr"/>
    </row>
    <row r="303" ht="15" customHeight="1">
      <c r="A303" t="inlineStr">
        <is>
          <t>A 40541-2025</t>
        </is>
      </c>
      <c r="B303" s="1" t="n">
        <v>45896.42334490741</v>
      </c>
      <c r="C303" s="1" t="n">
        <v>46074</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31453-2025</t>
        </is>
      </c>
      <c r="B304" s="1" t="n">
        <v>45833.53407407407</v>
      </c>
      <c r="C304" s="1" t="n">
        <v>46074</v>
      </c>
      <c r="D304" t="inlineStr">
        <is>
          <t>NORRBOTTENS LÄN</t>
        </is>
      </c>
      <c r="E304" t="inlineStr">
        <is>
          <t>PITEÅ</t>
        </is>
      </c>
      <c r="G304" t="n">
        <v>1.1</v>
      </c>
      <c r="H304" t="n">
        <v>0</v>
      </c>
      <c r="I304" t="n">
        <v>0</v>
      </c>
      <c r="J304" t="n">
        <v>0</v>
      </c>
      <c r="K304" t="n">
        <v>0</v>
      </c>
      <c r="L304" t="n">
        <v>0</v>
      </c>
      <c r="M304" t="n">
        <v>0</v>
      </c>
      <c r="N304" t="n">
        <v>0</v>
      </c>
      <c r="O304" t="n">
        <v>0</v>
      </c>
      <c r="P304" t="n">
        <v>0</v>
      </c>
      <c r="Q304" t="n">
        <v>0</v>
      </c>
      <c r="R304" s="2" t="inlineStr"/>
    </row>
    <row r="305" ht="15" customHeight="1">
      <c r="A305" t="inlineStr">
        <is>
          <t>A 40542-2025</t>
        </is>
      </c>
      <c r="B305" s="1" t="n">
        <v>45896.42896990741</v>
      </c>
      <c r="C305" s="1" t="n">
        <v>46074</v>
      </c>
      <c r="D305" t="inlineStr">
        <is>
          <t>NORRBOTTENS LÄN</t>
        </is>
      </c>
      <c r="E305" t="inlineStr">
        <is>
          <t>PITEÅ</t>
        </is>
      </c>
      <c r="G305" t="n">
        <v>2.1</v>
      </c>
      <c r="H305" t="n">
        <v>0</v>
      </c>
      <c r="I305" t="n">
        <v>0</v>
      </c>
      <c r="J305" t="n">
        <v>0</v>
      </c>
      <c r="K305" t="n">
        <v>0</v>
      </c>
      <c r="L305" t="n">
        <v>0</v>
      </c>
      <c r="M305" t="n">
        <v>0</v>
      </c>
      <c r="N305" t="n">
        <v>0</v>
      </c>
      <c r="O305" t="n">
        <v>0</v>
      </c>
      <c r="P305" t="n">
        <v>0</v>
      </c>
      <c r="Q305" t="n">
        <v>0</v>
      </c>
      <c r="R305" s="2" t="inlineStr"/>
    </row>
    <row r="306" ht="15" customHeight="1">
      <c r="A306" t="inlineStr">
        <is>
          <t>A 40545-2025</t>
        </is>
      </c>
      <c r="B306" s="1" t="n">
        <v>45896.43145833333</v>
      </c>
      <c r="C306" s="1" t="n">
        <v>46074</v>
      </c>
      <c r="D306" t="inlineStr">
        <is>
          <t>NORRBOTTENS LÄN</t>
        </is>
      </c>
      <c r="E306" t="inlineStr">
        <is>
          <t>PITEÅ</t>
        </is>
      </c>
      <c r="G306" t="n">
        <v>0.6</v>
      </c>
      <c r="H306" t="n">
        <v>0</v>
      </c>
      <c r="I306" t="n">
        <v>0</v>
      </c>
      <c r="J306" t="n">
        <v>0</v>
      </c>
      <c r="K306" t="n">
        <v>0</v>
      </c>
      <c r="L306" t="n">
        <v>0</v>
      </c>
      <c r="M306" t="n">
        <v>0</v>
      </c>
      <c r="N306" t="n">
        <v>0</v>
      </c>
      <c r="O306" t="n">
        <v>0</v>
      </c>
      <c r="P306" t="n">
        <v>0</v>
      </c>
      <c r="Q306" t="n">
        <v>0</v>
      </c>
      <c r="R306" s="2" t="inlineStr"/>
    </row>
    <row r="307" ht="15" customHeight="1">
      <c r="A307" t="inlineStr">
        <is>
          <t>A 40915-2025</t>
        </is>
      </c>
      <c r="B307" s="1" t="n">
        <v>45897</v>
      </c>
      <c r="C307" s="1" t="n">
        <v>46074</v>
      </c>
      <c r="D307" t="inlineStr">
        <is>
          <t>NORRBOTTENS LÄN</t>
        </is>
      </c>
      <c r="E307" t="inlineStr">
        <is>
          <t>PITEÅ</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40923-2025</t>
        </is>
      </c>
      <c r="B308" s="1" t="n">
        <v>45897.63584490741</v>
      </c>
      <c r="C308" s="1" t="n">
        <v>46074</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31159-2024</t>
        </is>
      </c>
      <c r="B309" s="1" t="n">
        <v>45503</v>
      </c>
      <c r="C309" s="1" t="n">
        <v>46074</v>
      </c>
      <c r="D309" t="inlineStr">
        <is>
          <t>NORRBOTTENS LÄN</t>
        </is>
      </c>
      <c r="E309" t="inlineStr">
        <is>
          <t>PITEÅ</t>
        </is>
      </c>
      <c r="G309" t="n">
        <v>6.2</v>
      </c>
      <c r="H309" t="n">
        <v>0</v>
      </c>
      <c r="I309" t="n">
        <v>0</v>
      </c>
      <c r="J309" t="n">
        <v>0</v>
      </c>
      <c r="K309" t="n">
        <v>0</v>
      </c>
      <c r="L309" t="n">
        <v>0</v>
      </c>
      <c r="M309" t="n">
        <v>0</v>
      </c>
      <c r="N309" t="n">
        <v>0</v>
      </c>
      <c r="O309" t="n">
        <v>0</v>
      </c>
      <c r="P309" t="n">
        <v>0</v>
      </c>
      <c r="Q309" t="n">
        <v>0</v>
      </c>
      <c r="R309" s="2" t="inlineStr"/>
    </row>
    <row r="310" ht="15" customHeight="1">
      <c r="A310" t="inlineStr">
        <is>
          <t>A 41299-2025</t>
        </is>
      </c>
      <c r="B310" s="1" t="n">
        <v>45898</v>
      </c>
      <c r="C310" s="1" t="n">
        <v>46074</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31095-2025</t>
        </is>
      </c>
      <c r="B311" s="1" t="n">
        <v>45832.59581018519</v>
      </c>
      <c r="C311" s="1" t="n">
        <v>46074</v>
      </c>
      <c r="D311" t="inlineStr">
        <is>
          <t>NORRBOTTENS LÄN</t>
        </is>
      </c>
      <c r="E311" t="inlineStr">
        <is>
          <t>PITEÅ</t>
        </is>
      </c>
      <c r="G311" t="n">
        <v>6.8</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46074</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24509-2024</t>
        </is>
      </c>
      <c r="B313" s="1" t="n">
        <v>45460</v>
      </c>
      <c r="C313" s="1" t="n">
        <v>46074</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46074</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18771-2023</t>
        </is>
      </c>
      <c r="B315" s="1" t="n">
        <v>45043.94283564815</v>
      </c>
      <c r="C315" s="1" t="n">
        <v>46074</v>
      </c>
      <c r="D315" t="inlineStr">
        <is>
          <t>NORRBOTTENS LÄN</t>
        </is>
      </c>
      <c r="E315" t="inlineStr">
        <is>
          <t>PITEÅ</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41100-2025</t>
        </is>
      </c>
      <c r="B316" s="1" t="n">
        <v>45898.45086805556</v>
      </c>
      <c r="C316" s="1" t="n">
        <v>46074</v>
      </c>
      <c r="D316" t="inlineStr">
        <is>
          <t>NORRBOTTENS LÄN</t>
        </is>
      </c>
      <c r="E316" t="inlineStr">
        <is>
          <t>PITEÅ</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41002-2025</t>
        </is>
      </c>
      <c r="B317" s="1" t="n">
        <v>45898</v>
      </c>
      <c r="C317" s="1" t="n">
        <v>46074</v>
      </c>
      <c r="D317" t="inlineStr">
        <is>
          <t>NORRBOTTENS LÄN</t>
        </is>
      </c>
      <c r="E317" t="inlineStr">
        <is>
          <t>PITEÅ</t>
        </is>
      </c>
      <c r="G317" t="n">
        <v>4.1</v>
      </c>
      <c r="H317" t="n">
        <v>0</v>
      </c>
      <c r="I317" t="n">
        <v>0</v>
      </c>
      <c r="J317" t="n">
        <v>0</v>
      </c>
      <c r="K317" t="n">
        <v>0</v>
      </c>
      <c r="L317" t="n">
        <v>0</v>
      </c>
      <c r="M317" t="n">
        <v>0</v>
      </c>
      <c r="N317" t="n">
        <v>0</v>
      </c>
      <c r="O317" t="n">
        <v>0</v>
      </c>
      <c r="P317" t="n">
        <v>0</v>
      </c>
      <c r="Q317" t="n">
        <v>0</v>
      </c>
      <c r="R317" s="2" t="inlineStr"/>
    </row>
    <row r="318" ht="15" customHeight="1">
      <c r="A318" t="inlineStr">
        <is>
          <t>A 41474-2025</t>
        </is>
      </c>
      <c r="B318" s="1" t="n">
        <v>45901.4696412037</v>
      </c>
      <c r="C318" s="1" t="n">
        <v>46074</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41195-2024</t>
        </is>
      </c>
      <c r="B319" s="1" t="n">
        <v>45559.51078703703</v>
      </c>
      <c r="C319" s="1" t="n">
        <v>46074</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31633-2025</t>
        </is>
      </c>
      <c r="B320" s="1" t="n">
        <v>45834</v>
      </c>
      <c r="C320" s="1" t="n">
        <v>46074</v>
      </c>
      <c r="D320" t="inlineStr">
        <is>
          <t>NORRBOTTENS LÄN</t>
        </is>
      </c>
      <c r="E320" t="inlineStr">
        <is>
          <t>PITEÅ</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24827-2024</t>
        </is>
      </c>
      <c r="B321" s="1" t="n">
        <v>45461.37427083333</v>
      </c>
      <c r="C321" s="1" t="n">
        <v>46074</v>
      </c>
      <c r="D321" t="inlineStr">
        <is>
          <t>NORRBOTTENS LÄN</t>
        </is>
      </c>
      <c r="E321" t="inlineStr">
        <is>
          <t>PITEÅ</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8331-2025</t>
        </is>
      </c>
      <c r="B322" s="1" t="n">
        <v>45708.64608796296</v>
      </c>
      <c r="C322" s="1" t="n">
        <v>46074</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46843-2022</t>
        </is>
      </c>
      <c r="B323" s="1" t="n">
        <v>44848</v>
      </c>
      <c r="C323" s="1" t="n">
        <v>46074</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37652-2024</t>
        </is>
      </c>
      <c r="B324" s="1" t="n">
        <v>45541.55353009259</v>
      </c>
      <c r="C324" s="1" t="n">
        <v>46074</v>
      </c>
      <c r="D324" t="inlineStr">
        <is>
          <t>NORRBOTTENS LÄN</t>
        </is>
      </c>
      <c r="E324" t="inlineStr">
        <is>
          <t>PITEÅ</t>
        </is>
      </c>
      <c r="G324" t="n">
        <v>2.1</v>
      </c>
      <c r="H324" t="n">
        <v>0</v>
      </c>
      <c r="I324" t="n">
        <v>0</v>
      </c>
      <c r="J324" t="n">
        <v>0</v>
      </c>
      <c r="K324" t="n">
        <v>0</v>
      </c>
      <c r="L324" t="n">
        <v>0</v>
      </c>
      <c r="M324" t="n">
        <v>0</v>
      </c>
      <c r="N324" t="n">
        <v>0</v>
      </c>
      <c r="O324" t="n">
        <v>0</v>
      </c>
      <c r="P324" t="n">
        <v>0</v>
      </c>
      <c r="Q324" t="n">
        <v>0</v>
      </c>
      <c r="R324" s="2" t="inlineStr"/>
    </row>
    <row r="325" ht="15" customHeight="1">
      <c r="A325" t="inlineStr">
        <is>
          <t>A 41678-2025</t>
        </is>
      </c>
      <c r="B325" s="1" t="n">
        <v>45902.37390046296</v>
      </c>
      <c r="C325" s="1" t="n">
        <v>46074</v>
      </c>
      <c r="D325" t="inlineStr">
        <is>
          <t>NORRBOTTENS LÄN</t>
        </is>
      </c>
      <c r="E325" t="inlineStr">
        <is>
          <t>PITEÅ</t>
        </is>
      </c>
      <c r="G325" t="n">
        <v>3.9</v>
      </c>
      <c r="H325" t="n">
        <v>0</v>
      </c>
      <c r="I325" t="n">
        <v>0</v>
      </c>
      <c r="J325" t="n">
        <v>0</v>
      </c>
      <c r="K325" t="n">
        <v>0</v>
      </c>
      <c r="L325" t="n">
        <v>0</v>
      </c>
      <c r="M325" t="n">
        <v>0</v>
      </c>
      <c r="N325" t="n">
        <v>0</v>
      </c>
      <c r="O325" t="n">
        <v>0</v>
      </c>
      <c r="P325" t="n">
        <v>0</v>
      </c>
      <c r="Q325" t="n">
        <v>0</v>
      </c>
      <c r="R325" s="2" t="inlineStr"/>
    </row>
    <row r="326" ht="15" customHeight="1">
      <c r="A326" t="inlineStr">
        <is>
          <t>A 27175-2023</t>
        </is>
      </c>
      <c r="B326" s="1" t="n">
        <v>45096</v>
      </c>
      <c r="C326" s="1" t="n">
        <v>46074</v>
      </c>
      <c r="D326" t="inlineStr">
        <is>
          <t>NORRBOTTENS LÄN</t>
        </is>
      </c>
      <c r="E326" t="inlineStr">
        <is>
          <t>PITEÅ</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41671-2025</t>
        </is>
      </c>
      <c r="B327" s="1" t="n">
        <v>45902.36240740741</v>
      </c>
      <c r="C327" s="1" t="n">
        <v>46074</v>
      </c>
      <c r="D327" t="inlineStr">
        <is>
          <t>NORRBOTTENS LÄN</t>
        </is>
      </c>
      <c r="E327" t="inlineStr">
        <is>
          <t>PITEÅ</t>
        </is>
      </c>
      <c r="G327" t="n">
        <v>4.8</v>
      </c>
      <c r="H327" t="n">
        <v>0</v>
      </c>
      <c r="I327" t="n">
        <v>0</v>
      </c>
      <c r="J327" t="n">
        <v>0</v>
      </c>
      <c r="K327" t="n">
        <v>0</v>
      </c>
      <c r="L327" t="n">
        <v>0</v>
      </c>
      <c r="M327" t="n">
        <v>0</v>
      </c>
      <c r="N327" t="n">
        <v>0</v>
      </c>
      <c r="O327" t="n">
        <v>0</v>
      </c>
      <c r="P327" t="n">
        <v>0</v>
      </c>
      <c r="Q327" t="n">
        <v>0</v>
      </c>
      <c r="R327" s="2" t="inlineStr"/>
    </row>
    <row r="328" ht="15" customHeight="1">
      <c r="A328" t="inlineStr">
        <is>
          <t>A 65015-2023</t>
        </is>
      </c>
      <c r="B328" s="1" t="n">
        <v>45287.40711805555</v>
      </c>
      <c r="C328" s="1" t="n">
        <v>46074</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24295-2025</t>
        </is>
      </c>
      <c r="B329" s="1" t="n">
        <v>45797.47197916666</v>
      </c>
      <c r="C329" s="1" t="n">
        <v>46074</v>
      </c>
      <c r="D329" t="inlineStr">
        <is>
          <t>NORRBOTTENS LÄN</t>
        </is>
      </c>
      <c r="E329" t="inlineStr">
        <is>
          <t>PITEÅ</t>
        </is>
      </c>
      <c r="G329" t="n">
        <v>6.9</v>
      </c>
      <c r="H329" t="n">
        <v>0</v>
      </c>
      <c r="I329" t="n">
        <v>0</v>
      </c>
      <c r="J329" t="n">
        <v>0</v>
      </c>
      <c r="K329" t="n">
        <v>0</v>
      </c>
      <c r="L329" t="n">
        <v>0</v>
      </c>
      <c r="M329" t="n">
        <v>0</v>
      </c>
      <c r="N329" t="n">
        <v>0</v>
      </c>
      <c r="O329" t="n">
        <v>0</v>
      </c>
      <c r="P329" t="n">
        <v>0</v>
      </c>
      <c r="Q329" t="n">
        <v>0</v>
      </c>
      <c r="R329" s="2" t="inlineStr"/>
    </row>
    <row r="330" ht="15" customHeight="1">
      <c r="A330" t="inlineStr">
        <is>
          <t>A 18397-2022</t>
        </is>
      </c>
      <c r="B330" s="1" t="n">
        <v>44685</v>
      </c>
      <c r="C330" s="1" t="n">
        <v>46074</v>
      </c>
      <c r="D330" t="inlineStr">
        <is>
          <t>NORRBOTTENS LÄN</t>
        </is>
      </c>
      <c r="E330" t="inlineStr">
        <is>
          <t>PITEÅ</t>
        </is>
      </c>
      <c r="G330" t="n">
        <v>2.5</v>
      </c>
      <c r="H330" t="n">
        <v>0</v>
      </c>
      <c r="I330" t="n">
        <v>0</v>
      </c>
      <c r="J330" t="n">
        <v>0</v>
      </c>
      <c r="K330" t="n">
        <v>0</v>
      </c>
      <c r="L330" t="n">
        <v>0</v>
      </c>
      <c r="M330" t="n">
        <v>0</v>
      </c>
      <c r="N330" t="n">
        <v>0</v>
      </c>
      <c r="O330" t="n">
        <v>0</v>
      </c>
      <c r="P330" t="n">
        <v>0</v>
      </c>
      <c r="Q330" t="n">
        <v>0</v>
      </c>
      <c r="R330" s="2" t="inlineStr"/>
    </row>
    <row r="331" ht="15" customHeight="1">
      <c r="A331" t="inlineStr">
        <is>
          <t>A 42067-2025</t>
        </is>
      </c>
      <c r="B331" s="1" t="n">
        <v>45903.65680555555</v>
      </c>
      <c r="C331" s="1" t="n">
        <v>46074</v>
      </c>
      <c r="D331" t="inlineStr">
        <is>
          <t>NORRBOTTENS LÄN</t>
        </is>
      </c>
      <c r="E331" t="inlineStr">
        <is>
          <t>PITEÅ</t>
        </is>
      </c>
      <c r="G331" t="n">
        <v>3.4</v>
      </c>
      <c r="H331" t="n">
        <v>0</v>
      </c>
      <c r="I331" t="n">
        <v>0</v>
      </c>
      <c r="J331" t="n">
        <v>0</v>
      </c>
      <c r="K331" t="n">
        <v>0</v>
      </c>
      <c r="L331" t="n">
        <v>0</v>
      </c>
      <c r="M331" t="n">
        <v>0</v>
      </c>
      <c r="N331" t="n">
        <v>0</v>
      </c>
      <c r="O331" t="n">
        <v>0</v>
      </c>
      <c r="P331" t="n">
        <v>0</v>
      </c>
      <c r="Q331" t="n">
        <v>0</v>
      </c>
      <c r="R331" s="2" t="inlineStr"/>
    </row>
    <row r="332" ht="15" customHeight="1">
      <c r="A332" t="inlineStr">
        <is>
          <t>A 44713-2024</t>
        </is>
      </c>
      <c r="B332" s="1" t="n">
        <v>45574.57422453703</v>
      </c>
      <c r="C332" s="1" t="n">
        <v>46074</v>
      </c>
      <c r="D332" t="inlineStr">
        <is>
          <t>NORRBOTTENS LÄN</t>
        </is>
      </c>
      <c r="E332" t="inlineStr">
        <is>
          <t>PITEÅ</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44715-2024</t>
        </is>
      </c>
      <c r="B333" s="1" t="n">
        <v>45574.57452546297</v>
      </c>
      <c r="C333" s="1" t="n">
        <v>46074</v>
      </c>
      <c r="D333" t="inlineStr">
        <is>
          <t>NORRBOTTENS LÄN</t>
        </is>
      </c>
      <c r="E333" t="inlineStr">
        <is>
          <t>PITEÅ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20632-2025</t>
        </is>
      </c>
      <c r="B334" s="1" t="n">
        <v>45776</v>
      </c>
      <c r="C334" s="1" t="n">
        <v>46074</v>
      </c>
      <c r="D334" t="inlineStr">
        <is>
          <t>NORRBOTTENS LÄN</t>
        </is>
      </c>
      <c r="E334" t="inlineStr">
        <is>
          <t>PITEÅ</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9193-2022</t>
        </is>
      </c>
      <c r="B335" s="1" t="n">
        <v>44615</v>
      </c>
      <c r="C335" s="1" t="n">
        <v>46074</v>
      </c>
      <c r="D335" t="inlineStr">
        <is>
          <t>NORRBOTTENS LÄN</t>
        </is>
      </c>
      <c r="E335" t="inlineStr">
        <is>
          <t>PITEÅ</t>
        </is>
      </c>
      <c r="G335" t="n">
        <v>4.7</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46074</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41182-2024</t>
        </is>
      </c>
      <c r="B337" s="1" t="n">
        <v>45559.49592592593</v>
      </c>
      <c r="C337" s="1" t="n">
        <v>46074</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41188-2024</t>
        </is>
      </c>
      <c r="B338" s="1" t="n">
        <v>45559.50427083333</v>
      </c>
      <c r="C338" s="1" t="n">
        <v>46074</v>
      </c>
      <c r="D338" t="inlineStr">
        <is>
          <t>NORRBOTTENS LÄN</t>
        </is>
      </c>
      <c r="E338" t="inlineStr">
        <is>
          <t>PITEÅ</t>
        </is>
      </c>
      <c r="G338" t="n">
        <v>1.5</v>
      </c>
      <c r="H338" t="n">
        <v>0</v>
      </c>
      <c r="I338" t="n">
        <v>0</v>
      </c>
      <c r="J338" t="n">
        <v>0</v>
      </c>
      <c r="K338" t="n">
        <v>0</v>
      </c>
      <c r="L338" t="n">
        <v>0</v>
      </c>
      <c r="M338" t="n">
        <v>0</v>
      </c>
      <c r="N338" t="n">
        <v>0</v>
      </c>
      <c r="O338" t="n">
        <v>0</v>
      </c>
      <c r="P338" t="n">
        <v>0</v>
      </c>
      <c r="Q338" t="n">
        <v>0</v>
      </c>
      <c r="R338" s="2" t="inlineStr"/>
    </row>
    <row r="339" ht="15" customHeight="1">
      <c r="A339" t="inlineStr">
        <is>
          <t>A 42555-2025</t>
        </is>
      </c>
      <c r="B339" s="1" t="n">
        <v>45905.59465277778</v>
      </c>
      <c r="C339" s="1" t="n">
        <v>46074</v>
      </c>
      <c r="D339" t="inlineStr">
        <is>
          <t>NORRBOTTENS LÄN</t>
        </is>
      </c>
      <c r="E339" t="inlineStr">
        <is>
          <t>PITEÅ</t>
        </is>
      </c>
      <c r="G339" t="n">
        <v>0.5</v>
      </c>
      <c r="H339" t="n">
        <v>0</v>
      </c>
      <c r="I339" t="n">
        <v>0</v>
      </c>
      <c r="J339" t="n">
        <v>0</v>
      </c>
      <c r="K339" t="n">
        <v>0</v>
      </c>
      <c r="L339" t="n">
        <v>0</v>
      </c>
      <c r="M339" t="n">
        <v>0</v>
      </c>
      <c r="N339" t="n">
        <v>0</v>
      </c>
      <c r="O339" t="n">
        <v>0</v>
      </c>
      <c r="P339" t="n">
        <v>0</v>
      </c>
      <c r="Q339" t="n">
        <v>0</v>
      </c>
      <c r="R339" s="2" t="inlineStr"/>
    </row>
    <row r="340" ht="15" customHeight="1">
      <c r="A340" t="inlineStr">
        <is>
          <t>A 42556-2025</t>
        </is>
      </c>
      <c r="B340" s="1" t="n">
        <v>45905.59467592592</v>
      </c>
      <c r="C340" s="1" t="n">
        <v>46074</v>
      </c>
      <c r="D340" t="inlineStr">
        <is>
          <t>NORRBOTTENS LÄN</t>
        </is>
      </c>
      <c r="E340" t="inlineStr">
        <is>
          <t>PITEÅ</t>
        </is>
      </c>
      <c r="G340" t="n">
        <v>0.7</v>
      </c>
      <c r="H340" t="n">
        <v>0</v>
      </c>
      <c r="I340" t="n">
        <v>0</v>
      </c>
      <c r="J340" t="n">
        <v>0</v>
      </c>
      <c r="K340" t="n">
        <v>0</v>
      </c>
      <c r="L340" t="n">
        <v>0</v>
      </c>
      <c r="M340" t="n">
        <v>0</v>
      </c>
      <c r="N340" t="n">
        <v>0</v>
      </c>
      <c r="O340" t="n">
        <v>0</v>
      </c>
      <c r="P340" t="n">
        <v>0</v>
      </c>
      <c r="Q340" t="n">
        <v>0</v>
      </c>
      <c r="R340" s="2" t="inlineStr"/>
    </row>
    <row r="341" ht="15" customHeight="1">
      <c r="A341" t="inlineStr">
        <is>
          <t>A 44076-2023</t>
        </is>
      </c>
      <c r="B341" s="1" t="n">
        <v>45188</v>
      </c>
      <c r="C341" s="1" t="n">
        <v>46074</v>
      </c>
      <c r="D341" t="inlineStr">
        <is>
          <t>NORRBOTTENS LÄN</t>
        </is>
      </c>
      <c r="E341" t="inlineStr">
        <is>
          <t>PITEÅ</t>
        </is>
      </c>
      <c r="F341" t="inlineStr">
        <is>
          <t>Sveaskog</t>
        </is>
      </c>
      <c r="G341" t="n">
        <v>6.3</v>
      </c>
      <c r="H341" t="n">
        <v>0</v>
      </c>
      <c r="I341" t="n">
        <v>0</v>
      </c>
      <c r="J341" t="n">
        <v>0</v>
      </c>
      <c r="K341" t="n">
        <v>0</v>
      </c>
      <c r="L341" t="n">
        <v>0</v>
      </c>
      <c r="M341" t="n">
        <v>0</v>
      </c>
      <c r="N341" t="n">
        <v>0</v>
      </c>
      <c r="O341" t="n">
        <v>0</v>
      </c>
      <c r="P341" t="n">
        <v>0</v>
      </c>
      <c r="Q341" t="n">
        <v>0</v>
      </c>
      <c r="R341" s="2" t="inlineStr"/>
    </row>
    <row r="342" ht="15" customHeight="1">
      <c r="A342" t="inlineStr">
        <is>
          <t>A 42293-2025</t>
        </is>
      </c>
      <c r="B342" s="1" t="n">
        <v>45904.63024305556</v>
      </c>
      <c r="C342" s="1" t="n">
        <v>46074</v>
      </c>
      <c r="D342" t="inlineStr">
        <is>
          <t>NORRBOTTENS LÄN</t>
        </is>
      </c>
      <c r="E342" t="inlineStr">
        <is>
          <t>PITEÅ</t>
        </is>
      </c>
      <c r="G342" t="n">
        <v>6.5</v>
      </c>
      <c r="H342" t="n">
        <v>0</v>
      </c>
      <c r="I342" t="n">
        <v>0</v>
      </c>
      <c r="J342" t="n">
        <v>0</v>
      </c>
      <c r="K342" t="n">
        <v>0</v>
      </c>
      <c r="L342" t="n">
        <v>0</v>
      </c>
      <c r="M342" t="n">
        <v>0</v>
      </c>
      <c r="N342" t="n">
        <v>0</v>
      </c>
      <c r="O342" t="n">
        <v>0</v>
      </c>
      <c r="P342" t="n">
        <v>0</v>
      </c>
      <c r="Q342" t="n">
        <v>0</v>
      </c>
      <c r="R342" s="2" t="inlineStr"/>
    </row>
    <row r="343" ht="15" customHeight="1">
      <c r="A343" t="inlineStr">
        <is>
          <t>A 24424-2024</t>
        </is>
      </c>
      <c r="B343" s="1" t="n">
        <v>45457</v>
      </c>
      <c r="C343" s="1" t="n">
        <v>46074</v>
      </c>
      <c r="D343" t="inlineStr">
        <is>
          <t>NORRBOTTENS LÄN</t>
        </is>
      </c>
      <c r="E343" t="inlineStr">
        <is>
          <t>PITEÅ</t>
        </is>
      </c>
      <c r="G343" t="n">
        <v>2.3</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46074</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46074</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58698-2024</t>
        </is>
      </c>
      <c r="B346" s="1" t="n">
        <v>45635.63734953704</v>
      </c>
      <c r="C346" s="1" t="n">
        <v>46074</v>
      </c>
      <c r="D346" t="inlineStr">
        <is>
          <t>NORRBOTTENS LÄN</t>
        </is>
      </c>
      <c r="E346" t="inlineStr">
        <is>
          <t>PITEÅ</t>
        </is>
      </c>
      <c r="G346" t="n">
        <v>4.2</v>
      </c>
      <c r="H346" t="n">
        <v>0</v>
      </c>
      <c r="I346" t="n">
        <v>0</v>
      </c>
      <c r="J346" t="n">
        <v>0</v>
      </c>
      <c r="K346" t="n">
        <v>0</v>
      </c>
      <c r="L346" t="n">
        <v>0</v>
      </c>
      <c r="M346" t="n">
        <v>0</v>
      </c>
      <c r="N346" t="n">
        <v>0</v>
      </c>
      <c r="O346" t="n">
        <v>0</v>
      </c>
      <c r="P346" t="n">
        <v>0</v>
      </c>
      <c r="Q346" t="n">
        <v>0</v>
      </c>
      <c r="R346" s="2" t="inlineStr"/>
    </row>
    <row r="347" ht="15" customHeight="1">
      <c r="A347" t="inlineStr">
        <is>
          <t>A 42244-2025</t>
        </is>
      </c>
      <c r="B347" s="1" t="n">
        <v>45904.57564814815</v>
      </c>
      <c r="C347" s="1" t="n">
        <v>46074</v>
      </c>
      <c r="D347" t="inlineStr">
        <is>
          <t>NORRBOTTENS LÄN</t>
        </is>
      </c>
      <c r="E347" t="inlineStr">
        <is>
          <t>PITEÅ</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42283-2025</t>
        </is>
      </c>
      <c r="B348" s="1" t="n">
        <v>45904.61912037037</v>
      </c>
      <c r="C348" s="1" t="n">
        <v>46074</v>
      </c>
      <c r="D348" t="inlineStr">
        <is>
          <t>NORRBOTTENS LÄN</t>
        </is>
      </c>
      <c r="E348" t="inlineStr">
        <is>
          <t>PITEÅ</t>
        </is>
      </c>
      <c r="G348" t="n">
        <v>11.5</v>
      </c>
      <c r="H348" t="n">
        <v>0</v>
      </c>
      <c r="I348" t="n">
        <v>0</v>
      </c>
      <c r="J348" t="n">
        <v>0</v>
      </c>
      <c r="K348" t="n">
        <v>0</v>
      </c>
      <c r="L348" t="n">
        <v>0</v>
      </c>
      <c r="M348" t="n">
        <v>0</v>
      </c>
      <c r="N348" t="n">
        <v>0</v>
      </c>
      <c r="O348" t="n">
        <v>0</v>
      </c>
      <c r="P348" t="n">
        <v>0</v>
      </c>
      <c r="Q348" t="n">
        <v>0</v>
      </c>
      <c r="R348" s="2" t="inlineStr"/>
    </row>
    <row r="349" ht="15" customHeight="1">
      <c r="A349" t="inlineStr">
        <is>
          <t>A 42223-2025</t>
        </is>
      </c>
      <c r="B349" s="1" t="n">
        <v>45904.53167824074</v>
      </c>
      <c r="C349" s="1" t="n">
        <v>46074</v>
      </c>
      <c r="D349" t="inlineStr">
        <is>
          <t>NORRBOTTENS LÄN</t>
        </is>
      </c>
      <c r="E349" t="inlineStr">
        <is>
          <t>PITEÅ</t>
        </is>
      </c>
      <c r="G349" t="n">
        <v>0.5</v>
      </c>
      <c r="H349" t="n">
        <v>0</v>
      </c>
      <c r="I349" t="n">
        <v>0</v>
      </c>
      <c r="J349" t="n">
        <v>0</v>
      </c>
      <c r="K349" t="n">
        <v>0</v>
      </c>
      <c r="L349" t="n">
        <v>0</v>
      </c>
      <c r="M349" t="n">
        <v>0</v>
      </c>
      <c r="N349" t="n">
        <v>0</v>
      </c>
      <c r="O349" t="n">
        <v>0</v>
      </c>
      <c r="P349" t="n">
        <v>0</v>
      </c>
      <c r="Q349" t="n">
        <v>0</v>
      </c>
      <c r="R349" s="2" t="inlineStr"/>
    </row>
    <row r="350" ht="15" customHeight="1">
      <c r="A350" t="inlineStr">
        <is>
          <t>A 42224-2025</t>
        </is>
      </c>
      <c r="B350" s="1" t="n">
        <v>45904</v>
      </c>
      <c r="C350" s="1" t="n">
        <v>46074</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42253-2025</t>
        </is>
      </c>
      <c r="B351" s="1" t="n">
        <v>45904.58739583333</v>
      </c>
      <c r="C351" s="1" t="n">
        <v>46074</v>
      </c>
      <c r="D351" t="inlineStr">
        <is>
          <t>NORRBOTTENS LÄN</t>
        </is>
      </c>
      <c r="E351" t="inlineStr">
        <is>
          <t>PITEÅ</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42456-2025</t>
        </is>
      </c>
      <c r="B352" s="1" t="n">
        <v>45904</v>
      </c>
      <c r="C352" s="1" t="n">
        <v>46074</v>
      </c>
      <c r="D352" t="inlineStr">
        <is>
          <t>NORRBOTTENS LÄN</t>
        </is>
      </c>
      <c r="E352" t="inlineStr">
        <is>
          <t>PITEÅ</t>
        </is>
      </c>
      <c r="G352" t="n">
        <v>4.9</v>
      </c>
      <c r="H352" t="n">
        <v>0</v>
      </c>
      <c r="I352" t="n">
        <v>0</v>
      </c>
      <c r="J352" t="n">
        <v>0</v>
      </c>
      <c r="K352" t="n">
        <v>0</v>
      </c>
      <c r="L352" t="n">
        <v>0</v>
      </c>
      <c r="M352" t="n">
        <v>0</v>
      </c>
      <c r="N352" t="n">
        <v>0</v>
      </c>
      <c r="O352" t="n">
        <v>0</v>
      </c>
      <c r="P352" t="n">
        <v>0</v>
      </c>
      <c r="Q352" t="n">
        <v>0</v>
      </c>
      <c r="R352" s="2" t="inlineStr"/>
    </row>
    <row r="353" ht="15" customHeight="1">
      <c r="A353" t="inlineStr">
        <is>
          <t>A 29894-2022</t>
        </is>
      </c>
      <c r="B353" s="1" t="n">
        <v>44756</v>
      </c>
      <c r="C353" s="1" t="n">
        <v>46074</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42221-2025</t>
        </is>
      </c>
      <c r="B354" s="1" t="n">
        <v>45904.53163194445</v>
      </c>
      <c r="C354" s="1" t="n">
        <v>46074</v>
      </c>
      <c r="D354" t="inlineStr">
        <is>
          <t>NORRBOTTENS LÄN</t>
        </is>
      </c>
      <c r="E354" t="inlineStr">
        <is>
          <t>PITEÅ</t>
        </is>
      </c>
      <c r="G354" t="n">
        <v>1.1</v>
      </c>
      <c r="H354" t="n">
        <v>0</v>
      </c>
      <c r="I354" t="n">
        <v>0</v>
      </c>
      <c r="J354" t="n">
        <v>0</v>
      </c>
      <c r="K354" t="n">
        <v>0</v>
      </c>
      <c r="L354" t="n">
        <v>0</v>
      </c>
      <c r="M354" t="n">
        <v>0</v>
      </c>
      <c r="N354" t="n">
        <v>0</v>
      </c>
      <c r="O354" t="n">
        <v>0</v>
      </c>
      <c r="P354" t="n">
        <v>0</v>
      </c>
      <c r="Q354" t="n">
        <v>0</v>
      </c>
      <c r="R354" s="2" t="inlineStr"/>
    </row>
    <row r="355" ht="15" customHeight="1">
      <c r="A355" t="inlineStr">
        <is>
          <t>A 32372-2025</t>
        </is>
      </c>
      <c r="B355" s="1" t="n">
        <v>45837.69155092593</v>
      </c>
      <c r="C355" s="1" t="n">
        <v>46074</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33185-2025</t>
        </is>
      </c>
      <c r="B356" s="1" t="n">
        <v>45840.59425925926</v>
      </c>
      <c r="C356" s="1" t="n">
        <v>46074</v>
      </c>
      <c r="D356" t="inlineStr">
        <is>
          <t>NORRBOTTENS LÄN</t>
        </is>
      </c>
      <c r="E356" t="inlineStr">
        <is>
          <t>PITEÅ</t>
        </is>
      </c>
      <c r="G356" t="n">
        <v>0.9</v>
      </c>
      <c r="H356" t="n">
        <v>0</v>
      </c>
      <c r="I356" t="n">
        <v>0</v>
      </c>
      <c r="J356" t="n">
        <v>0</v>
      </c>
      <c r="K356" t="n">
        <v>0</v>
      </c>
      <c r="L356" t="n">
        <v>0</v>
      </c>
      <c r="M356" t="n">
        <v>0</v>
      </c>
      <c r="N356" t="n">
        <v>0</v>
      </c>
      <c r="O356" t="n">
        <v>0</v>
      </c>
      <c r="P356" t="n">
        <v>0</v>
      </c>
      <c r="Q356" t="n">
        <v>0</v>
      </c>
      <c r="R356" s="2" t="inlineStr"/>
    </row>
    <row r="357" ht="15" customHeight="1">
      <c r="A357" t="inlineStr">
        <is>
          <t>A 42685-2025</t>
        </is>
      </c>
      <c r="B357" s="1" t="n">
        <v>45908.35325231482</v>
      </c>
      <c r="C357" s="1" t="n">
        <v>46074</v>
      </c>
      <c r="D357" t="inlineStr">
        <is>
          <t>NORRBOTTENS LÄN</t>
        </is>
      </c>
      <c r="E357" t="inlineStr">
        <is>
          <t>PITEÅ</t>
        </is>
      </c>
      <c r="G357" t="n">
        <v>5</v>
      </c>
      <c r="H357" t="n">
        <v>0</v>
      </c>
      <c r="I357" t="n">
        <v>0</v>
      </c>
      <c r="J357" t="n">
        <v>0</v>
      </c>
      <c r="K357" t="n">
        <v>0</v>
      </c>
      <c r="L357" t="n">
        <v>0</v>
      </c>
      <c r="M357" t="n">
        <v>0</v>
      </c>
      <c r="N357" t="n">
        <v>0</v>
      </c>
      <c r="O357" t="n">
        <v>0</v>
      </c>
      <c r="P357" t="n">
        <v>0</v>
      </c>
      <c r="Q357" t="n">
        <v>0</v>
      </c>
      <c r="R357" s="2" t="inlineStr"/>
    </row>
    <row r="358" ht="15" customHeight="1">
      <c r="A358" t="inlineStr">
        <is>
          <t>A 43101-2025</t>
        </is>
      </c>
      <c r="B358" s="1" t="n">
        <v>45909.63577546296</v>
      </c>
      <c r="C358" s="1" t="n">
        <v>46074</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42676-2025</t>
        </is>
      </c>
      <c r="B359" s="1" t="n">
        <v>45908.32333333333</v>
      </c>
      <c r="C359" s="1" t="n">
        <v>46074</v>
      </c>
      <c r="D359" t="inlineStr">
        <is>
          <t>NORRBOTTENS LÄN</t>
        </is>
      </c>
      <c r="E359" t="inlineStr">
        <is>
          <t>PITEÅ</t>
        </is>
      </c>
      <c r="F359" t="inlineStr">
        <is>
          <t>Sveaskog</t>
        </is>
      </c>
      <c r="G359" t="n">
        <v>17.9</v>
      </c>
      <c r="H359" t="n">
        <v>0</v>
      </c>
      <c r="I359" t="n">
        <v>0</v>
      </c>
      <c r="J359" t="n">
        <v>0</v>
      </c>
      <c r="K359" t="n">
        <v>0</v>
      </c>
      <c r="L359" t="n">
        <v>0</v>
      </c>
      <c r="M359" t="n">
        <v>0</v>
      </c>
      <c r="N359" t="n">
        <v>0</v>
      </c>
      <c r="O359" t="n">
        <v>0</v>
      </c>
      <c r="P359" t="n">
        <v>0</v>
      </c>
      <c r="Q359" t="n">
        <v>0</v>
      </c>
      <c r="R359" s="2" t="inlineStr"/>
    </row>
    <row r="360" ht="15" customHeight="1">
      <c r="A360" t="inlineStr">
        <is>
          <t>A 43049-2025</t>
        </is>
      </c>
      <c r="B360" s="1" t="n">
        <v>45909.56523148148</v>
      </c>
      <c r="C360" s="1" t="n">
        <v>46074</v>
      </c>
      <c r="D360" t="inlineStr">
        <is>
          <t>NORRBOTTENS LÄN</t>
        </is>
      </c>
      <c r="E360" t="inlineStr">
        <is>
          <t>PITEÅ</t>
        </is>
      </c>
      <c r="G360" t="n">
        <v>5.1</v>
      </c>
      <c r="H360" t="n">
        <v>0</v>
      </c>
      <c r="I360" t="n">
        <v>0</v>
      </c>
      <c r="J360" t="n">
        <v>0</v>
      </c>
      <c r="K360" t="n">
        <v>0</v>
      </c>
      <c r="L360" t="n">
        <v>0</v>
      </c>
      <c r="M360" t="n">
        <v>0</v>
      </c>
      <c r="N360" t="n">
        <v>0</v>
      </c>
      <c r="O360" t="n">
        <v>0</v>
      </c>
      <c r="P360" t="n">
        <v>0</v>
      </c>
      <c r="Q360" t="n">
        <v>0</v>
      </c>
      <c r="R360" s="2" t="inlineStr"/>
    </row>
    <row r="361" ht="15" customHeight="1">
      <c r="A361" t="inlineStr">
        <is>
          <t>A 33114-2025</t>
        </is>
      </c>
      <c r="B361" s="1" t="n">
        <v>45840</v>
      </c>
      <c r="C361" s="1" t="n">
        <v>46074</v>
      </c>
      <c r="D361" t="inlineStr">
        <is>
          <t>NORRBOTTENS LÄN</t>
        </is>
      </c>
      <c r="E361" t="inlineStr">
        <is>
          <t>PITEÅ</t>
        </is>
      </c>
      <c r="G361" t="n">
        <v>3.7</v>
      </c>
      <c r="H361" t="n">
        <v>0</v>
      </c>
      <c r="I361" t="n">
        <v>0</v>
      </c>
      <c r="J361" t="n">
        <v>0</v>
      </c>
      <c r="K361" t="n">
        <v>0</v>
      </c>
      <c r="L361" t="n">
        <v>0</v>
      </c>
      <c r="M361" t="n">
        <v>0</v>
      </c>
      <c r="N361" t="n">
        <v>0</v>
      </c>
      <c r="O361" t="n">
        <v>0</v>
      </c>
      <c r="P361" t="n">
        <v>0</v>
      </c>
      <c r="Q361" t="n">
        <v>0</v>
      </c>
      <c r="R361" s="2" t="inlineStr"/>
    </row>
    <row r="362" ht="15" customHeight="1">
      <c r="A362" t="inlineStr">
        <is>
          <t>A 43422-2025</t>
        </is>
      </c>
      <c r="B362" s="1" t="n">
        <v>45911.40783564815</v>
      </c>
      <c r="C362" s="1" t="n">
        <v>46074</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64971-2023</t>
        </is>
      </c>
      <c r="B363" s="1" t="n">
        <v>45285.40332175926</v>
      </c>
      <c r="C363" s="1" t="n">
        <v>46074</v>
      </c>
      <c r="D363" t="inlineStr">
        <is>
          <t>NORRBOTTENS LÄN</t>
        </is>
      </c>
      <c r="E363" t="inlineStr">
        <is>
          <t>PITEÅ</t>
        </is>
      </c>
      <c r="G363" t="n">
        <v>1.4</v>
      </c>
      <c r="H363" t="n">
        <v>0</v>
      </c>
      <c r="I363" t="n">
        <v>0</v>
      </c>
      <c r="J363" t="n">
        <v>0</v>
      </c>
      <c r="K363" t="n">
        <v>0</v>
      </c>
      <c r="L363" t="n">
        <v>0</v>
      </c>
      <c r="M363" t="n">
        <v>0</v>
      </c>
      <c r="N363" t="n">
        <v>0</v>
      </c>
      <c r="O363" t="n">
        <v>0</v>
      </c>
      <c r="P363" t="n">
        <v>0</v>
      </c>
      <c r="Q363" t="n">
        <v>0</v>
      </c>
      <c r="R363" s="2" t="inlineStr"/>
    </row>
    <row r="364" ht="15" customHeight="1">
      <c r="A364" t="inlineStr">
        <is>
          <t>A 43627-2025</t>
        </is>
      </c>
      <c r="B364" s="1" t="n">
        <v>45911.69847222222</v>
      </c>
      <c r="C364" s="1" t="n">
        <v>46074</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43147-2025</t>
        </is>
      </c>
      <c r="B365" s="1" t="n">
        <v>45910.31901620371</v>
      </c>
      <c r="C365" s="1" t="n">
        <v>46074</v>
      </c>
      <c r="D365" t="inlineStr">
        <is>
          <t>NORRBOTTENS LÄN</t>
        </is>
      </c>
      <c r="E365" t="inlineStr">
        <is>
          <t>PITEÅ</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33863-2025</t>
        </is>
      </c>
      <c r="B366" s="1" t="n">
        <v>45842</v>
      </c>
      <c r="C366" s="1" t="n">
        <v>46074</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43420-2025</t>
        </is>
      </c>
      <c r="B367" s="1" t="n">
        <v>45911.40762731482</v>
      </c>
      <c r="C367" s="1" t="n">
        <v>46074</v>
      </c>
      <c r="D367" t="inlineStr">
        <is>
          <t>NORRBOTTENS LÄN</t>
        </is>
      </c>
      <c r="E367" t="inlineStr">
        <is>
          <t>PITEÅ</t>
        </is>
      </c>
      <c r="G367" t="n">
        <v>5.3</v>
      </c>
      <c r="H367" t="n">
        <v>0</v>
      </c>
      <c r="I367" t="n">
        <v>0</v>
      </c>
      <c r="J367" t="n">
        <v>0</v>
      </c>
      <c r="K367" t="n">
        <v>0</v>
      </c>
      <c r="L367" t="n">
        <v>0</v>
      </c>
      <c r="M367" t="n">
        <v>0</v>
      </c>
      <c r="N367" t="n">
        <v>0</v>
      </c>
      <c r="O367" t="n">
        <v>0</v>
      </c>
      <c r="P367" t="n">
        <v>0</v>
      </c>
      <c r="Q367" t="n">
        <v>0</v>
      </c>
      <c r="R367" s="2" t="inlineStr"/>
    </row>
    <row r="368" ht="15" customHeight="1">
      <c r="A368" t="inlineStr">
        <is>
          <t>A 43365-2025</t>
        </is>
      </c>
      <c r="B368" s="1" t="n">
        <v>45911.34506944445</v>
      </c>
      <c r="C368" s="1" t="n">
        <v>46074</v>
      </c>
      <c r="D368" t="inlineStr">
        <is>
          <t>NORRBOTTENS LÄN</t>
        </is>
      </c>
      <c r="E368" t="inlineStr">
        <is>
          <t>PITEÅ</t>
        </is>
      </c>
      <c r="G368" t="n">
        <v>11.2</v>
      </c>
      <c r="H368" t="n">
        <v>0</v>
      </c>
      <c r="I368" t="n">
        <v>0</v>
      </c>
      <c r="J368" t="n">
        <v>0</v>
      </c>
      <c r="K368" t="n">
        <v>0</v>
      </c>
      <c r="L368" t="n">
        <v>0</v>
      </c>
      <c r="M368" t="n">
        <v>0</v>
      </c>
      <c r="N368" t="n">
        <v>0</v>
      </c>
      <c r="O368" t="n">
        <v>0</v>
      </c>
      <c r="P368" t="n">
        <v>0</v>
      </c>
      <c r="Q368" t="n">
        <v>0</v>
      </c>
      <c r="R368" s="2" t="inlineStr"/>
    </row>
    <row r="369" ht="15" customHeight="1">
      <c r="A369" t="inlineStr">
        <is>
          <t>A 43366-2025</t>
        </is>
      </c>
      <c r="B369" s="1" t="n">
        <v>45911.34520833333</v>
      </c>
      <c r="C369" s="1" t="n">
        <v>46074</v>
      </c>
      <c r="D369" t="inlineStr">
        <is>
          <t>NORRBOTTENS LÄN</t>
        </is>
      </c>
      <c r="E369" t="inlineStr">
        <is>
          <t>PITEÅ</t>
        </is>
      </c>
      <c r="G369" t="n">
        <v>7.4</v>
      </c>
      <c r="H369" t="n">
        <v>0</v>
      </c>
      <c r="I369" t="n">
        <v>0</v>
      </c>
      <c r="J369" t="n">
        <v>0</v>
      </c>
      <c r="K369" t="n">
        <v>0</v>
      </c>
      <c r="L369" t="n">
        <v>0</v>
      </c>
      <c r="M369" t="n">
        <v>0</v>
      </c>
      <c r="N369" t="n">
        <v>0</v>
      </c>
      <c r="O369" t="n">
        <v>0</v>
      </c>
      <c r="P369" t="n">
        <v>0</v>
      </c>
      <c r="Q369" t="n">
        <v>0</v>
      </c>
      <c r="R369" s="2" t="inlineStr"/>
    </row>
    <row r="370" ht="15" customHeight="1">
      <c r="A370" t="inlineStr">
        <is>
          <t>A 43421-2025</t>
        </is>
      </c>
      <c r="B370" s="1" t="n">
        <v>45911.40780092592</v>
      </c>
      <c r="C370" s="1" t="n">
        <v>46074</v>
      </c>
      <c r="D370" t="inlineStr">
        <is>
          <t>NORRBOTTENS LÄN</t>
        </is>
      </c>
      <c r="E370" t="inlineStr">
        <is>
          <t>PITEÅ</t>
        </is>
      </c>
      <c r="G370" t="n">
        <v>0.7</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45915.55196759259</v>
      </c>
      <c r="C371" s="1" t="n">
        <v>46074</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46074</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44058-2025</t>
        </is>
      </c>
      <c r="B373" s="1" t="n">
        <v>45915.53155092592</v>
      </c>
      <c r="C373" s="1" t="n">
        <v>46074</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4329-2025</t>
        </is>
      </c>
      <c r="B374" s="1" t="n">
        <v>45685</v>
      </c>
      <c r="C374" s="1" t="n">
        <v>46074</v>
      </c>
      <c r="D374" t="inlineStr">
        <is>
          <t>NORRBOTTENS LÄN</t>
        </is>
      </c>
      <c r="E374" t="inlineStr">
        <is>
          <t>PITEÅ</t>
        </is>
      </c>
      <c r="G374" t="n">
        <v>10.8</v>
      </c>
      <c r="H374" t="n">
        <v>0</v>
      </c>
      <c r="I374" t="n">
        <v>0</v>
      </c>
      <c r="J374" t="n">
        <v>0</v>
      </c>
      <c r="K374" t="n">
        <v>0</v>
      </c>
      <c r="L374" t="n">
        <v>0</v>
      </c>
      <c r="M374" t="n">
        <v>0</v>
      </c>
      <c r="N374" t="n">
        <v>0</v>
      </c>
      <c r="O374" t="n">
        <v>0</v>
      </c>
      <c r="P374" t="n">
        <v>0</v>
      </c>
      <c r="Q374" t="n">
        <v>0</v>
      </c>
      <c r="R374" s="2" t="inlineStr"/>
    </row>
    <row r="375" ht="15" customHeight="1">
      <c r="A375" t="inlineStr">
        <is>
          <t>A 64307-2023</t>
        </is>
      </c>
      <c r="B375" s="1" t="n">
        <v>45279</v>
      </c>
      <c r="C375" s="1" t="n">
        <v>46074</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46074</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54755-2024</t>
        </is>
      </c>
      <c r="B377" s="1" t="n">
        <v>45618</v>
      </c>
      <c r="C377" s="1" t="n">
        <v>46074</v>
      </c>
      <c r="D377" t="inlineStr">
        <is>
          <t>NORRBOTTENS LÄN</t>
        </is>
      </c>
      <c r="E377" t="inlineStr">
        <is>
          <t>PITEÅ</t>
        </is>
      </c>
      <c r="G377" t="n">
        <v>4.1</v>
      </c>
      <c r="H377" t="n">
        <v>0</v>
      </c>
      <c r="I377" t="n">
        <v>0</v>
      </c>
      <c r="J377" t="n">
        <v>0</v>
      </c>
      <c r="K377" t="n">
        <v>0</v>
      </c>
      <c r="L377" t="n">
        <v>0</v>
      </c>
      <c r="M377" t="n">
        <v>0</v>
      </c>
      <c r="N377" t="n">
        <v>0</v>
      </c>
      <c r="O377" t="n">
        <v>0</v>
      </c>
      <c r="P377" t="n">
        <v>0</v>
      </c>
      <c r="Q377" t="n">
        <v>0</v>
      </c>
      <c r="R377" s="2" t="inlineStr"/>
    </row>
    <row r="378" ht="15" customHeight="1">
      <c r="A378" t="inlineStr">
        <is>
          <t>A 54761-2024</t>
        </is>
      </c>
      <c r="B378" s="1" t="n">
        <v>45618.46251157407</v>
      </c>
      <c r="C378" s="1" t="n">
        <v>46074</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33862-2025</t>
        </is>
      </c>
      <c r="B379" s="1" t="n">
        <v>45842</v>
      </c>
      <c r="C379" s="1" t="n">
        <v>46074</v>
      </c>
      <c r="D379" t="inlineStr">
        <is>
          <t>NORRBOTTENS LÄN</t>
        </is>
      </c>
      <c r="E379" t="inlineStr">
        <is>
          <t>PITEÅ</t>
        </is>
      </c>
      <c r="G379" t="n">
        <v>2.9</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46074</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46074</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46074</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46074</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46074</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46074</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46074</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46074</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46074</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46074</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34880-2025</t>
        </is>
      </c>
      <c r="B390" s="1" t="n">
        <v>45849.46875</v>
      </c>
      <c r="C390" s="1" t="n">
        <v>46074</v>
      </c>
      <c r="D390" t="inlineStr">
        <is>
          <t>NORRBOTTENS LÄN</t>
        </is>
      </c>
      <c r="E390" t="inlineStr">
        <is>
          <t>PITEÅ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34733-2025</t>
        </is>
      </c>
      <c r="B391" s="1" t="n">
        <v>45848.59751157407</v>
      </c>
      <c r="C391" s="1" t="n">
        <v>46074</v>
      </c>
      <c r="D391" t="inlineStr">
        <is>
          <t>NORRBOTTENS LÄN</t>
        </is>
      </c>
      <c r="E391" t="inlineStr">
        <is>
          <t>PITEÅ</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44581-2025</t>
        </is>
      </c>
      <c r="B392" s="1" t="n">
        <v>45917.40671296296</v>
      </c>
      <c r="C392" s="1" t="n">
        <v>46074</v>
      </c>
      <c r="D392" t="inlineStr">
        <is>
          <t>NORRBOTTENS LÄN</t>
        </is>
      </c>
      <c r="E392" t="inlineStr">
        <is>
          <t>PITEÅ</t>
        </is>
      </c>
      <c r="G392" t="n">
        <v>3.8</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46074</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34677-2025</t>
        </is>
      </c>
      <c r="B394" s="1" t="n">
        <v>45848</v>
      </c>
      <c r="C394" s="1" t="n">
        <v>46074</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34675-2025</t>
        </is>
      </c>
      <c r="B395" s="1" t="n">
        <v>45848.41678240741</v>
      </c>
      <c r="C395" s="1" t="n">
        <v>46074</v>
      </c>
      <c r="D395" t="inlineStr">
        <is>
          <t>NORRBOTTENS LÄN</t>
        </is>
      </c>
      <c r="E395" t="inlineStr">
        <is>
          <t>PITEÅ</t>
        </is>
      </c>
      <c r="F395" t="inlineStr">
        <is>
          <t>Sveaskog</t>
        </is>
      </c>
      <c r="G395" t="n">
        <v>14.1</v>
      </c>
      <c r="H395" t="n">
        <v>0</v>
      </c>
      <c r="I395" t="n">
        <v>0</v>
      </c>
      <c r="J395" t="n">
        <v>0</v>
      </c>
      <c r="K395" t="n">
        <v>0</v>
      </c>
      <c r="L395" t="n">
        <v>0</v>
      </c>
      <c r="M395" t="n">
        <v>0</v>
      </c>
      <c r="N395" t="n">
        <v>0</v>
      </c>
      <c r="O395" t="n">
        <v>0</v>
      </c>
      <c r="P395" t="n">
        <v>0</v>
      </c>
      <c r="Q395" t="n">
        <v>0</v>
      </c>
      <c r="R395" s="2" t="inlineStr"/>
    </row>
    <row r="396" ht="15" customHeight="1">
      <c r="A396" t="inlineStr">
        <is>
          <t>A 34796-2025</t>
        </is>
      </c>
      <c r="B396" s="1" t="n">
        <v>45848.79878472222</v>
      </c>
      <c r="C396" s="1" t="n">
        <v>46074</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34809-2025</t>
        </is>
      </c>
      <c r="B397" s="1" t="n">
        <v>45849.34408564815</v>
      </c>
      <c r="C397" s="1" t="n">
        <v>46074</v>
      </c>
      <c r="D397" t="inlineStr">
        <is>
          <t>NORRBOTTENS LÄN</t>
        </is>
      </c>
      <c r="E397" t="inlineStr">
        <is>
          <t>PITEÅ</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29944-2024</t>
        </is>
      </c>
      <c r="B398" s="1" t="n">
        <v>45488.42760416667</v>
      </c>
      <c r="C398" s="1" t="n">
        <v>46074</v>
      </c>
      <c r="D398" t="inlineStr">
        <is>
          <t>NORRBOTTENS LÄN</t>
        </is>
      </c>
      <c r="E398" t="inlineStr">
        <is>
          <t>PITEÅ</t>
        </is>
      </c>
      <c r="G398" t="n">
        <v>3.2</v>
      </c>
      <c r="H398" t="n">
        <v>0</v>
      </c>
      <c r="I398" t="n">
        <v>0</v>
      </c>
      <c r="J398" t="n">
        <v>0</v>
      </c>
      <c r="K398" t="n">
        <v>0</v>
      </c>
      <c r="L398" t="n">
        <v>0</v>
      </c>
      <c r="M398" t="n">
        <v>0</v>
      </c>
      <c r="N398" t="n">
        <v>0</v>
      </c>
      <c r="O398" t="n">
        <v>0</v>
      </c>
      <c r="P398" t="n">
        <v>0</v>
      </c>
      <c r="Q398" t="n">
        <v>0</v>
      </c>
      <c r="R398" s="2" t="inlineStr"/>
    </row>
    <row r="399" ht="15" customHeight="1">
      <c r="A399" t="inlineStr">
        <is>
          <t>A 44359-2025</t>
        </is>
      </c>
      <c r="B399" s="1" t="n">
        <v>45916.45111111111</v>
      </c>
      <c r="C399" s="1" t="n">
        <v>46074</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28282-2021</t>
        </is>
      </c>
      <c r="B400" s="1" t="n">
        <v>44355</v>
      </c>
      <c r="C400" s="1" t="n">
        <v>46074</v>
      </c>
      <c r="D400" t="inlineStr">
        <is>
          <t>NORRBOTTENS LÄN</t>
        </is>
      </c>
      <c r="E400" t="inlineStr">
        <is>
          <t>PITEÅ</t>
        </is>
      </c>
      <c r="F400" t="inlineStr">
        <is>
          <t>SCA</t>
        </is>
      </c>
      <c r="G400" t="n">
        <v>13.6</v>
      </c>
      <c r="H400" t="n">
        <v>0</v>
      </c>
      <c r="I400" t="n">
        <v>0</v>
      </c>
      <c r="J400" t="n">
        <v>0</v>
      </c>
      <c r="K400" t="n">
        <v>0</v>
      </c>
      <c r="L400" t="n">
        <v>0</v>
      </c>
      <c r="M400" t="n">
        <v>0</v>
      </c>
      <c r="N400" t="n">
        <v>0</v>
      </c>
      <c r="O400" t="n">
        <v>0</v>
      </c>
      <c r="P400" t="n">
        <v>0</v>
      </c>
      <c r="Q400" t="n">
        <v>0</v>
      </c>
      <c r="R400" s="2" t="inlineStr"/>
    </row>
    <row r="401" ht="15" customHeight="1">
      <c r="A401" t="inlineStr">
        <is>
          <t>A 34797-2025</t>
        </is>
      </c>
      <c r="B401" s="1" t="n">
        <v>45848.80690972223</v>
      </c>
      <c r="C401" s="1" t="n">
        <v>46074</v>
      </c>
      <c r="D401" t="inlineStr">
        <is>
          <t>NORRBOTTENS LÄN</t>
        </is>
      </c>
      <c r="E401" t="inlineStr">
        <is>
          <t>PITEÅ</t>
        </is>
      </c>
      <c r="G401" t="n">
        <v>2.6</v>
      </c>
      <c r="H401" t="n">
        <v>0</v>
      </c>
      <c r="I401" t="n">
        <v>0</v>
      </c>
      <c r="J401" t="n">
        <v>0</v>
      </c>
      <c r="K401" t="n">
        <v>0</v>
      </c>
      <c r="L401" t="n">
        <v>0</v>
      </c>
      <c r="M401" t="n">
        <v>0</v>
      </c>
      <c r="N401" t="n">
        <v>0</v>
      </c>
      <c r="O401" t="n">
        <v>0</v>
      </c>
      <c r="P401" t="n">
        <v>0</v>
      </c>
      <c r="Q401" t="n">
        <v>0</v>
      </c>
      <c r="R401" s="2" t="inlineStr"/>
    </row>
    <row r="402" ht="15" customHeight="1">
      <c r="A402" t="inlineStr">
        <is>
          <t>A 44732-2025</t>
        </is>
      </c>
      <c r="B402" s="1" t="n">
        <v>45917.65427083334</v>
      </c>
      <c r="C402" s="1" t="n">
        <v>46074</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39560-2023</t>
        </is>
      </c>
      <c r="B403" s="1" t="n">
        <v>45167.39181712963</v>
      </c>
      <c r="C403" s="1" t="n">
        <v>46074</v>
      </c>
      <c r="D403" t="inlineStr">
        <is>
          <t>NORRBOTTENS LÄN</t>
        </is>
      </c>
      <c r="E403" t="inlineStr">
        <is>
          <t>PITEÅ</t>
        </is>
      </c>
      <c r="F403" t="inlineStr">
        <is>
          <t>Sveaskog</t>
        </is>
      </c>
      <c r="G403" t="n">
        <v>4.6</v>
      </c>
      <c r="H403" t="n">
        <v>0</v>
      </c>
      <c r="I403" t="n">
        <v>0</v>
      </c>
      <c r="J403" t="n">
        <v>0</v>
      </c>
      <c r="K403" t="n">
        <v>0</v>
      </c>
      <c r="L403" t="n">
        <v>0</v>
      </c>
      <c r="M403" t="n">
        <v>0</v>
      </c>
      <c r="N403" t="n">
        <v>0</v>
      </c>
      <c r="O403" t="n">
        <v>0</v>
      </c>
      <c r="P403" t="n">
        <v>0</v>
      </c>
      <c r="Q403" t="n">
        <v>0</v>
      </c>
      <c r="R403" s="2" t="inlineStr"/>
    </row>
    <row r="404" ht="15" customHeight="1">
      <c r="A404" t="inlineStr">
        <is>
          <t>A 45062-2025</t>
        </is>
      </c>
      <c r="B404" s="1" t="n">
        <v>45919.34480324074</v>
      </c>
      <c r="C404" s="1" t="n">
        <v>46074</v>
      </c>
      <c r="D404" t="inlineStr">
        <is>
          <t>NORRBOTTENS LÄN</t>
        </is>
      </c>
      <c r="E404" t="inlineStr">
        <is>
          <t>PITEÅ</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43297-2021</t>
        </is>
      </c>
      <c r="B405" s="1" t="n">
        <v>44432</v>
      </c>
      <c r="C405" s="1" t="n">
        <v>46074</v>
      </c>
      <c r="D405" t="inlineStr">
        <is>
          <t>NORRBOTTENS LÄN</t>
        </is>
      </c>
      <c r="E405" t="inlineStr">
        <is>
          <t>PITEÅ</t>
        </is>
      </c>
      <c r="G405" t="n">
        <v>5.6</v>
      </c>
      <c r="H405" t="n">
        <v>0</v>
      </c>
      <c r="I405" t="n">
        <v>0</v>
      </c>
      <c r="J405" t="n">
        <v>0</v>
      </c>
      <c r="K405" t="n">
        <v>0</v>
      </c>
      <c r="L405" t="n">
        <v>0</v>
      </c>
      <c r="M405" t="n">
        <v>0</v>
      </c>
      <c r="N405" t="n">
        <v>0</v>
      </c>
      <c r="O405" t="n">
        <v>0</v>
      </c>
      <c r="P405" t="n">
        <v>0</v>
      </c>
      <c r="Q405" t="n">
        <v>0</v>
      </c>
      <c r="R405" s="2" t="inlineStr"/>
    </row>
    <row r="406" ht="15" customHeight="1">
      <c r="A406" t="inlineStr">
        <is>
          <t>A 5524-2024</t>
        </is>
      </c>
      <c r="B406" s="1" t="n">
        <v>45334.3878125</v>
      </c>
      <c r="C406" s="1" t="n">
        <v>46074</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45148-2025</t>
        </is>
      </c>
      <c r="B407" s="1" t="n">
        <v>45919.46903935185</v>
      </c>
      <c r="C407" s="1" t="n">
        <v>46074</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35402-2025</t>
        </is>
      </c>
      <c r="B408" s="1" t="n">
        <v>45855.34423611111</v>
      </c>
      <c r="C408" s="1" t="n">
        <v>46074</v>
      </c>
      <c r="D408" t="inlineStr">
        <is>
          <t>NORRBOTTENS LÄN</t>
        </is>
      </c>
      <c r="E408" t="inlineStr">
        <is>
          <t>PITEÅ</t>
        </is>
      </c>
      <c r="G408" t="n">
        <v>1.5</v>
      </c>
      <c r="H408" t="n">
        <v>0</v>
      </c>
      <c r="I408" t="n">
        <v>0</v>
      </c>
      <c r="J408" t="n">
        <v>0</v>
      </c>
      <c r="K408" t="n">
        <v>0</v>
      </c>
      <c r="L408" t="n">
        <v>0</v>
      </c>
      <c r="M408" t="n">
        <v>0</v>
      </c>
      <c r="N408" t="n">
        <v>0</v>
      </c>
      <c r="O408" t="n">
        <v>0</v>
      </c>
      <c r="P408" t="n">
        <v>0</v>
      </c>
      <c r="Q408" t="n">
        <v>0</v>
      </c>
      <c r="R408" s="2" t="inlineStr"/>
    </row>
    <row r="409" ht="15" customHeight="1">
      <c r="A409" t="inlineStr">
        <is>
          <t>A 45061-2025</t>
        </is>
      </c>
      <c r="B409" s="1" t="n">
        <v>45919.34473379629</v>
      </c>
      <c r="C409" s="1" t="n">
        <v>46074</v>
      </c>
      <c r="D409" t="inlineStr">
        <is>
          <t>NORRBOTTENS LÄN</t>
        </is>
      </c>
      <c r="E409" t="inlineStr">
        <is>
          <t>PITEÅ</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57052-2023</t>
        </is>
      </c>
      <c r="B410" s="1" t="n">
        <v>45244</v>
      </c>
      <c r="C410" s="1" t="n">
        <v>46074</v>
      </c>
      <c r="D410" t="inlineStr">
        <is>
          <t>NORRBOTTENS LÄN</t>
        </is>
      </c>
      <c r="E410" t="inlineStr">
        <is>
          <t>PITEÅ</t>
        </is>
      </c>
      <c r="G410" t="n">
        <v>4.2</v>
      </c>
      <c r="H410" t="n">
        <v>0</v>
      </c>
      <c r="I410" t="n">
        <v>0</v>
      </c>
      <c r="J410" t="n">
        <v>0</v>
      </c>
      <c r="K410" t="n">
        <v>0</v>
      </c>
      <c r="L410" t="n">
        <v>0</v>
      </c>
      <c r="M410" t="n">
        <v>0</v>
      </c>
      <c r="N410" t="n">
        <v>0</v>
      </c>
      <c r="O410" t="n">
        <v>0</v>
      </c>
      <c r="P410" t="n">
        <v>0</v>
      </c>
      <c r="Q410" t="n">
        <v>0</v>
      </c>
      <c r="R410" s="2" t="inlineStr"/>
    </row>
    <row r="411" ht="15" customHeight="1">
      <c r="A411" t="inlineStr">
        <is>
          <t>A 57054-2023</t>
        </is>
      </c>
      <c r="B411" s="1" t="n">
        <v>45244</v>
      </c>
      <c r="C411" s="1" t="n">
        <v>46074</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45067-2025</t>
        </is>
      </c>
      <c r="B412" s="1" t="n">
        <v>45919.34576388889</v>
      </c>
      <c r="C412" s="1" t="n">
        <v>46074</v>
      </c>
      <c r="D412" t="inlineStr">
        <is>
          <t>NORRBOTTENS LÄN</t>
        </is>
      </c>
      <c r="E412" t="inlineStr">
        <is>
          <t>PITEÅ</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45072-2025</t>
        </is>
      </c>
      <c r="B413" s="1" t="n">
        <v>45919.35890046296</v>
      </c>
      <c r="C413" s="1" t="n">
        <v>46074</v>
      </c>
      <c r="D413" t="inlineStr">
        <is>
          <t>NORRBOTTENS LÄN</t>
        </is>
      </c>
      <c r="E413" t="inlineStr">
        <is>
          <t>PITEÅ</t>
        </is>
      </c>
      <c r="G413" t="n">
        <v>6.6</v>
      </c>
      <c r="H413" t="n">
        <v>0</v>
      </c>
      <c r="I413" t="n">
        <v>0</v>
      </c>
      <c r="J413" t="n">
        <v>0</v>
      </c>
      <c r="K413" t="n">
        <v>0</v>
      </c>
      <c r="L413" t="n">
        <v>0</v>
      </c>
      <c r="M413" t="n">
        <v>0</v>
      </c>
      <c r="N413" t="n">
        <v>0</v>
      </c>
      <c r="O413" t="n">
        <v>0</v>
      </c>
      <c r="P413" t="n">
        <v>0</v>
      </c>
      <c r="Q413" t="n">
        <v>0</v>
      </c>
      <c r="R413" s="2" t="inlineStr"/>
    </row>
    <row r="414" ht="15" customHeight="1">
      <c r="A414" t="inlineStr">
        <is>
          <t>A 24989-2025</t>
        </is>
      </c>
      <c r="B414" s="1" t="n">
        <v>45799.60884259259</v>
      </c>
      <c r="C414" s="1" t="n">
        <v>46074</v>
      </c>
      <c r="D414" t="inlineStr">
        <is>
          <t>NORRBOTTENS LÄN</t>
        </is>
      </c>
      <c r="E414" t="inlineStr">
        <is>
          <t>PITEÅ</t>
        </is>
      </c>
      <c r="G414" t="n">
        <v>11.7</v>
      </c>
      <c r="H414" t="n">
        <v>0</v>
      </c>
      <c r="I414" t="n">
        <v>0</v>
      </c>
      <c r="J414" t="n">
        <v>0</v>
      </c>
      <c r="K414" t="n">
        <v>0</v>
      </c>
      <c r="L414" t="n">
        <v>0</v>
      </c>
      <c r="M414" t="n">
        <v>0</v>
      </c>
      <c r="N414" t="n">
        <v>0</v>
      </c>
      <c r="O414" t="n">
        <v>0</v>
      </c>
      <c r="P414" t="n">
        <v>0</v>
      </c>
      <c r="Q414" t="n">
        <v>0</v>
      </c>
      <c r="R414" s="2" t="inlineStr"/>
    </row>
    <row r="415" ht="15" customHeight="1">
      <c r="A415" t="inlineStr">
        <is>
          <t>A 30477-2025</t>
        </is>
      </c>
      <c r="B415" s="1" t="n">
        <v>45828.40693287037</v>
      </c>
      <c r="C415" s="1" t="n">
        <v>46074</v>
      </c>
      <c r="D415" t="inlineStr">
        <is>
          <t>NORRBOTTENS LÄN</t>
        </is>
      </c>
      <c r="E415" t="inlineStr">
        <is>
          <t>PITEÅ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44401-2024</t>
        </is>
      </c>
      <c r="B416" s="1" t="n">
        <v>45573.70684027778</v>
      </c>
      <c r="C416" s="1" t="n">
        <v>46074</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46074</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46074</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35054-2021</t>
        </is>
      </c>
      <c r="B419" s="1" t="n">
        <v>44383</v>
      </c>
      <c r="C419" s="1" t="n">
        <v>46074</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44596.92112268518</v>
      </c>
      <c r="C420" s="1" t="n">
        <v>46074</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10544-2022</t>
        </is>
      </c>
      <c r="B421" s="1" t="n">
        <v>44623</v>
      </c>
      <c r="C421" s="1" t="n">
        <v>46074</v>
      </c>
      <c r="D421" t="inlineStr">
        <is>
          <t>NORRBOTTENS LÄN</t>
        </is>
      </c>
      <c r="E421" t="inlineStr">
        <is>
          <t>PITEÅ</t>
        </is>
      </c>
      <c r="G421" t="n">
        <v>21.9</v>
      </c>
      <c r="H421" t="n">
        <v>0</v>
      </c>
      <c r="I421" t="n">
        <v>0</v>
      </c>
      <c r="J421" t="n">
        <v>0</v>
      </c>
      <c r="K421" t="n">
        <v>0</v>
      </c>
      <c r="L421" t="n">
        <v>0</v>
      </c>
      <c r="M421" t="n">
        <v>0</v>
      </c>
      <c r="N421" t="n">
        <v>0</v>
      </c>
      <c r="O421" t="n">
        <v>0</v>
      </c>
      <c r="P421" t="n">
        <v>0</v>
      </c>
      <c r="Q421" t="n">
        <v>0</v>
      </c>
      <c r="R421" s="2" t="inlineStr"/>
    </row>
    <row r="422" ht="15" customHeight="1">
      <c r="A422" t="inlineStr">
        <is>
          <t>A 45583-2025</t>
        </is>
      </c>
      <c r="B422" s="1" t="n">
        <v>45922</v>
      </c>
      <c r="C422" s="1" t="n">
        <v>46074</v>
      </c>
      <c r="D422" t="inlineStr">
        <is>
          <t>NORRBOTTENS LÄN</t>
        </is>
      </c>
      <c r="E422" t="inlineStr">
        <is>
          <t>PITEÅ</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4330-2022</t>
        </is>
      </c>
      <c r="B423" s="1" t="n">
        <v>44588</v>
      </c>
      <c r="C423" s="1" t="n">
        <v>46074</v>
      </c>
      <c r="D423" t="inlineStr">
        <is>
          <t>NORRBOTTENS LÄN</t>
        </is>
      </c>
      <c r="E423" t="inlineStr">
        <is>
          <t>PITEÅ</t>
        </is>
      </c>
      <c r="G423" t="n">
        <v>0.9</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46074</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45594-2025</t>
        </is>
      </c>
      <c r="B425" s="1" t="n">
        <v>45922.67793981481</v>
      </c>
      <c r="C425" s="1" t="n">
        <v>46074</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23880-2022</t>
        </is>
      </c>
      <c r="B426" s="1" t="n">
        <v>44722.56501157407</v>
      </c>
      <c r="C426" s="1" t="n">
        <v>46074</v>
      </c>
      <c r="D426" t="inlineStr">
        <is>
          <t>NORRBOTTENS LÄN</t>
        </is>
      </c>
      <c r="E426" t="inlineStr">
        <is>
          <t>PITEÅ</t>
        </is>
      </c>
      <c r="G426" t="n">
        <v>3.5</v>
      </c>
      <c r="H426" t="n">
        <v>0</v>
      </c>
      <c r="I426" t="n">
        <v>0</v>
      </c>
      <c r="J426" t="n">
        <v>0</v>
      </c>
      <c r="K426" t="n">
        <v>0</v>
      </c>
      <c r="L426" t="n">
        <v>0</v>
      </c>
      <c r="M426" t="n">
        <v>0</v>
      </c>
      <c r="N426" t="n">
        <v>0</v>
      </c>
      <c r="O426" t="n">
        <v>0</v>
      </c>
      <c r="P426" t="n">
        <v>0</v>
      </c>
      <c r="Q426" t="n">
        <v>0</v>
      </c>
      <c r="R426" s="2" t="inlineStr"/>
    </row>
    <row r="427" ht="15" customHeight="1">
      <c r="A427" t="inlineStr">
        <is>
          <t>A 65769-2021</t>
        </is>
      </c>
      <c r="B427" s="1" t="n">
        <v>44516</v>
      </c>
      <c r="C427" s="1" t="n">
        <v>46074</v>
      </c>
      <c r="D427" t="inlineStr">
        <is>
          <t>NORRBOTTENS LÄN</t>
        </is>
      </c>
      <c r="E427" t="inlineStr">
        <is>
          <t>PITEÅ</t>
        </is>
      </c>
      <c r="G427" t="n">
        <v>1.7</v>
      </c>
      <c r="H427" t="n">
        <v>0</v>
      </c>
      <c r="I427" t="n">
        <v>0</v>
      </c>
      <c r="J427" t="n">
        <v>0</v>
      </c>
      <c r="K427" t="n">
        <v>0</v>
      </c>
      <c r="L427" t="n">
        <v>0</v>
      </c>
      <c r="M427" t="n">
        <v>0</v>
      </c>
      <c r="N427" t="n">
        <v>0</v>
      </c>
      <c r="O427" t="n">
        <v>0</v>
      </c>
      <c r="P427" t="n">
        <v>0</v>
      </c>
      <c r="Q427" t="n">
        <v>0</v>
      </c>
      <c r="R427" s="2" t="inlineStr"/>
    </row>
    <row r="428" ht="15" customHeight="1">
      <c r="A428" t="inlineStr">
        <is>
          <t>A 26092-2021</t>
        </is>
      </c>
      <c r="B428" s="1" t="n">
        <v>44344</v>
      </c>
      <c r="C428" s="1" t="n">
        <v>46074</v>
      </c>
      <c r="D428" t="inlineStr">
        <is>
          <t>NORRBOTTENS LÄN</t>
        </is>
      </c>
      <c r="E428" t="inlineStr">
        <is>
          <t>PITEÅ</t>
        </is>
      </c>
      <c r="G428" t="n">
        <v>0.1</v>
      </c>
      <c r="H428" t="n">
        <v>0</v>
      </c>
      <c r="I428" t="n">
        <v>0</v>
      </c>
      <c r="J428" t="n">
        <v>0</v>
      </c>
      <c r="K428" t="n">
        <v>0</v>
      </c>
      <c r="L428" t="n">
        <v>0</v>
      </c>
      <c r="M428" t="n">
        <v>0</v>
      </c>
      <c r="N428" t="n">
        <v>0</v>
      </c>
      <c r="O428" t="n">
        <v>0</v>
      </c>
      <c r="P428" t="n">
        <v>0</v>
      </c>
      <c r="Q428" t="n">
        <v>0</v>
      </c>
      <c r="R428" s="2" t="inlineStr"/>
    </row>
    <row r="429" ht="15" customHeight="1">
      <c r="A429" t="inlineStr">
        <is>
          <t>A 35050-2021</t>
        </is>
      </c>
      <c r="B429" s="1" t="n">
        <v>44383</v>
      </c>
      <c r="C429" s="1" t="n">
        <v>46074</v>
      </c>
      <c r="D429" t="inlineStr">
        <is>
          <t>NORRBOTTENS LÄN</t>
        </is>
      </c>
      <c r="E429" t="inlineStr">
        <is>
          <t>PITEÅ</t>
        </is>
      </c>
      <c r="G429" t="n">
        <v>15.4</v>
      </c>
      <c r="H429" t="n">
        <v>0</v>
      </c>
      <c r="I429" t="n">
        <v>0</v>
      </c>
      <c r="J429" t="n">
        <v>0</v>
      </c>
      <c r="K429" t="n">
        <v>0</v>
      </c>
      <c r="L429" t="n">
        <v>0</v>
      </c>
      <c r="M429" t="n">
        <v>0</v>
      </c>
      <c r="N429" t="n">
        <v>0</v>
      </c>
      <c r="O429" t="n">
        <v>0</v>
      </c>
      <c r="P429" t="n">
        <v>0</v>
      </c>
      <c r="Q429" t="n">
        <v>0</v>
      </c>
      <c r="R429" s="2" t="inlineStr"/>
    </row>
    <row r="430" ht="15" customHeight="1">
      <c r="A430" t="inlineStr">
        <is>
          <t>A 35051-2021</t>
        </is>
      </c>
      <c r="B430" s="1" t="n">
        <v>44383</v>
      </c>
      <c r="C430" s="1" t="n">
        <v>46074</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35056-2021</t>
        </is>
      </c>
      <c r="B431" s="1" t="n">
        <v>44383</v>
      </c>
      <c r="C431" s="1" t="n">
        <v>46074</v>
      </c>
      <c r="D431" t="inlineStr">
        <is>
          <t>NORRBOTTENS LÄN</t>
        </is>
      </c>
      <c r="E431" t="inlineStr">
        <is>
          <t>PITEÅ</t>
        </is>
      </c>
      <c r="G431" t="n">
        <v>7.7</v>
      </c>
      <c r="H431" t="n">
        <v>0</v>
      </c>
      <c r="I431" t="n">
        <v>0</v>
      </c>
      <c r="J431" t="n">
        <v>0</v>
      </c>
      <c r="K431" t="n">
        <v>0</v>
      </c>
      <c r="L431" t="n">
        <v>0</v>
      </c>
      <c r="M431" t="n">
        <v>0</v>
      </c>
      <c r="N431" t="n">
        <v>0</v>
      </c>
      <c r="O431" t="n">
        <v>0</v>
      </c>
      <c r="P431" t="n">
        <v>0</v>
      </c>
      <c r="Q431" t="n">
        <v>0</v>
      </c>
      <c r="R431" s="2" t="inlineStr"/>
    </row>
    <row r="432" ht="15" customHeight="1">
      <c r="A432" t="inlineStr">
        <is>
          <t>A 35053-2021</t>
        </is>
      </c>
      <c r="B432" s="1" t="n">
        <v>44383</v>
      </c>
      <c r="C432" s="1" t="n">
        <v>46074</v>
      </c>
      <c r="D432" t="inlineStr">
        <is>
          <t>NORRBOTTENS LÄN</t>
        </is>
      </c>
      <c r="E432" t="inlineStr">
        <is>
          <t>PITEÅ</t>
        </is>
      </c>
      <c r="G432" t="n">
        <v>4.2</v>
      </c>
      <c r="H432" t="n">
        <v>0</v>
      </c>
      <c r="I432" t="n">
        <v>0</v>
      </c>
      <c r="J432" t="n">
        <v>0</v>
      </c>
      <c r="K432" t="n">
        <v>0</v>
      </c>
      <c r="L432" t="n">
        <v>0</v>
      </c>
      <c r="M432" t="n">
        <v>0</v>
      </c>
      <c r="N432" t="n">
        <v>0</v>
      </c>
      <c r="O432" t="n">
        <v>0</v>
      </c>
      <c r="P432" t="n">
        <v>0</v>
      </c>
      <c r="Q432" t="n">
        <v>0</v>
      </c>
      <c r="R432" s="2" t="inlineStr"/>
    </row>
    <row r="433" ht="15" customHeight="1">
      <c r="A433" t="inlineStr">
        <is>
          <t>A 35057-2021</t>
        </is>
      </c>
      <c r="B433" s="1" t="n">
        <v>44383</v>
      </c>
      <c r="C433" s="1" t="n">
        <v>46074</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45620-2025</t>
        </is>
      </c>
      <c r="B434" s="1" t="n">
        <v>45922.76864583333</v>
      </c>
      <c r="C434" s="1" t="n">
        <v>46074</v>
      </c>
      <c r="D434" t="inlineStr">
        <is>
          <t>NORRBOTTENS LÄN</t>
        </is>
      </c>
      <c r="E434" t="inlineStr">
        <is>
          <t>PITEÅ</t>
        </is>
      </c>
      <c r="G434" t="n">
        <v>2.1</v>
      </c>
      <c r="H434" t="n">
        <v>0</v>
      </c>
      <c r="I434" t="n">
        <v>0</v>
      </c>
      <c r="J434" t="n">
        <v>0</v>
      </c>
      <c r="K434" t="n">
        <v>0</v>
      </c>
      <c r="L434" t="n">
        <v>0</v>
      </c>
      <c r="M434" t="n">
        <v>0</v>
      </c>
      <c r="N434" t="n">
        <v>0</v>
      </c>
      <c r="O434" t="n">
        <v>0</v>
      </c>
      <c r="P434" t="n">
        <v>0</v>
      </c>
      <c r="Q434" t="n">
        <v>0</v>
      </c>
      <c r="R434" s="2" t="inlineStr"/>
    </row>
    <row r="435" ht="15" customHeight="1">
      <c r="A435" t="inlineStr">
        <is>
          <t>A 53633-2022</t>
        </is>
      </c>
      <c r="B435" s="1" t="n">
        <v>44879.9275</v>
      </c>
      <c r="C435" s="1" t="n">
        <v>46074</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31635-2022</t>
        </is>
      </c>
      <c r="B436" s="1" t="n">
        <v>44775.92741898148</v>
      </c>
      <c r="C436" s="1" t="n">
        <v>46074</v>
      </c>
      <c r="D436" t="inlineStr">
        <is>
          <t>NORRBOTTENS LÄN</t>
        </is>
      </c>
      <c r="E436" t="inlineStr">
        <is>
          <t>PITEÅ</t>
        </is>
      </c>
      <c r="G436" t="n">
        <v>2.9</v>
      </c>
      <c r="H436" t="n">
        <v>0</v>
      </c>
      <c r="I436" t="n">
        <v>0</v>
      </c>
      <c r="J436" t="n">
        <v>0</v>
      </c>
      <c r="K436" t="n">
        <v>0</v>
      </c>
      <c r="L436" t="n">
        <v>0</v>
      </c>
      <c r="M436" t="n">
        <v>0</v>
      </c>
      <c r="N436" t="n">
        <v>0</v>
      </c>
      <c r="O436" t="n">
        <v>0</v>
      </c>
      <c r="P436" t="n">
        <v>0</v>
      </c>
      <c r="Q436" t="n">
        <v>0</v>
      </c>
      <c r="R436" s="2" t="inlineStr"/>
    </row>
    <row r="437" ht="15" customHeight="1">
      <c r="A437" t="inlineStr">
        <is>
          <t>A 27268-2022</t>
        </is>
      </c>
      <c r="B437" s="1" t="n">
        <v>44741</v>
      </c>
      <c r="C437" s="1" t="n">
        <v>46074</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31164-2021</t>
        </is>
      </c>
      <c r="B438" s="1" t="n">
        <v>44368</v>
      </c>
      <c r="C438" s="1" t="n">
        <v>46074</v>
      </c>
      <c r="D438" t="inlineStr">
        <is>
          <t>NORRBOTTENS LÄN</t>
        </is>
      </c>
      <c r="E438" t="inlineStr">
        <is>
          <t>PITEÅ</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27270-2022</t>
        </is>
      </c>
      <c r="B439" s="1" t="n">
        <v>44741</v>
      </c>
      <c r="C439" s="1" t="n">
        <v>46074</v>
      </c>
      <c r="D439" t="inlineStr">
        <is>
          <t>NORRBOTTENS LÄN</t>
        </is>
      </c>
      <c r="E439" t="inlineStr">
        <is>
          <t>PITEÅ</t>
        </is>
      </c>
      <c r="G439" t="n">
        <v>1</v>
      </c>
      <c r="H439" t="n">
        <v>0</v>
      </c>
      <c r="I439" t="n">
        <v>0</v>
      </c>
      <c r="J439" t="n">
        <v>0</v>
      </c>
      <c r="K439" t="n">
        <v>0</v>
      </c>
      <c r="L439" t="n">
        <v>0</v>
      </c>
      <c r="M439" t="n">
        <v>0</v>
      </c>
      <c r="N439" t="n">
        <v>0</v>
      </c>
      <c r="O439" t="n">
        <v>0</v>
      </c>
      <c r="P439" t="n">
        <v>0</v>
      </c>
      <c r="Q439" t="n">
        <v>0</v>
      </c>
      <c r="R439" s="2" t="inlineStr"/>
    </row>
    <row r="440" ht="15" customHeight="1">
      <c r="A440" t="inlineStr">
        <is>
          <t>A 35408-2024</t>
        </is>
      </c>
      <c r="B440" s="1" t="n">
        <v>45531.40653935185</v>
      </c>
      <c r="C440" s="1" t="n">
        <v>46074</v>
      </c>
      <c r="D440" t="inlineStr">
        <is>
          <t>NORRBOTTENS LÄN</t>
        </is>
      </c>
      <c r="E440" t="inlineStr">
        <is>
          <t>PITEÅ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44712-2024</t>
        </is>
      </c>
      <c r="B441" s="1" t="n">
        <v>45574.57420138889</v>
      </c>
      <c r="C441" s="1" t="n">
        <v>46074</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44716-2024</t>
        </is>
      </c>
      <c r="B442" s="1" t="n">
        <v>45574.57457175926</v>
      </c>
      <c r="C442" s="1" t="n">
        <v>46074</v>
      </c>
      <c r="D442" t="inlineStr">
        <is>
          <t>NORRBOTTENS LÄN</t>
        </is>
      </c>
      <c r="E442" t="inlineStr">
        <is>
          <t>PITEÅ</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18740-2022</t>
        </is>
      </c>
      <c r="B443" s="1" t="n">
        <v>44687</v>
      </c>
      <c r="C443" s="1" t="n">
        <v>46074</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67376-2021</t>
        </is>
      </c>
      <c r="B444" s="1" t="n">
        <v>44523</v>
      </c>
      <c r="C444" s="1" t="n">
        <v>46074</v>
      </c>
      <c r="D444" t="inlineStr">
        <is>
          <t>NORRBOTTENS LÄN</t>
        </is>
      </c>
      <c r="E444" t="inlineStr">
        <is>
          <t>PITEÅ</t>
        </is>
      </c>
      <c r="G444" t="n">
        <v>4.6</v>
      </c>
      <c r="H444" t="n">
        <v>0</v>
      </c>
      <c r="I444" t="n">
        <v>0</v>
      </c>
      <c r="J444" t="n">
        <v>0</v>
      </c>
      <c r="K444" t="n">
        <v>0</v>
      </c>
      <c r="L444" t="n">
        <v>0</v>
      </c>
      <c r="M444" t="n">
        <v>0</v>
      </c>
      <c r="N444" t="n">
        <v>0</v>
      </c>
      <c r="O444" t="n">
        <v>0</v>
      </c>
      <c r="P444" t="n">
        <v>0</v>
      </c>
      <c r="Q444" t="n">
        <v>0</v>
      </c>
      <c r="R444" s="2" t="inlineStr"/>
    </row>
    <row r="445" ht="15" customHeight="1">
      <c r="A445" t="inlineStr">
        <is>
          <t>A 35974-2025</t>
        </is>
      </c>
      <c r="B445" s="1" t="n">
        <v>45863.42761574074</v>
      </c>
      <c r="C445" s="1" t="n">
        <v>46074</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32387-2022</t>
        </is>
      </c>
      <c r="B446" s="1" t="n">
        <v>44782</v>
      </c>
      <c r="C446" s="1" t="n">
        <v>46074</v>
      </c>
      <c r="D446" t="inlineStr">
        <is>
          <t>NORRBOTTENS LÄN</t>
        </is>
      </c>
      <c r="E446" t="inlineStr">
        <is>
          <t>PITEÅ</t>
        </is>
      </c>
      <c r="G446" t="n">
        <v>3.2</v>
      </c>
      <c r="H446" t="n">
        <v>0</v>
      </c>
      <c r="I446" t="n">
        <v>0</v>
      </c>
      <c r="J446" t="n">
        <v>0</v>
      </c>
      <c r="K446" t="n">
        <v>0</v>
      </c>
      <c r="L446" t="n">
        <v>0</v>
      </c>
      <c r="M446" t="n">
        <v>0</v>
      </c>
      <c r="N446" t="n">
        <v>0</v>
      </c>
      <c r="O446" t="n">
        <v>0</v>
      </c>
      <c r="P446" t="n">
        <v>0</v>
      </c>
      <c r="Q446" t="n">
        <v>0</v>
      </c>
      <c r="R446" s="2" t="inlineStr"/>
    </row>
    <row r="447" ht="15" customHeight="1">
      <c r="A447" t="inlineStr">
        <is>
          <t>A 25342-2024</t>
        </is>
      </c>
      <c r="B447" s="1" t="n">
        <v>45462</v>
      </c>
      <c r="C447" s="1" t="n">
        <v>46074</v>
      </c>
      <c r="D447" t="inlineStr">
        <is>
          <t>NORRBOTTENS LÄN</t>
        </is>
      </c>
      <c r="E447" t="inlineStr">
        <is>
          <t>PITEÅ</t>
        </is>
      </c>
      <c r="G447" t="n">
        <v>2.3</v>
      </c>
      <c r="H447" t="n">
        <v>0</v>
      </c>
      <c r="I447" t="n">
        <v>0</v>
      </c>
      <c r="J447" t="n">
        <v>0</v>
      </c>
      <c r="K447" t="n">
        <v>0</v>
      </c>
      <c r="L447" t="n">
        <v>0</v>
      </c>
      <c r="M447" t="n">
        <v>0</v>
      </c>
      <c r="N447" t="n">
        <v>0</v>
      </c>
      <c r="O447" t="n">
        <v>0</v>
      </c>
      <c r="P447" t="n">
        <v>0</v>
      </c>
      <c r="Q447" t="n">
        <v>0</v>
      </c>
      <c r="R447" s="2" t="inlineStr"/>
    </row>
    <row r="448" ht="15" customHeight="1">
      <c r="A448" t="inlineStr">
        <is>
          <t>A 35917-2025</t>
        </is>
      </c>
      <c r="B448" s="1" t="n">
        <v>45862.554375</v>
      </c>
      <c r="C448" s="1" t="n">
        <v>46074</v>
      </c>
      <c r="D448" t="inlineStr">
        <is>
          <t>NORRBOTTENS LÄN</t>
        </is>
      </c>
      <c r="E448" t="inlineStr">
        <is>
          <t>PITEÅ</t>
        </is>
      </c>
      <c r="G448" t="n">
        <v>3.3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46074</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46074</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46427-2025</t>
        </is>
      </c>
      <c r="B451" s="1" t="n">
        <v>45925.60152777778</v>
      </c>
      <c r="C451" s="1" t="n">
        <v>46074</v>
      </c>
      <c r="D451" t="inlineStr">
        <is>
          <t>NORRBOTTENS LÄN</t>
        </is>
      </c>
      <c r="E451" t="inlineStr">
        <is>
          <t>PITEÅ</t>
        </is>
      </c>
      <c r="G451" t="n">
        <v>2.7</v>
      </c>
      <c r="H451" t="n">
        <v>0</v>
      </c>
      <c r="I451" t="n">
        <v>0</v>
      </c>
      <c r="J451" t="n">
        <v>0</v>
      </c>
      <c r="K451" t="n">
        <v>0</v>
      </c>
      <c r="L451" t="n">
        <v>0</v>
      </c>
      <c r="M451" t="n">
        <v>0</v>
      </c>
      <c r="N451" t="n">
        <v>0</v>
      </c>
      <c r="O451" t="n">
        <v>0</v>
      </c>
      <c r="P451" t="n">
        <v>0</v>
      </c>
      <c r="Q451" t="n">
        <v>0</v>
      </c>
      <c r="R451" s="2" t="inlineStr"/>
    </row>
    <row r="452" ht="15" customHeight="1">
      <c r="A452" t="inlineStr">
        <is>
          <t>A 46453-2025</t>
        </is>
      </c>
      <c r="B452" s="1" t="n">
        <v>45925.65667824074</v>
      </c>
      <c r="C452" s="1" t="n">
        <v>46074</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46425-2025</t>
        </is>
      </c>
      <c r="B453" s="1" t="n">
        <v>45925.60075231481</v>
      </c>
      <c r="C453" s="1" t="n">
        <v>46074</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46254-2025</t>
        </is>
      </c>
      <c r="B454" s="1" t="n">
        <v>45925.34530092592</v>
      </c>
      <c r="C454" s="1" t="n">
        <v>46074</v>
      </c>
      <c r="D454" t="inlineStr">
        <is>
          <t>NORRBOTTENS LÄN</t>
        </is>
      </c>
      <c r="E454" t="inlineStr">
        <is>
          <t>PITEÅ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46074</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46403-2025</t>
        </is>
      </c>
      <c r="B456" s="1" t="n">
        <v>45925.56111111111</v>
      </c>
      <c r="C456" s="1" t="n">
        <v>46074</v>
      </c>
      <c r="D456" t="inlineStr">
        <is>
          <t>NORRBOTTENS LÄN</t>
        </is>
      </c>
      <c r="E456" t="inlineStr">
        <is>
          <t>PITEÅ</t>
        </is>
      </c>
      <c r="G456" t="n">
        <v>1</v>
      </c>
      <c r="H456" t="n">
        <v>0</v>
      </c>
      <c r="I456" t="n">
        <v>0</v>
      </c>
      <c r="J456" t="n">
        <v>0</v>
      </c>
      <c r="K456" t="n">
        <v>0</v>
      </c>
      <c r="L456" t="n">
        <v>0</v>
      </c>
      <c r="M456" t="n">
        <v>0</v>
      </c>
      <c r="N456" t="n">
        <v>0</v>
      </c>
      <c r="O456" t="n">
        <v>0</v>
      </c>
      <c r="P456" t="n">
        <v>0</v>
      </c>
      <c r="Q456" t="n">
        <v>0</v>
      </c>
      <c r="R456" s="2" t="inlineStr"/>
    </row>
    <row r="457" ht="15" customHeight="1">
      <c r="A457" t="inlineStr">
        <is>
          <t>A 19376-2025</t>
        </is>
      </c>
      <c r="B457" s="1" t="n">
        <v>45769.64806712963</v>
      </c>
      <c r="C457" s="1" t="n">
        <v>46074</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42379-2024</t>
        </is>
      </c>
      <c r="B458" s="1" t="n">
        <v>45564</v>
      </c>
      <c r="C458" s="1" t="n">
        <v>46074</v>
      </c>
      <c r="D458" t="inlineStr">
        <is>
          <t>NORRBOTTENS LÄN</t>
        </is>
      </c>
      <c r="E458" t="inlineStr">
        <is>
          <t>PITEÅ</t>
        </is>
      </c>
      <c r="G458" t="n">
        <v>21.6</v>
      </c>
      <c r="H458" t="n">
        <v>0</v>
      </c>
      <c r="I458" t="n">
        <v>0</v>
      </c>
      <c r="J458" t="n">
        <v>0</v>
      </c>
      <c r="K458" t="n">
        <v>0</v>
      </c>
      <c r="L458" t="n">
        <v>0</v>
      </c>
      <c r="M458" t="n">
        <v>0</v>
      </c>
      <c r="N458" t="n">
        <v>0</v>
      </c>
      <c r="O458" t="n">
        <v>0</v>
      </c>
      <c r="P458" t="n">
        <v>0</v>
      </c>
      <c r="Q458" t="n">
        <v>0</v>
      </c>
      <c r="R458" s="2" t="inlineStr"/>
    </row>
    <row r="459" ht="15" customHeight="1">
      <c r="A459" t="inlineStr">
        <is>
          <t>A 46422-2025</t>
        </is>
      </c>
      <c r="B459" s="1" t="n">
        <v>45925.59945601852</v>
      </c>
      <c r="C459" s="1" t="n">
        <v>46074</v>
      </c>
      <c r="D459" t="inlineStr">
        <is>
          <t>NORRBOTTENS LÄN</t>
        </is>
      </c>
      <c r="E459" t="inlineStr">
        <is>
          <t>PITEÅ</t>
        </is>
      </c>
      <c r="G459" t="n">
        <v>17.8</v>
      </c>
      <c r="H459" t="n">
        <v>0</v>
      </c>
      <c r="I459" t="n">
        <v>0</v>
      </c>
      <c r="J459" t="n">
        <v>0</v>
      </c>
      <c r="K459" t="n">
        <v>0</v>
      </c>
      <c r="L459" t="n">
        <v>0</v>
      </c>
      <c r="M459" t="n">
        <v>0</v>
      </c>
      <c r="N459" t="n">
        <v>0</v>
      </c>
      <c r="O459" t="n">
        <v>0</v>
      </c>
      <c r="P459" t="n">
        <v>0</v>
      </c>
      <c r="Q459" t="n">
        <v>0</v>
      </c>
      <c r="R459" s="2" t="inlineStr"/>
    </row>
    <row r="460" ht="15" customHeight="1">
      <c r="A460" t="inlineStr">
        <is>
          <t>A 46106-2025</t>
        </is>
      </c>
      <c r="B460" s="1" t="n">
        <v>45924.55252314815</v>
      </c>
      <c r="C460" s="1" t="n">
        <v>46074</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45953-2025</t>
        </is>
      </c>
      <c r="B461" s="1" t="n">
        <v>45924.34458333333</v>
      </c>
      <c r="C461" s="1" t="n">
        <v>46074</v>
      </c>
      <c r="D461" t="inlineStr">
        <is>
          <t>NORRBOTTENS LÄN</t>
        </is>
      </c>
      <c r="E461" t="inlineStr">
        <is>
          <t>PITEÅ</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45954-2025</t>
        </is>
      </c>
      <c r="B462" s="1" t="n">
        <v>45924.34474537037</v>
      </c>
      <c r="C462" s="1" t="n">
        <v>46074</v>
      </c>
      <c r="D462" t="inlineStr">
        <is>
          <t>NORRBOTTENS LÄN</t>
        </is>
      </c>
      <c r="E462" t="inlineStr">
        <is>
          <t>PITEÅ</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32098-2021</t>
        </is>
      </c>
      <c r="B463" s="1" t="n">
        <v>44370</v>
      </c>
      <c r="C463" s="1" t="n">
        <v>46074</v>
      </c>
      <c r="D463" t="inlineStr">
        <is>
          <t>NORRBOTTENS LÄN</t>
        </is>
      </c>
      <c r="E463" t="inlineStr">
        <is>
          <t>PITEÅ</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46143-2025</t>
        </is>
      </c>
      <c r="B464" s="1" t="n">
        <v>45924.60710648148</v>
      </c>
      <c r="C464" s="1" t="n">
        <v>46074</v>
      </c>
      <c r="D464" t="inlineStr">
        <is>
          <t>NORRBOTTENS LÄN</t>
        </is>
      </c>
      <c r="E464" t="inlineStr">
        <is>
          <t>PITEÅ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34876-2025</t>
        </is>
      </c>
      <c r="B465" s="1" t="n">
        <v>45849.46329861111</v>
      </c>
      <c r="C465" s="1" t="n">
        <v>46074</v>
      </c>
      <c r="D465" t="inlineStr">
        <is>
          <t>NORRBOTTENS LÄN</t>
        </is>
      </c>
      <c r="E465" t="inlineStr">
        <is>
          <t>PITEÅ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45958-2025</t>
        </is>
      </c>
      <c r="B466" s="1" t="n">
        <v>45924.34524305556</v>
      </c>
      <c r="C466" s="1" t="n">
        <v>46074</v>
      </c>
      <c r="D466" t="inlineStr">
        <is>
          <t>NORRBOTTENS LÄN</t>
        </is>
      </c>
      <c r="E466" t="inlineStr">
        <is>
          <t>PITEÅ</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46213-2025</t>
        </is>
      </c>
      <c r="B467" s="1" t="n">
        <v>45924</v>
      </c>
      <c r="C467" s="1" t="n">
        <v>46074</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46250-2025</t>
        </is>
      </c>
      <c r="B468" s="1" t="n">
        <v>45925.34460648148</v>
      </c>
      <c r="C468" s="1" t="n">
        <v>46074</v>
      </c>
      <c r="D468" t="inlineStr">
        <is>
          <t>NORRBOTTENS LÄN</t>
        </is>
      </c>
      <c r="E468" t="inlineStr">
        <is>
          <t>PITEÅ</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37819-2024</t>
        </is>
      </c>
      <c r="B469" s="1" t="n">
        <v>45544</v>
      </c>
      <c r="C469" s="1" t="n">
        <v>46074</v>
      </c>
      <c r="D469" t="inlineStr">
        <is>
          <t>NORRBOTTENS LÄN</t>
        </is>
      </c>
      <c r="E469" t="inlineStr">
        <is>
          <t>PITEÅ</t>
        </is>
      </c>
      <c r="G469" t="n">
        <v>3.5</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46074</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46074</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46074</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36521-2025</t>
        </is>
      </c>
      <c r="B473" s="1" t="n">
        <v>45869.60490740741</v>
      </c>
      <c r="C473" s="1" t="n">
        <v>46074</v>
      </c>
      <c r="D473" t="inlineStr">
        <is>
          <t>NORRBOTTENS LÄN</t>
        </is>
      </c>
      <c r="E473" t="inlineStr">
        <is>
          <t>PITEÅ</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47088-2025</t>
        </is>
      </c>
      <c r="B474" s="1" t="n">
        <v>45929.64570601852</v>
      </c>
      <c r="C474" s="1" t="n">
        <v>46074</v>
      </c>
      <c r="D474" t="inlineStr">
        <is>
          <t>NORRBOTTENS LÄN</t>
        </is>
      </c>
      <c r="E474" t="inlineStr">
        <is>
          <t>PITEÅ</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46601-2025</t>
        </is>
      </c>
      <c r="B475" s="1" t="n">
        <v>45926.40671296296</v>
      </c>
      <c r="C475" s="1" t="n">
        <v>46074</v>
      </c>
      <c r="D475" t="inlineStr">
        <is>
          <t>NORRBOTTENS LÄN</t>
        </is>
      </c>
      <c r="E475" t="inlineStr">
        <is>
          <t>PITEÅ</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36438-2025</t>
        </is>
      </c>
      <c r="B476" s="1" t="n">
        <v>45869.37787037037</v>
      </c>
      <c r="C476" s="1" t="n">
        <v>46074</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3649-2025</t>
        </is>
      </c>
      <c r="B477" s="1" t="n">
        <v>45681</v>
      </c>
      <c r="C477" s="1" t="n">
        <v>46074</v>
      </c>
      <c r="D477" t="inlineStr">
        <is>
          <t>NORRBOTTENS LÄN</t>
        </is>
      </c>
      <c r="E477" t="inlineStr">
        <is>
          <t>PITEÅ</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46074</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47080-2025</t>
        </is>
      </c>
      <c r="B479" s="1" t="n">
        <v>45929.64083333333</v>
      </c>
      <c r="C479" s="1" t="n">
        <v>46074</v>
      </c>
      <c r="D479" t="inlineStr">
        <is>
          <t>NORRBOTTENS LÄN</t>
        </is>
      </c>
      <c r="E479" t="inlineStr">
        <is>
          <t>PITEÅ</t>
        </is>
      </c>
      <c r="F479" t="inlineStr">
        <is>
          <t>Sveaskog</t>
        </is>
      </c>
      <c r="G479" t="n">
        <v>14.9</v>
      </c>
      <c r="H479" t="n">
        <v>0</v>
      </c>
      <c r="I479" t="n">
        <v>0</v>
      </c>
      <c r="J479" t="n">
        <v>0</v>
      </c>
      <c r="K479" t="n">
        <v>0</v>
      </c>
      <c r="L479" t="n">
        <v>0</v>
      </c>
      <c r="M479" t="n">
        <v>0</v>
      </c>
      <c r="N479" t="n">
        <v>0</v>
      </c>
      <c r="O479" t="n">
        <v>0</v>
      </c>
      <c r="P479" t="n">
        <v>0</v>
      </c>
      <c r="Q479" t="n">
        <v>0</v>
      </c>
      <c r="R479" s="2" t="inlineStr"/>
    </row>
    <row r="480" ht="15" customHeight="1">
      <c r="A480" t="inlineStr">
        <is>
          <t>A 6754-2025</t>
        </is>
      </c>
      <c r="B480" s="1" t="n">
        <v>45700.61891203704</v>
      </c>
      <c r="C480" s="1" t="n">
        <v>46074</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46547-2025</t>
        </is>
      </c>
      <c r="B481" s="1" t="n">
        <v>45926.34532407407</v>
      </c>
      <c r="C481" s="1" t="n">
        <v>46074</v>
      </c>
      <c r="D481" t="inlineStr">
        <is>
          <t>NORRBOTTENS LÄN</t>
        </is>
      </c>
      <c r="E481" t="inlineStr">
        <is>
          <t>PITEÅ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36648-2025</t>
        </is>
      </c>
      <c r="B482" s="1" t="n">
        <v>45872.55440972222</v>
      </c>
      <c r="C482" s="1" t="n">
        <v>46074</v>
      </c>
      <c r="D482" t="inlineStr">
        <is>
          <t>NORRBOTTENS LÄN</t>
        </is>
      </c>
      <c r="E482" t="inlineStr">
        <is>
          <t>PITEÅ</t>
        </is>
      </c>
      <c r="G482" t="n">
        <v>5.1</v>
      </c>
      <c r="H482" t="n">
        <v>0</v>
      </c>
      <c r="I482" t="n">
        <v>0</v>
      </c>
      <c r="J482" t="n">
        <v>0</v>
      </c>
      <c r="K482" t="n">
        <v>0</v>
      </c>
      <c r="L482" t="n">
        <v>0</v>
      </c>
      <c r="M482" t="n">
        <v>0</v>
      </c>
      <c r="N482" t="n">
        <v>0</v>
      </c>
      <c r="O482" t="n">
        <v>0</v>
      </c>
      <c r="P482" t="n">
        <v>0</v>
      </c>
      <c r="Q482" t="n">
        <v>0</v>
      </c>
      <c r="R482" s="2" t="inlineStr"/>
    </row>
    <row r="483" ht="15" customHeight="1">
      <c r="A483" t="inlineStr">
        <is>
          <t>A 61912-2024</t>
        </is>
      </c>
      <c r="B483" s="1" t="n">
        <v>45653.38663194444</v>
      </c>
      <c r="C483" s="1" t="n">
        <v>46074</v>
      </c>
      <c r="D483" t="inlineStr">
        <is>
          <t>NORRBOTTENS LÄN</t>
        </is>
      </c>
      <c r="E483" t="inlineStr">
        <is>
          <t>PITEÅ</t>
        </is>
      </c>
      <c r="G483" t="n">
        <v>7.3</v>
      </c>
      <c r="H483" t="n">
        <v>0</v>
      </c>
      <c r="I483" t="n">
        <v>0</v>
      </c>
      <c r="J483" t="n">
        <v>0</v>
      </c>
      <c r="K483" t="n">
        <v>0</v>
      </c>
      <c r="L483" t="n">
        <v>0</v>
      </c>
      <c r="M483" t="n">
        <v>0</v>
      </c>
      <c r="N483" t="n">
        <v>0</v>
      </c>
      <c r="O483" t="n">
        <v>0</v>
      </c>
      <c r="P483" t="n">
        <v>0</v>
      </c>
      <c r="Q483" t="n">
        <v>0</v>
      </c>
      <c r="R483" s="2" t="inlineStr"/>
    </row>
    <row r="484" ht="15" customHeight="1">
      <c r="A484" t="inlineStr">
        <is>
          <t>A 47124-2025</t>
        </is>
      </c>
      <c r="B484" s="1" t="n">
        <v>45929.68081018519</v>
      </c>
      <c r="C484" s="1" t="n">
        <v>46074</v>
      </c>
      <c r="D484" t="inlineStr">
        <is>
          <t>NORRBOTTENS LÄN</t>
        </is>
      </c>
      <c r="E484" t="inlineStr">
        <is>
          <t>PITEÅ</t>
        </is>
      </c>
      <c r="F484" t="inlineStr">
        <is>
          <t>Sveaskog</t>
        </is>
      </c>
      <c r="G484" t="n">
        <v>49.2</v>
      </c>
      <c r="H484" t="n">
        <v>0</v>
      </c>
      <c r="I484" t="n">
        <v>0</v>
      </c>
      <c r="J484" t="n">
        <v>0</v>
      </c>
      <c r="K484" t="n">
        <v>0</v>
      </c>
      <c r="L484" t="n">
        <v>0</v>
      </c>
      <c r="M484" t="n">
        <v>0</v>
      </c>
      <c r="N484" t="n">
        <v>0</v>
      </c>
      <c r="O484" t="n">
        <v>0</v>
      </c>
      <c r="P484" t="n">
        <v>0</v>
      </c>
      <c r="Q484" t="n">
        <v>0</v>
      </c>
      <c r="R484" s="2" t="inlineStr"/>
    </row>
    <row r="485" ht="15" customHeight="1">
      <c r="A485" t="inlineStr">
        <is>
          <t>A 47144-2025</t>
        </is>
      </c>
      <c r="B485" s="1" t="n">
        <v>45929.70978009259</v>
      </c>
      <c r="C485" s="1" t="n">
        <v>46074</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26701-2025</t>
        </is>
      </c>
      <c r="B486" s="1" t="n">
        <v>45810.4502199074</v>
      </c>
      <c r="C486" s="1" t="n">
        <v>46074</v>
      </c>
      <c r="D486" t="inlineStr">
        <is>
          <t>NORRBOTTENS LÄN</t>
        </is>
      </c>
      <c r="E486" t="inlineStr">
        <is>
          <t>PITEÅ</t>
        </is>
      </c>
      <c r="G486" t="n">
        <v>5.4</v>
      </c>
      <c r="H486" t="n">
        <v>0</v>
      </c>
      <c r="I486" t="n">
        <v>0</v>
      </c>
      <c r="J486" t="n">
        <v>0</v>
      </c>
      <c r="K486" t="n">
        <v>0</v>
      </c>
      <c r="L486" t="n">
        <v>0</v>
      </c>
      <c r="M486" t="n">
        <v>0</v>
      </c>
      <c r="N486" t="n">
        <v>0</v>
      </c>
      <c r="O486" t="n">
        <v>0</v>
      </c>
      <c r="P486" t="n">
        <v>0</v>
      </c>
      <c r="Q486" t="n">
        <v>0</v>
      </c>
      <c r="R486" s="2" t="inlineStr"/>
    </row>
    <row r="487" ht="15" customHeight="1">
      <c r="A487" t="inlineStr">
        <is>
          <t>A 47078-2025</t>
        </is>
      </c>
      <c r="B487" s="1" t="n">
        <v>45929.63853009259</v>
      </c>
      <c r="C487" s="1" t="n">
        <v>46074</v>
      </c>
      <c r="D487" t="inlineStr">
        <is>
          <t>NORRBOTTENS LÄN</t>
        </is>
      </c>
      <c r="E487" t="inlineStr">
        <is>
          <t>PITEÅ</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46542-2025</t>
        </is>
      </c>
      <c r="B488" s="1" t="n">
        <v>45926.34465277778</v>
      </c>
      <c r="C488" s="1" t="n">
        <v>46074</v>
      </c>
      <c r="D488" t="inlineStr">
        <is>
          <t>NORRBOTTENS LÄN</t>
        </is>
      </c>
      <c r="E488" t="inlineStr">
        <is>
          <t>PITEÅ</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36681-2025</t>
        </is>
      </c>
      <c r="B489" s="1" t="n">
        <v>45873.40009259259</v>
      </c>
      <c r="C489" s="1" t="n">
        <v>46074</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46074</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46569-2025</t>
        </is>
      </c>
      <c r="B491" s="1" t="n">
        <v>45926.3659375</v>
      </c>
      <c r="C491" s="1" t="n">
        <v>46074</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47153-2025</t>
        </is>
      </c>
      <c r="B492" s="1" t="n">
        <v>45929.72967592593</v>
      </c>
      <c r="C492" s="1" t="n">
        <v>46074</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59973-2024</t>
        </is>
      </c>
      <c r="B493" s="1" t="n">
        <v>45642.36554398148</v>
      </c>
      <c r="C493" s="1" t="n">
        <v>46074</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52200-2024</t>
        </is>
      </c>
      <c r="B494" s="1" t="n">
        <v>45607</v>
      </c>
      <c r="C494" s="1" t="n">
        <v>46074</v>
      </c>
      <c r="D494" t="inlineStr">
        <is>
          <t>NORRBOTTENS LÄN</t>
        </is>
      </c>
      <c r="E494" t="inlineStr">
        <is>
          <t>PITEÅ</t>
        </is>
      </c>
      <c r="G494" t="n">
        <v>19.4</v>
      </c>
      <c r="H494" t="n">
        <v>0</v>
      </c>
      <c r="I494" t="n">
        <v>0</v>
      </c>
      <c r="J494" t="n">
        <v>0</v>
      </c>
      <c r="K494" t="n">
        <v>0</v>
      </c>
      <c r="L494" t="n">
        <v>0</v>
      </c>
      <c r="M494" t="n">
        <v>0</v>
      </c>
      <c r="N494" t="n">
        <v>0</v>
      </c>
      <c r="O494" t="n">
        <v>0</v>
      </c>
      <c r="P494" t="n">
        <v>0</v>
      </c>
      <c r="Q494" t="n">
        <v>0</v>
      </c>
      <c r="R494" s="2" t="inlineStr"/>
    </row>
    <row r="495" ht="15" customHeight="1">
      <c r="A495" t="inlineStr">
        <is>
          <t>A 36678-2025</t>
        </is>
      </c>
      <c r="B495" s="1" t="n">
        <v>45873</v>
      </c>
      <c r="C495" s="1" t="n">
        <v>46074</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36776-2025</t>
        </is>
      </c>
      <c r="B496" s="1" t="n">
        <v>45873.59333333333</v>
      </c>
      <c r="C496" s="1" t="n">
        <v>46074</v>
      </c>
      <c r="D496" t="inlineStr">
        <is>
          <t>NORRBOTTENS LÄN</t>
        </is>
      </c>
      <c r="E496" t="inlineStr">
        <is>
          <t>PITEÅ</t>
        </is>
      </c>
      <c r="G496" t="n">
        <v>7.2</v>
      </c>
      <c r="H496" t="n">
        <v>0</v>
      </c>
      <c r="I496" t="n">
        <v>0</v>
      </c>
      <c r="J496" t="n">
        <v>0</v>
      </c>
      <c r="K496" t="n">
        <v>0</v>
      </c>
      <c r="L496" t="n">
        <v>0</v>
      </c>
      <c r="M496" t="n">
        <v>0</v>
      </c>
      <c r="N496" t="n">
        <v>0</v>
      </c>
      <c r="O496" t="n">
        <v>0</v>
      </c>
      <c r="P496" t="n">
        <v>0</v>
      </c>
      <c r="Q496" t="n">
        <v>0</v>
      </c>
      <c r="R496" s="2" t="inlineStr"/>
    </row>
    <row r="497" ht="15" customHeight="1">
      <c r="A497" t="inlineStr">
        <is>
          <t>A 17944-2025</t>
        </is>
      </c>
      <c r="B497" s="1" t="n">
        <v>45760.61570601852</v>
      </c>
      <c r="C497" s="1" t="n">
        <v>46074</v>
      </c>
      <c r="D497" t="inlineStr">
        <is>
          <t>NORRBOTTENS LÄN</t>
        </is>
      </c>
      <c r="E497" t="inlineStr">
        <is>
          <t>PITEÅ</t>
        </is>
      </c>
      <c r="G497" t="n">
        <v>3.6</v>
      </c>
      <c r="H497" t="n">
        <v>0</v>
      </c>
      <c r="I497" t="n">
        <v>0</v>
      </c>
      <c r="J497" t="n">
        <v>0</v>
      </c>
      <c r="K497" t="n">
        <v>0</v>
      </c>
      <c r="L497" t="n">
        <v>0</v>
      </c>
      <c r="M497" t="n">
        <v>0</v>
      </c>
      <c r="N497" t="n">
        <v>0</v>
      </c>
      <c r="O497" t="n">
        <v>0</v>
      </c>
      <c r="P497" t="n">
        <v>0</v>
      </c>
      <c r="Q497" t="n">
        <v>0</v>
      </c>
      <c r="R497" s="2" t="inlineStr"/>
    </row>
    <row r="498" ht="15" customHeight="1">
      <c r="A498" t="inlineStr">
        <is>
          <t>A 36649-2025</t>
        </is>
      </c>
      <c r="B498" s="1" t="n">
        <v>45872.58510416667</v>
      </c>
      <c r="C498" s="1" t="n">
        <v>46074</v>
      </c>
      <c r="D498" t="inlineStr">
        <is>
          <t>NORRBOTTENS LÄN</t>
        </is>
      </c>
      <c r="E498" t="inlineStr">
        <is>
          <t>PITEÅ</t>
        </is>
      </c>
      <c r="G498" t="n">
        <v>4.5</v>
      </c>
      <c r="H498" t="n">
        <v>0</v>
      </c>
      <c r="I498" t="n">
        <v>0</v>
      </c>
      <c r="J498" t="n">
        <v>0</v>
      </c>
      <c r="K498" t="n">
        <v>0</v>
      </c>
      <c r="L498" t="n">
        <v>0</v>
      </c>
      <c r="M498" t="n">
        <v>0</v>
      </c>
      <c r="N498" t="n">
        <v>0</v>
      </c>
      <c r="O498" t="n">
        <v>0</v>
      </c>
      <c r="P498" t="n">
        <v>0</v>
      </c>
      <c r="Q498" t="n">
        <v>0</v>
      </c>
      <c r="R498" s="2" t="inlineStr"/>
    </row>
    <row r="499" ht="15" customHeight="1">
      <c r="A499" t="inlineStr">
        <is>
          <t>A 21643-2024</t>
        </is>
      </c>
      <c r="B499" s="1" t="n">
        <v>45442.35251157408</v>
      </c>
      <c r="C499" s="1" t="n">
        <v>46074</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47321-2025</t>
        </is>
      </c>
      <c r="B500" s="1" t="n">
        <v>45930.55292824074</v>
      </c>
      <c r="C500" s="1" t="n">
        <v>46074</v>
      </c>
      <c r="D500" t="inlineStr">
        <is>
          <t>NORRBOTTENS LÄN</t>
        </is>
      </c>
      <c r="E500" t="inlineStr">
        <is>
          <t>PITEÅ</t>
        </is>
      </c>
      <c r="G500" t="n">
        <v>9.4</v>
      </c>
      <c r="H500" t="n">
        <v>0</v>
      </c>
      <c r="I500" t="n">
        <v>0</v>
      </c>
      <c r="J500" t="n">
        <v>0</v>
      </c>
      <c r="K500" t="n">
        <v>0</v>
      </c>
      <c r="L500" t="n">
        <v>0</v>
      </c>
      <c r="M500" t="n">
        <v>0</v>
      </c>
      <c r="N500" t="n">
        <v>0</v>
      </c>
      <c r="O500" t="n">
        <v>0</v>
      </c>
      <c r="P500" t="n">
        <v>0</v>
      </c>
      <c r="Q500" t="n">
        <v>0</v>
      </c>
      <c r="R500" s="2" t="inlineStr"/>
    </row>
    <row r="501" ht="15" customHeight="1">
      <c r="A501" t="inlineStr">
        <is>
          <t>A 3071-2025</t>
        </is>
      </c>
      <c r="B501" s="1" t="n">
        <v>45678.63983796296</v>
      </c>
      <c r="C501" s="1" t="n">
        <v>46074</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36518-2025</t>
        </is>
      </c>
      <c r="B502" s="1" t="n">
        <v>45869.598125</v>
      </c>
      <c r="C502" s="1" t="n">
        <v>46074</v>
      </c>
      <c r="D502" t="inlineStr">
        <is>
          <t>NORRBOTTENS LÄN</t>
        </is>
      </c>
      <c r="E502" t="inlineStr">
        <is>
          <t>PITEÅ</t>
        </is>
      </c>
      <c r="F502" t="inlineStr">
        <is>
          <t>Sveaskog</t>
        </is>
      </c>
      <c r="G502" t="n">
        <v>6.2</v>
      </c>
      <c r="H502" t="n">
        <v>0</v>
      </c>
      <c r="I502" t="n">
        <v>0</v>
      </c>
      <c r="J502" t="n">
        <v>0</v>
      </c>
      <c r="K502" t="n">
        <v>0</v>
      </c>
      <c r="L502" t="n">
        <v>0</v>
      </c>
      <c r="M502" t="n">
        <v>0</v>
      </c>
      <c r="N502" t="n">
        <v>0</v>
      </c>
      <c r="O502" t="n">
        <v>0</v>
      </c>
      <c r="P502" t="n">
        <v>0</v>
      </c>
      <c r="Q502" t="n">
        <v>0</v>
      </c>
      <c r="R502" s="2" t="inlineStr"/>
    </row>
    <row r="503" ht="15" customHeight="1">
      <c r="A503" t="inlineStr">
        <is>
          <t>A 36999-2025</t>
        </is>
      </c>
      <c r="B503" s="1" t="n">
        <v>45874.67835648148</v>
      </c>
      <c r="C503" s="1" t="n">
        <v>46074</v>
      </c>
      <c r="D503" t="inlineStr">
        <is>
          <t>NORRBOTTENS LÄN</t>
        </is>
      </c>
      <c r="E503" t="inlineStr">
        <is>
          <t>PITEÅ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25969-2024</t>
        </is>
      </c>
      <c r="B504" s="1" t="n">
        <v>45467</v>
      </c>
      <c r="C504" s="1" t="n">
        <v>46074</v>
      </c>
      <c r="D504" t="inlineStr">
        <is>
          <t>NORRBOTTENS LÄN</t>
        </is>
      </c>
      <c r="E504" t="inlineStr">
        <is>
          <t>PITEÅ</t>
        </is>
      </c>
      <c r="F504" t="inlineStr">
        <is>
          <t>Kommuner</t>
        </is>
      </c>
      <c r="G504" t="n">
        <v>1.7</v>
      </c>
      <c r="H504" t="n">
        <v>0</v>
      </c>
      <c r="I504" t="n">
        <v>0</v>
      </c>
      <c r="J504" t="n">
        <v>0</v>
      </c>
      <c r="K504" t="n">
        <v>0</v>
      </c>
      <c r="L504" t="n">
        <v>0</v>
      </c>
      <c r="M504" t="n">
        <v>0</v>
      </c>
      <c r="N504" t="n">
        <v>0</v>
      </c>
      <c r="O504" t="n">
        <v>0</v>
      </c>
      <c r="P504" t="n">
        <v>0</v>
      </c>
      <c r="Q504" t="n">
        <v>0</v>
      </c>
      <c r="R504" s="2" t="inlineStr"/>
    </row>
    <row r="505" ht="15" customHeight="1">
      <c r="A505" t="inlineStr">
        <is>
          <t>A 36990-2025</t>
        </is>
      </c>
      <c r="B505" s="1" t="n">
        <v>45874.66177083334</v>
      </c>
      <c r="C505" s="1" t="n">
        <v>46074</v>
      </c>
      <c r="D505" t="inlineStr">
        <is>
          <t>NORRBOTTENS LÄN</t>
        </is>
      </c>
      <c r="E505" t="inlineStr">
        <is>
          <t>PITEÅ</t>
        </is>
      </c>
      <c r="F505" t="inlineStr">
        <is>
          <t>Sveaskog</t>
        </is>
      </c>
      <c r="G505" t="n">
        <v>22.3</v>
      </c>
      <c r="H505" t="n">
        <v>0</v>
      </c>
      <c r="I505" t="n">
        <v>0</v>
      </c>
      <c r="J505" t="n">
        <v>0</v>
      </c>
      <c r="K505" t="n">
        <v>0</v>
      </c>
      <c r="L505" t="n">
        <v>0</v>
      </c>
      <c r="M505" t="n">
        <v>0</v>
      </c>
      <c r="N505" t="n">
        <v>0</v>
      </c>
      <c r="O505" t="n">
        <v>0</v>
      </c>
      <c r="P505" t="n">
        <v>0</v>
      </c>
      <c r="Q505" t="n">
        <v>0</v>
      </c>
      <c r="R505" s="2" t="inlineStr"/>
    </row>
    <row r="506" ht="15" customHeight="1">
      <c r="A506" t="inlineStr">
        <is>
          <t>A 4868-2025</t>
        </is>
      </c>
      <c r="B506" s="1" t="n">
        <v>45688</v>
      </c>
      <c r="C506" s="1" t="n">
        <v>46074</v>
      </c>
      <c r="D506" t="inlineStr">
        <is>
          <t>NORRBOTTENS LÄN</t>
        </is>
      </c>
      <c r="E506" t="inlineStr">
        <is>
          <t>PITEÅ</t>
        </is>
      </c>
      <c r="F506" t="inlineStr">
        <is>
          <t>SCA</t>
        </is>
      </c>
      <c r="G506" t="n">
        <v>5.6</v>
      </c>
      <c r="H506" t="n">
        <v>0</v>
      </c>
      <c r="I506" t="n">
        <v>0</v>
      </c>
      <c r="J506" t="n">
        <v>0</v>
      </c>
      <c r="K506" t="n">
        <v>0</v>
      </c>
      <c r="L506" t="n">
        <v>0</v>
      </c>
      <c r="M506" t="n">
        <v>0</v>
      </c>
      <c r="N506" t="n">
        <v>0</v>
      </c>
      <c r="O506" t="n">
        <v>0</v>
      </c>
      <c r="P506" t="n">
        <v>0</v>
      </c>
      <c r="Q506" t="n">
        <v>0</v>
      </c>
      <c r="R506" s="2" t="inlineStr"/>
    </row>
    <row r="507" ht="15" customHeight="1">
      <c r="A507" t="inlineStr">
        <is>
          <t>A 47822-2025</t>
        </is>
      </c>
      <c r="B507" s="1" t="n">
        <v>45932.34443287037</v>
      </c>
      <c r="C507" s="1" t="n">
        <v>46074</v>
      </c>
      <c r="D507" t="inlineStr">
        <is>
          <t>NORRBOTTENS LÄN</t>
        </is>
      </c>
      <c r="E507" t="inlineStr">
        <is>
          <t>PITEÅ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48107-2025</t>
        </is>
      </c>
      <c r="B508" s="1" t="n">
        <v>45933.34452546296</v>
      </c>
      <c r="C508" s="1" t="n">
        <v>46074</v>
      </c>
      <c r="D508" t="inlineStr">
        <is>
          <t>NORRBOTTENS LÄN</t>
        </is>
      </c>
      <c r="E508" t="inlineStr">
        <is>
          <t>PITEÅ</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37436-2025</t>
        </is>
      </c>
      <c r="B509" s="1" t="n">
        <v>45877.53163194445</v>
      </c>
      <c r="C509" s="1" t="n">
        <v>46074</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47557-2023</t>
        </is>
      </c>
      <c r="B510" s="1" t="n">
        <v>45197</v>
      </c>
      <c r="C510" s="1" t="n">
        <v>46074</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37722-2025</t>
        </is>
      </c>
      <c r="B511" s="1" t="n">
        <v>45880.61525462963</v>
      </c>
      <c r="C511" s="1" t="n">
        <v>46074</v>
      </c>
      <c r="D511" t="inlineStr">
        <is>
          <t>NORRBOTTENS LÄN</t>
        </is>
      </c>
      <c r="E511" t="inlineStr">
        <is>
          <t>PITEÅ</t>
        </is>
      </c>
      <c r="G511" t="n">
        <v>3.7</v>
      </c>
      <c r="H511" t="n">
        <v>0</v>
      </c>
      <c r="I511" t="n">
        <v>0</v>
      </c>
      <c r="J511" t="n">
        <v>0</v>
      </c>
      <c r="K511" t="n">
        <v>0</v>
      </c>
      <c r="L511" t="n">
        <v>0</v>
      </c>
      <c r="M511" t="n">
        <v>0</v>
      </c>
      <c r="N511" t="n">
        <v>0</v>
      </c>
      <c r="O511" t="n">
        <v>0</v>
      </c>
      <c r="P511" t="n">
        <v>0</v>
      </c>
      <c r="Q511" t="n">
        <v>0</v>
      </c>
      <c r="R511" s="2" t="inlineStr"/>
    </row>
    <row r="512" ht="15" customHeight="1">
      <c r="A512" t="inlineStr">
        <is>
          <t>A 57053-2023</t>
        </is>
      </c>
      <c r="B512" s="1" t="n">
        <v>45244</v>
      </c>
      <c r="C512" s="1" t="n">
        <v>46074</v>
      </c>
      <c r="D512" t="inlineStr">
        <is>
          <t>NORRBOTTENS LÄN</t>
        </is>
      </c>
      <c r="E512" t="inlineStr">
        <is>
          <t>PITEÅ</t>
        </is>
      </c>
      <c r="G512" t="n">
        <v>2.7</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46074</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47948-2025</t>
        </is>
      </c>
      <c r="B514" s="1" t="n">
        <v>45932.57424768519</v>
      </c>
      <c r="C514" s="1" t="n">
        <v>46074</v>
      </c>
      <c r="D514" t="inlineStr">
        <is>
          <t>NORRBOTTENS LÄN</t>
        </is>
      </c>
      <c r="E514" t="inlineStr">
        <is>
          <t>PITEÅ</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58064-2023</t>
        </is>
      </c>
      <c r="B515" s="1" t="n">
        <v>45247</v>
      </c>
      <c r="C515" s="1" t="n">
        <v>46074</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20445-2025</t>
        </is>
      </c>
      <c r="B516" s="1" t="n">
        <v>45775</v>
      </c>
      <c r="C516" s="1" t="n">
        <v>46074</v>
      </c>
      <c r="D516" t="inlineStr">
        <is>
          <t>NORRBOTTENS LÄN</t>
        </is>
      </c>
      <c r="E516" t="inlineStr">
        <is>
          <t>PITEÅ</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54100-2023</t>
        </is>
      </c>
      <c r="B517" s="1" t="n">
        <v>45225</v>
      </c>
      <c r="C517" s="1" t="n">
        <v>46074</v>
      </c>
      <c r="D517" t="inlineStr">
        <is>
          <t>NORRBOTTENS LÄN</t>
        </is>
      </c>
      <c r="E517" t="inlineStr">
        <is>
          <t>PITEÅ</t>
        </is>
      </c>
      <c r="G517" t="n">
        <v>2.5</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46074</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48430-2025</t>
        </is>
      </c>
      <c r="B519" s="1" t="n">
        <v>45934.87321759259</v>
      </c>
      <c r="C519" s="1" t="n">
        <v>46074</v>
      </c>
      <c r="D519" t="inlineStr">
        <is>
          <t>NORRBOTTENS LÄN</t>
        </is>
      </c>
      <c r="E519" t="inlineStr">
        <is>
          <t>PITEÅ</t>
        </is>
      </c>
      <c r="G519" t="n">
        <v>6.7</v>
      </c>
      <c r="H519" t="n">
        <v>0</v>
      </c>
      <c r="I519" t="n">
        <v>0</v>
      </c>
      <c r="J519" t="n">
        <v>0</v>
      </c>
      <c r="K519" t="n">
        <v>0</v>
      </c>
      <c r="L519" t="n">
        <v>0</v>
      </c>
      <c r="M519" t="n">
        <v>0</v>
      </c>
      <c r="N519" t="n">
        <v>0</v>
      </c>
      <c r="O519" t="n">
        <v>0</v>
      </c>
      <c r="P519" t="n">
        <v>0</v>
      </c>
      <c r="Q519" t="n">
        <v>0</v>
      </c>
      <c r="R519" s="2" t="inlineStr"/>
    </row>
    <row r="520" ht="15" customHeight="1">
      <c r="A520" t="inlineStr">
        <is>
          <t>A 48431-2025</t>
        </is>
      </c>
      <c r="B520" s="1" t="n">
        <v>45934.88195601852</v>
      </c>
      <c r="C520" s="1" t="n">
        <v>46074</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48436-2025</t>
        </is>
      </c>
      <c r="B521" s="1" t="n">
        <v>45935.34542824074</v>
      </c>
      <c r="C521" s="1" t="n">
        <v>46074</v>
      </c>
      <c r="D521" t="inlineStr">
        <is>
          <t>NORRBOTTENS LÄN</t>
        </is>
      </c>
      <c r="E521" t="inlineStr">
        <is>
          <t>PITEÅ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48446-2025</t>
        </is>
      </c>
      <c r="B522" s="1" t="n">
        <v>45935.59422453704</v>
      </c>
      <c r="C522" s="1" t="n">
        <v>46074</v>
      </c>
      <c r="D522" t="inlineStr">
        <is>
          <t>NORRBOTTENS LÄN</t>
        </is>
      </c>
      <c r="E522" t="inlineStr">
        <is>
          <t>PITEÅ</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48403-2025</t>
        </is>
      </c>
      <c r="B523" s="1" t="n">
        <v>45934.34480324074</v>
      </c>
      <c r="C523" s="1" t="n">
        <v>46074</v>
      </c>
      <c r="D523" t="inlineStr">
        <is>
          <t>NORRBOTTENS LÄN</t>
        </is>
      </c>
      <c r="E523" t="inlineStr">
        <is>
          <t>PITEÅ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48435-2025</t>
        </is>
      </c>
      <c r="B524" s="1" t="n">
        <v>45935.34520833333</v>
      </c>
      <c r="C524" s="1" t="n">
        <v>46074</v>
      </c>
      <c r="D524" t="inlineStr">
        <is>
          <t>NORRBOTTENS LÄN</t>
        </is>
      </c>
      <c r="E524" t="inlineStr">
        <is>
          <t>PITEÅ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48404-2025</t>
        </is>
      </c>
      <c r="B525" s="1" t="n">
        <v>45934.34547453704</v>
      </c>
      <c r="C525" s="1" t="n">
        <v>46074</v>
      </c>
      <c r="D525" t="inlineStr">
        <is>
          <t>NORRBOTTENS LÄN</t>
        </is>
      </c>
      <c r="E525" t="inlineStr">
        <is>
          <t>PITEÅ</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48437-2025</t>
        </is>
      </c>
      <c r="B526" s="1" t="n">
        <v>45935.34575231482</v>
      </c>
      <c r="C526" s="1" t="n">
        <v>46074</v>
      </c>
      <c r="D526" t="inlineStr">
        <is>
          <t>NORRBOTTENS LÄN</t>
        </is>
      </c>
      <c r="E526" t="inlineStr">
        <is>
          <t>PITEÅ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21646-2021</t>
        </is>
      </c>
      <c r="B527" s="1" t="n">
        <v>44321</v>
      </c>
      <c r="C527" s="1" t="n">
        <v>46074</v>
      </c>
      <c r="D527" t="inlineStr">
        <is>
          <t>NORRBOTTENS LÄN</t>
        </is>
      </c>
      <c r="E527" t="inlineStr">
        <is>
          <t>PITEÅ</t>
        </is>
      </c>
      <c r="G527" t="n">
        <v>1.8</v>
      </c>
      <c r="H527" t="n">
        <v>0</v>
      </c>
      <c r="I527" t="n">
        <v>0</v>
      </c>
      <c r="J527" t="n">
        <v>0</v>
      </c>
      <c r="K527" t="n">
        <v>0</v>
      </c>
      <c r="L527" t="n">
        <v>0</v>
      </c>
      <c r="M527" t="n">
        <v>0</v>
      </c>
      <c r="N527" t="n">
        <v>0</v>
      </c>
      <c r="O527" t="n">
        <v>0</v>
      </c>
      <c r="P527" t="n">
        <v>0</v>
      </c>
      <c r="Q527" t="n">
        <v>0</v>
      </c>
      <c r="R527" s="2" t="inlineStr"/>
    </row>
    <row r="528" ht="15" customHeight="1">
      <c r="A528" t="inlineStr">
        <is>
          <t>A 38336-2025</t>
        </is>
      </c>
      <c r="B528" s="1" t="n">
        <v>45883.49185185185</v>
      </c>
      <c r="C528" s="1" t="n">
        <v>46074</v>
      </c>
      <c r="D528" t="inlineStr">
        <is>
          <t>NORRBOTTENS LÄN</t>
        </is>
      </c>
      <c r="E528" t="inlineStr">
        <is>
          <t>PITEÅ</t>
        </is>
      </c>
      <c r="G528" t="n">
        <v>0.7</v>
      </c>
      <c r="H528" t="n">
        <v>0</v>
      </c>
      <c r="I528" t="n">
        <v>0</v>
      </c>
      <c r="J528" t="n">
        <v>0</v>
      </c>
      <c r="K528" t="n">
        <v>0</v>
      </c>
      <c r="L528" t="n">
        <v>0</v>
      </c>
      <c r="M528" t="n">
        <v>0</v>
      </c>
      <c r="N528" t="n">
        <v>0</v>
      </c>
      <c r="O528" t="n">
        <v>0</v>
      </c>
      <c r="P528" t="n">
        <v>0</v>
      </c>
      <c r="Q528" t="n">
        <v>0</v>
      </c>
      <c r="R528" s="2" t="inlineStr"/>
    </row>
    <row r="529" ht="15" customHeight="1">
      <c r="A529" t="inlineStr">
        <is>
          <t>A 55826-2023</t>
        </is>
      </c>
      <c r="B529" s="1" t="n">
        <v>45239</v>
      </c>
      <c r="C529" s="1" t="n">
        <v>46074</v>
      </c>
      <c r="D529" t="inlineStr">
        <is>
          <t>NORRBOTTENS LÄN</t>
        </is>
      </c>
      <c r="E529" t="inlineStr">
        <is>
          <t>PITEÅ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38334-2025</t>
        </is>
      </c>
      <c r="B530" s="1" t="n">
        <v>45883.49172453704</v>
      </c>
      <c r="C530" s="1" t="n">
        <v>46074</v>
      </c>
      <c r="D530" t="inlineStr">
        <is>
          <t>NORRBOTTENS LÄN</t>
        </is>
      </c>
      <c r="E530" t="inlineStr">
        <is>
          <t>PITEÅ</t>
        </is>
      </c>
      <c r="G530" t="n">
        <v>1.8</v>
      </c>
      <c r="H530" t="n">
        <v>0</v>
      </c>
      <c r="I530" t="n">
        <v>0</v>
      </c>
      <c r="J530" t="n">
        <v>0</v>
      </c>
      <c r="K530" t="n">
        <v>0</v>
      </c>
      <c r="L530" t="n">
        <v>0</v>
      </c>
      <c r="M530" t="n">
        <v>0</v>
      </c>
      <c r="N530" t="n">
        <v>0</v>
      </c>
      <c r="O530" t="n">
        <v>0</v>
      </c>
      <c r="P530" t="n">
        <v>0</v>
      </c>
      <c r="Q530" t="n">
        <v>0</v>
      </c>
      <c r="R530" s="2" t="inlineStr"/>
    </row>
    <row r="531" ht="15" customHeight="1">
      <c r="A531" t="inlineStr">
        <is>
          <t>A 38335-2025</t>
        </is>
      </c>
      <c r="B531" s="1" t="n">
        <v>45883.49179398148</v>
      </c>
      <c r="C531" s="1" t="n">
        <v>46074</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48695-2025</t>
        </is>
      </c>
      <c r="B532" s="1" t="n">
        <v>45936.61523148148</v>
      </c>
      <c r="C532" s="1" t="n">
        <v>46074</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38305-2025</t>
        </is>
      </c>
      <c r="B533" s="1" t="n">
        <v>45883.46922453704</v>
      </c>
      <c r="C533" s="1" t="n">
        <v>46074</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46074</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27896-2023</t>
        </is>
      </c>
      <c r="B535" s="1" t="n">
        <v>45098</v>
      </c>
      <c r="C535" s="1" t="n">
        <v>46074</v>
      </c>
      <c r="D535" t="inlineStr">
        <is>
          <t>NORRBOTTENS LÄN</t>
        </is>
      </c>
      <c r="E535" t="inlineStr">
        <is>
          <t>PITEÅ</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49153-2025</t>
        </is>
      </c>
      <c r="B536" s="1" t="n">
        <v>45938.34552083333</v>
      </c>
      <c r="C536" s="1" t="n">
        <v>46074</v>
      </c>
      <c r="D536" t="inlineStr">
        <is>
          <t>NORRBOTTENS LÄN</t>
        </is>
      </c>
      <c r="E536" t="inlineStr">
        <is>
          <t>PITEÅ</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49152-2025</t>
        </is>
      </c>
      <c r="B537" s="1" t="n">
        <v>45938.34530092592</v>
      </c>
      <c r="C537" s="1" t="n">
        <v>46074</v>
      </c>
      <c r="D537" t="inlineStr">
        <is>
          <t>NORRBOTTENS LÄN</t>
        </is>
      </c>
      <c r="E537" t="inlineStr">
        <is>
          <t>PITEÅ</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57892-2023</t>
        </is>
      </c>
      <c r="B538" s="1" t="n">
        <v>45244</v>
      </c>
      <c r="C538" s="1" t="n">
        <v>46074</v>
      </c>
      <c r="D538" t="inlineStr">
        <is>
          <t>NORRBOTTENS LÄN</t>
        </is>
      </c>
      <c r="E538" t="inlineStr">
        <is>
          <t>PITEÅ</t>
        </is>
      </c>
      <c r="G538" t="n">
        <v>3.1</v>
      </c>
      <c r="H538" t="n">
        <v>0</v>
      </c>
      <c r="I538" t="n">
        <v>0</v>
      </c>
      <c r="J538" t="n">
        <v>0</v>
      </c>
      <c r="K538" t="n">
        <v>0</v>
      </c>
      <c r="L538" t="n">
        <v>0</v>
      </c>
      <c r="M538" t="n">
        <v>0</v>
      </c>
      <c r="N538" t="n">
        <v>0</v>
      </c>
      <c r="O538" t="n">
        <v>0</v>
      </c>
      <c r="P538" t="n">
        <v>0</v>
      </c>
      <c r="Q538" t="n">
        <v>0</v>
      </c>
      <c r="R538" s="2" t="inlineStr"/>
    </row>
    <row r="539" ht="15" customHeight="1">
      <c r="A539" t="inlineStr">
        <is>
          <t>A 38244-2025</t>
        </is>
      </c>
      <c r="B539" s="1" t="n">
        <v>45883.36557870371</v>
      </c>
      <c r="C539" s="1" t="n">
        <v>46074</v>
      </c>
      <c r="D539" t="inlineStr">
        <is>
          <t>NORRBOTTENS LÄN</t>
        </is>
      </c>
      <c r="E539" t="inlineStr">
        <is>
          <t>PITEÅ</t>
        </is>
      </c>
      <c r="G539" t="n">
        <v>5.4</v>
      </c>
      <c r="H539" t="n">
        <v>0</v>
      </c>
      <c r="I539" t="n">
        <v>0</v>
      </c>
      <c r="J539" t="n">
        <v>0</v>
      </c>
      <c r="K539" t="n">
        <v>0</v>
      </c>
      <c r="L539" t="n">
        <v>0</v>
      </c>
      <c r="M539" t="n">
        <v>0</v>
      </c>
      <c r="N539" t="n">
        <v>0</v>
      </c>
      <c r="O539" t="n">
        <v>0</v>
      </c>
      <c r="P539" t="n">
        <v>0</v>
      </c>
      <c r="Q539" t="n">
        <v>0</v>
      </c>
      <c r="R539" s="2" t="inlineStr"/>
    </row>
    <row r="540" ht="15" customHeight="1">
      <c r="A540" t="inlineStr">
        <is>
          <t>A 49060-2025</t>
        </is>
      </c>
      <c r="B540" s="1" t="n">
        <v>45937.64141203704</v>
      </c>
      <c r="C540" s="1" t="n">
        <v>46074</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45085-2025</t>
        </is>
      </c>
      <c r="B541" s="1" t="n">
        <v>45919</v>
      </c>
      <c r="C541" s="1" t="n">
        <v>46074</v>
      </c>
      <c r="D541" t="inlineStr">
        <is>
          <t>NORRBOTTENS LÄN</t>
        </is>
      </c>
      <c r="E541" t="inlineStr">
        <is>
          <t>PITEÅ</t>
        </is>
      </c>
      <c r="G541" t="n">
        <v>4.3</v>
      </c>
      <c r="H541" t="n">
        <v>0</v>
      </c>
      <c r="I541" t="n">
        <v>0</v>
      </c>
      <c r="J541" t="n">
        <v>0</v>
      </c>
      <c r="K541" t="n">
        <v>0</v>
      </c>
      <c r="L541" t="n">
        <v>0</v>
      </c>
      <c r="M541" t="n">
        <v>0</v>
      </c>
      <c r="N541" t="n">
        <v>0</v>
      </c>
      <c r="O541" t="n">
        <v>0</v>
      </c>
      <c r="P541" t="n">
        <v>0</v>
      </c>
      <c r="Q541" t="n">
        <v>0</v>
      </c>
      <c r="R541" s="2" t="inlineStr"/>
    </row>
    <row r="542" ht="15" customHeight="1">
      <c r="A542" t="inlineStr">
        <is>
          <t>A 64571-2023</t>
        </is>
      </c>
      <c r="B542" s="1" t="n">
        <v>45281.434375</v>
      </c>
      <c r="C542" s="1" t="n">
        <v>46074</v>
      </c>
      <c r="D542" t="inlineStr">
        <is>
          <t>NORRBOTTENS LÄN</t>
        </is>
      </c>
      <c r="E542" t="inlineStr">
        <is>
          <t>PITEÅ</t>
        </is>
      </c>
      <c r="G542" t="n">
        <v>4.1</v>
      </c>
      <c r="H542" t="n">
        <v>0</v>
      </c>
      <c r="I542" t="n">
        <v>0</v>
      </c>
      <c r="J542" t="n">
        <v>0</v>
      </c>
      <c r="K542" t="n">
        <v>0</v>
      </c>
      <c r="L542" t="n">
        <v>0</v>
      </c>
      <c r="M542" t="n">
        <v>0</v>
      </c>
      <c r="N542" t="n">
        <v>0</v>
      </c>
      <c r="O542" t="n">
        <v>0</v>
      </c>
      <c r="P542" t="n">
        <v>0</v>
      </c>
      <c r="Q542" t="n">
        <v>0</v>
      </c>
      <c r="R542" s="2" t="inlineStr"/>
    </row>
    <row r="543" ht="15" customHeight="1">
      <c r="A543" t="inlineStr">
        <is>
          <t>A 49974-2025</t>
        </is>
      </c>
      <c r="B543" s="1" t="n">
        <v>45942.49037037037</v>
      </c>
      <c r="C543" s="1" t="n">
        <v>46074</v>
      </c>
      <c r="D543" t="inlineStr">
        <is>
          <t>NORRBOTTENS LÄN</t>
        </is>
      </c>
      <c r="E543" t="inlineStr">
        <is>
          <t>PITEÅ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58973-2024</t>
        </is>
      </c>
      <c r="B544" s="1" t="n">
        <v>45636.60680555556</v>
      </c>
      <c r="C544" s="1" t="n">
        <v>46074</v>
      </c>
      <c r="D544" t="inlineStr">
        <is>
          <t>NORRBOTTENS LÄN</t>
        </is>
      </c>
      <c r="E544" t="inlineStr">
        <is>
          <t>PITEÅ</t>
        </is>
      </c>
      <c r="G544" t="n">
        <v>2.9</v>
      </c>
      <c r="H544" t="n">
        <v>0</v>
      </c>
      <c r="I544" t="n">
        <v>0</v>
      </c>
      <c r="J544" t="n">
        <v>0</v>
      </c>
      <c r="K544" t="n">
        <v>0</v>
      </c>
      <c r="L544" t="n">
        <v>0</v>
      </c>
      <c r="M544" t="n">
        <v>0</v>
      </c>
      <c r="N544" t="n">
        <v>0</v>
      </c>
      <c r="O544" t="n">
        <v>0</v>
      </c>
      <c r="P544" t="n">
        <v>0</v>
      </c>
      <c r="Q544" t="n">
        <v>0</v>
      </c>
      <c r="R544" s="2" t="inlineStr"/>
    </row>
    <row r="545" ht="15" customHeight="1">
      <c r="A545" t="inlineStr">
        <is>
          <t>A 49885-2025</t>
        </is>
      </c>
      <c r="B545" s="1" t="n">
        <v>45940.57060185185</v>
      </c>
      <c r="C545" s="1" t="n">
        <v>46074</v>
      </c>
      <c r="D545" t="inlineStr">
        <is>
          <t>NORRBOTTENS LÄN</t>
        </is>
      </c>
      <c r="E545" t="inlineStr">
        <is>
          <t>PITEÅ</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49757-2025</t>
        </is>
      </c>
      <c r="B546" s="1" t="n">
        <v>45940.34592592593</v>
      </c>
      <c r="C546" s="1" t="n">
        <v>46074</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49973-2025</t>
        </is>
      </c>
      <c r="B547" s="1" t="n">
        <v>45942.4903125</v>
      </c>
      <c r="C547" s="1" t="n">
        <v>46074</v>
      </c>
      <c r="D547" t="inlineStr">
        <is>
          <t>NORRBOTTENS LÄN</t>
        </is>
      </c>
      <c r="E547" t="inlineStr">
        <is>
          <t>PITEÅ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33923-2024</t>
        </is>
      </c>
      <c r="B548" s="1" t="n">
        <v>45523</v>
      </c>
      <c r="C548" s="1" t="n">
        <v>46074</v>
      </c>
      <c r="D548" t="inlineStr">
        <is>
          <t>NORRBOTTENS LÄN</t>
        </is>
      </c>
      <c r="E548" t="inlineStr">
        <is>
          <t>PITEÅ</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46074</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50031-2021</t>
        </is>
      </c>
      <c r="B550" s="1" t="n">
        <v>44454</v>
      </c>
      <c r="C550" s="1" t="n">
        <v>46074</v>
      </c>
      <c r="D550" t="inlineStr">
        <is>
          <t>NORRBOTTENS LÄN</t>
        </is>
      </c>
      <c r="E550" t="inlineStr">
        <is>
          <t>PITEÅ</t>
        </is>
      </c>
      <c r="G550" t="n">
        <v>10.5</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46074</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46074</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46074</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55114-2023</t>
        </is>
      </c>
      <c r="B554" s="1" t="n">
        <v>45237.4725462963</v>
      </c>
      <c r="C554" s="1" t="n">
        <v>46074</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50641-2025</t>
        </is>
      </c>
      <c r="B555" s="1" t="n">
        <v>45945</v>
      </c>
      <c r="C555" s="1" t="n">
        <v>46074</v>
      </c>
      <c r="D555" t="inlineStr">
        <is>
          <t>NORRBOTTENS LÄN</t>
        </is>
      </c>
      <c r="E555" t="inlineStr">
        <is>
          <t>PITEÅ</t>
        </is>
      </c>
      <c r="G555" t="n">
        <v>23.5</v>
      </c>
      <c r="H555" t="n">
        <v>0</v>
      </c>
      <c r="I555" t="n">
        <v>0</v>
      </c>
      <c r="J555" t="n">
        <v>0</v>
      </c>
      <c r="K555" t="n">
        <v>0</v>
      </c>
      <c r="L555" t="n">
        <v>0</v>
      </c>
      <c r="M555" t="n">
        <v>0</v>
      </c>
      <c r="N555" t="n">
        <v>0</v>
      </c>
      <c r="O555" t="n">
        <v>0</v>
      </c>
      <c r="P555" t="n">
        <v>0</v>
      </c>
      <c r="Q555" t="n">
        <v>0</v>
      </c>
      <c r="R555" s="2" t="inlineStr"/>
    </row>
    <row r="556" ht="15" customHeight="1">
      <c r="A556" t="inlineStr">
        <is>
          <t>A 50426-2025</t>
        </is>
      </c>
      <c r="B556" s="1" t="n">
        <v>45944.67363425926</v>
      </c>
      <c r="C556" s="1" t="n">
        <v>46074</v>
      </c>
      <c r="D556" t="inlineStr">
        <is>
          <t>NORRBOTTENS LÄN</t>
        </is>
      </c>
      <c r="E556" t="inlineStr">
        <is>
          <t>PITEÅ</t>
        </is>
      </c>
      <c r="F556" t="inlineStr">
        <is>
          <t>Övriga Aktiebolag</t>
        </is>
      </c>
      <c r="G556" t="n">
        <v>13</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46074</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50475-2025</t>
        </is>
      </c>
      <c r="B558" s="1" t="n">
        <v>45945.3653125</v>
      </c>
      <c r="C558" s="1" t="n">
        <v>46074</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15815-2025</t>
        </is>
      </c>
      <c r="B559" s="1" t="n">
        <v>45748.66990740741</v>
      </c>
      <c r="C559" s="1" t="n">
        <v>46074</v>
      </c>
      <c r="D559" t="inlineStr">
        <is>
          <t>NORRBOTTENS LÄN</t>
        </is>
      </c>
      <c r="E559" t="inlineStr">
        <is>
          <t>PITEÅ</t>
        </is>
      </c>
      <c r="G559" t="n">
        <v>7.5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46074</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50448-2025</t>
        </is>
      </c>
      <c r="B561" s="1" t="n">
        <v>45945.29070601852</v>
      </c>
      <c r="C561" s="1" t="n">
        <v>46074</v>
      </c>
      <c r="D561" t="inlineStr">
        <is>
          <t>NORRBOTTENS LÄN</t>
        </is>
      </c>
      <c r="E561" t="inlineStr">
        <is>
          <t>PITEÅ</t>
        </is>
      </c>
      <c r="F561" t="inlineStr">
        <is>
          <t>Sveaskog</t>
        </is>
      </c>
      <c r="G561" t="n">
        <v>24.2</v>
      </c>
      <c r="H561" t="n">
        <v>0</v>
      </c>
      <c r="I561" t="n">
        <v>0</v>
      </c>
      <c r="J561" t="n">
        <v>0</v>
      </c>
      <c r="K561" t="n">
        <v>0</v>
      </c>
      <c r="L561" t="n">
        <v>0</v>
      </c>
      <c r="M561" t="n">
        <v>0</v>
      </c>
      <c r="N561" t="n">
        <v>0</v>
      </c>
      <c r="O561" t="n">
        <v>0</v>
      </c>
      <c r="P561" t="n">
        <v>0</v>
      </c>
      <c r="Q561" t="n">
        <v>0</v>
      </c>
      <c r="R561" s="2" t="inlineStr"/>
    </row>
    <row r="562" ht="15" customHeight="1">
      <c r="A562" t="inlineStr">
        <is>
          <t>A 50486-2025</t>
        </is>
      </c>
      <c r="B562" s="1" t="n">
        <v>45945.3859375</v>
      </c>
      <c r="C562" s="1" t="n">
        <v>46074</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50500-2025</t>
        </is>
      </c>
      <c r="B563" s="1" t="n">
        <v>45945.41836805556</v>
      </c>
      <c r="C563" s="1" t="n">
        <v>46074</v>
      </c>
      <c r="D563" t="inlineStr">
        <is>
          <t>NORRBOTTENS LÄN</t>
        </is>
      </c>
      <c r="E563" t="inlineStr">
        <is>
          <t>PITEÅ</t>
        </is>
      </c>
      <c r="G563" t="n">
        <v>6.1</v>
      </c>
      <c r="H563" t="n">
        <v>0</v>
      </c>
      <c r="I563" t="n">
        <v>0</v>
      </c>
      <c r="J563" t="n">
        <v>0</v>
      </c>
      <c r="K563" t="n">
        <v>0</v>
      </c>
      <c r="L563" t="n">
        <v>0</v>
      </c>
      <c r="M563" t="n">
        <v>0</v>
      </c>
      <c r="N563" t="n">
        <v>0</v>
      </c>
      <c r="O563" t="n">
        <v>0</v>
      </c>
      <c r="P563" t="n">
        <v>0</v>
      </c>
      <c r="Q563" t="n">
        <v>0</v>
      </c>
      <c r="R563" s="2" t="inlineStr"/>
    </row>
    <row r="564" ht="15" customHeight="1">
      <c r="A564" t="inlineStr">
        <is>
          <t>A 11809-2024</t>
        </is>
      </c>
      <c r="B564" s="1" t="n">
        <v>45375</v>
      </c>
      <c r="C564" s="1" t="n">
        <v>46074</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11971-2024</t>
        </is>
      </c>
      <c r="B565" s="1" t="n">
        <v>45376</v>
      </c>
      <c r="C565" s="1" t="n">
        <v>46074</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50489-2025</t>
        </is>
      </c>
      <c r="B566" s="1" t="n">
        <v>45945.39273148148</v>
      </c>
      <c r="C566" s="1" t="n">
        <v>46074</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50496-2025</t>
        </is>
      </c>
      <c r="B567" s="1" t="n">
        <v>45945</v>
      </c>
      <c r="C567" s="1" t="n">
        <v>46074</v>
      </c>
      <c r="D567" t="inlineStr">
        <is>
          <t>NORRBOTTENS LÄN</t>
        </is>
      </c>
      <c r="E567" t="inlineStr">
        <is>
          <t>PITEÅ</t>
        </is>
      </c>
      <c r="G567" t="n">
        <v>2.2</v>
      </c>
      <c r="H567" t="n">
        <v>0</v>
      </c>
      <c r="I567" t="n">
        <v>0</v>
      </c>
      <c r="J567" t="n">
        <v>0</v>
      </c>
      <c r="K567" t="n">
        <v>0</v>
      </c>
      <c r="L567" t="n">
        <v>0</v>
      </c>
      <c r="M567" t="n">
        <v>0</v>
      </c>
      <c r="N567" t="n">
        <v>0</v>
      </c>
      <c r="O567" t="n">
        <v>0</v>
      </c>
      <c r="P567" t="n">
        <v>0</v>
      </c>
      <c r="Q567" t="n">
        <v>0</v>
      </c>
      <c r="R567" s="2" t="inlineStr"/>
    </row>
    <row r="568" ht="15" customHeight="1">
      <c r="A568" t="inlineStr">
        <is>
          <t>A 50476-2025</t>
        </is>
      </c>
      <c r="B568" s="1" t="n">
        <v>45945.36537037037</v>
      </c>
      <c r="C568" s="1" t="n">
        <v>46074</v>
      </c>
      <c r="D568" t="inlineStr">
        <is>
          <t>NORRBOTTENS LÄN</t>
        </is>
      </c>
      <c r="E568" t="inlineStr">
        <is>
          <t>PITEÅ</t>
        </is>
      </c>
      <c r="G568" t="n">
        <v>0.6</v>
      </c>
      <c r="H568" t="n">
        <v>0</v>
      </c>
      <c r="I568" t="n">
        <v>0</v>
      </c>
      <c r="J568" t="n">
        <v>0</v>
      </c>
      <c r="K568" t="n">
        <v>0</v>
      </c>
      <c r="L568" t="n">
        <v>0</v>
      </c>
      <c r="M568" t="n">
        <v>0</v>
      </c>
      <c r="N568" t="n">
        <v>0</v>
      </c>
      <c r="O568" t="n">
        <v>0</v>
      </c>
      <c r="P568" t="n">
        <v>0</v>
      </c>
      <c r="Q568" t="n">
        <v>0</v>
      </c>
      <c r="R568" s="2" t="inlineStr"/>
    </row>
    <row r="569" ht="15" customHeight="1">
      <c r="A569" t="inlineStr">
        <is>
          <t>A 27923-2023</t>
        </is>
      </c>
      <c r="B569" s="1" t="n">
        <v>45098</v>
      </c>
      <c r="C569" s="1" t="n">
        <v>46074</v>
      </c>
      <c r="D569" t="inlineStr">
        <is>
          <t>NORRBOTTENS LÄN</t>
        </is>
      </c>
      <c r="E569" t="inlineStr">
        <is>
          <t>PITEÅ</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46074</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50924-2025</t>
        </is>
      </c>
      <c r="B571" s="1" t="n">
        <v>45946.67771990741</v>
      </c>
      <c r="C571" s="1" t="n">
        <v>46074</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4242-2024</t>
        </is>
      </c>
      <c r="B572" s="1" t="n">
        <v>45324.46291666666</v>
      </c>
      <c r="C572" s="1" t="n">
        <v>46074</v>
      </c>
      <c r="D572" t="inlineStr">
        <is>
          <t>NORRBOTTENS LÄN</t>
        </is>
      </c>
      <c r="E572" t="inlineStr">
        <is>
          <t>PITEÅ</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46074</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46074</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51375-2025</t>
        </is>
      </c>
      <c r="B575" s="1" t="n">
        <v>45950.45288194445</v>
      </c>
      <c r="C575" s="1" t="n">
        <v>46074</v>
      </c>
      <c r="D575" t="inlineStr">
        <is>
          <t>NORRBOTTENS LÄN</t>
        </is>
      </c>
      <c r="E575" t="inlineStr">
        <is>
          <t>PITEÅ</t>
        </is>
      </c>
      <c r="G575" t="n">
        <v>0.8</v>
      </c>
      <c r="H575" t="n">
        <v>0</v>
      </c>
      <c r="I575" t="n">
        <v>0</v>
      </c>
      <c r="J575" t="n">
        <v>0</v>
      </c>
      <c r="K575" t="n">
        <v>0</v>
      </c>
      <c r="L575" t="n">
        <v>0</v>
      </c>
      <c r="M575" t="n">
        <v>0</v>
      </c>
      <c r="N575" t="n">
        <v>0</v>
      </c>
      <c r="O575" t="n">
        <v>0</v>
      </c>
      <c r="P575" t="n">
        <v>0</v>
      </c>
      <c r="Q575" t="n">
        <v>0</v>
      </c>
      <c r="R575" s="2" t="inlineStr"/>
    </row>
    <row r="576" ht="15" customHeight="1">
      <c r="A576" t="inlineStr">
        <is>
          <t>A 55124-2023</t>
        </is>
      </c>
      <c r="B576" s="1" t="n">
        <v>45237.48104166667</v>
      </c>
      <c r="C576" s="1" t="n">
        <v>46074</v>
      </c>
      <c r="D576" t="inlineStr">
        <is>
          <t>NORRBOTTENS LÄN</t>
        </is>
      </c>
      <c r="E576" t="inlineStr">
        <is>
          <t>PITEÅ</t>
        </is>
      </c>
      <c r="G576" t="n">
        <v>0.5</v>
      </c>
      <c r="H576" t="n">
        <v>0</v>
      </c>
      <c r="I576" t="n">
        <v>0</v>
      </c>
      <c r="J576" t="n">
        <v>0</v>
      </c>
      <c r="K576" t="n">
        <v>0</v>
      </c>
      <c r="L576" t="n">
        <v>0</v>
      </c>
      <c r="M576" t="n">
        <v>0</v>
      </c>
      <c r="N576" t="n">
        <v>0</v>
      </c>
      <c r="O576" t="n">
        <v>0</v>
      </c>
      <c r="P576" t="n">
        <v>0</v>
      </c>
      <c r="Q576" t="n">
        <v>0</v>
      </c>
      <c r="R576" s="2" t="inlineStr"/>
    </row>
    <row r="577" ht="15" customHeight="1">
      <c r="A577" t="inlineStr">
        <is>
          <t>A 52355-2022</t>
        </is>
      </c>
      <c r="B577" s="1" t="n">
        <v>44874</v>
      </c>
      <c r="C577" s="1" t="n">
        <v>46074</v>
      </c>
      <c r="D577" t="inlineStr">
        <is>
          <t>NORRBOTTENS LÄN</t>
        </is>
      </c>
      <c r="E577" t="inlineStr">
        <is>
          <t>PITEÅ</t>
        </is>
      </c>
      <c r="G577" t="n">
        <v>11.1</v>
      </c>
      <c r="H577" t="n">
        <v>0</v>
      </c>
      <c r="I577" t="n">
        <v>0</v>
      </c>
      <c r="J577" t="n">
        <v>0</v>
      </c>
      <c r="K577" t="n">
        <v>0</v>
      </c>
      <c r="L577" t="n">
        <v>0</v>
      </c>
      <c r="M577" t="n">
        <v>0</v>
      </c>
      <c r="N577" t="n">
        <v>0</v>
      </c>
      <c r="O577" t="n">
        <v>0</v>
      </c>
      <c r="P577" t="n">
        <v>0</v>
      </c>
      <c r="Q577" t="n">
        <v>0</v>
      </c>
      <c r="R577" s="2" t="inlineStr"/>
    </row>
    <row r="578" ht="15" customHeight="1">
      <c r="A578" t="inlineStr">
        <is>
          <t>A 51264-2025</t>
        </is>
      </c>
      <c r="B578" s="1" t="n">
        <v>45949.69255787037</v>
      </c>
      <c r="C578" s="1" t="n">
        <v>46074</v>
      </c>
      <c r="D578" t="inlineStr">
        <is>
          <t>NORRBOTTENS LÄN</t>
        </is>
      </c>
      <c r="E578" t="inlineStr">
        <is>
          <t>PITEÅ</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51322-2025</t>
        </is>
      </c>
      <c r="B579" s="1" t="n">
        <v>45950.38770833334</v>
      </c>
      <c r="C579" s="1" t="n">
        <v>46074</v>
      </c>
      <c r="D579" t="inlineStr">
        <is>
          <t>NORRBOTTENS LÄN</t>
        </is>
      </c>
      <c r="E579" t="inlineStr">
        <is>
          <t>PITEÅ</t>
        </is>
      </c>
      <c r="G579" t="n">
        <v>4</v>
      </c>
      <c r="H579" t="n">
        <v>0</v>
      </c>
      <c r="I579" t="n">
        <v>0</v>
      </c>
      <c r="J579" t="n">
        <v>0</v>
      </c>
      <c r="K579" t="n">
        <v>0</v>
      </c>
      <c r="L579" t="n">
        <v>0</v>
      </c>
      <c r="M579" t="n">
        <v>0</v>
      </c>
      <c r="N579" t="n">
        <v>0</v>
      </c>
      <c r="O579" t="n">
        <v>0</v>
      </c>
      <c r="P579" t="n">
        <v>0</v>
      </c>
      <c r="Q579" t="n">
        <v>0</v>
      </c>
      <c r="R579" s="2" t="inlineStr"/>
    </row>
    <row r="580" ht="15" customHeight="1">
      <c r="A580" t="inlineStr">
        <is>
          <t>A 51571-2025</t>
        </is>
      </c>
      <c r="B580" s="1" t="n">
        <v>45951.33339120371</v>
      </c>
      <c r="C580" s="1" t="n">
        <v>46074</v>
      </c>
      <c r="D580" t="inlineStr">
        <is>
          <t>NORRBOTTENS LÄN</t>
        </is>
      </c>
      <c r="E580" t="inlineStr">
        <is>
          <t>PITEÅ</t>
        </is>
      </c>
      <c r="G580" t="n">
        <v>5.3</v>
      </c>
      <c r="H580" t="n">
        <v>0</v>
      </c>
      <c r="I580" t="n">
        <v>0</v>
      </c>
      <c r="J580" t="n">
        <v>0</v>
      </c>
      <c r="K580" t="n">
        <v>0</v>
      </c>
      <c r="L580" t="n">
        <v>0</v>
      </c>
      <c r="M580" t="n">
        <v>0</v>
      </c>
      <c r="N580" t="n">
        <v>0</v>
      </c>
      <c r="O580" t="n">
        <v>0</v>
      </c>
      <c r="P580" t="n">
        <v>0</v>
      </c>
      <c r="Q580" t="n">
        <v>0</v>
      </c>
      <c r="R580" s="2" t="inlineStr"/>
    </row>
    <row r="581" ht="15" customHeight="1">
      <c r="A581" t="inlineStr">
        <is>
          <t>A 14341-2024</t>
        </is>
      </c>
      <c r="B581" s="1" t="n">
        <v>45393</v>
      </c>
      <c r="C581" s="1" t="n">
        <v>46074</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43298-2021</t>
        </is>
      </c>
      <c r="B582" s="1" t="n">
        <v>44432</v>
      </c>
      <c r="C582" s="1" t="n">
        <v>46074</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18269-2022</t>
        </is>
      </c>
      <c r="B583" s="1" t="n">
        <v>44685</v>
      </c>
      <c r="C583" s="1" t="n">
        <v>46074</v>
      </c>
      <c r="D583" t="inlineStr">
        <is>
          <t>NORRBOTTENS LÄN</t>
        </is>
      </c>
      <c r="E583" t="inlineStr">
        <is>
          <t>PITEÅ</t>
        </is>
      </c>
      <c r="G583" t="n">
        <v>3</v>
      </c>
      <c r="H583" t="n">
        <v>0</v>
      </c>
      <c r="I583" t="n">
        <v>0</v>
      </c>
      <c r="J583" t="n">
        <v>0</v>
      </c>
      <c r="K583" t="n">
        <v>0</v>
      </c>
      <c r="L583" t="n">
        <v>0</v>
      </c>
      <c r="M583" t="n">
        <v>0</v>
      </c>
      <c r="N583" t="n">
        <v>0</v>
      </c>
      <c r="O583" t="n">
        <v>0</v>
      </c>
      <c r="P583" t="n">
        <v>0</v>
      </c>
      <c r="Q583" t="n">
        <v>0</v>
      </c>
      <c r="R583" s="2" t="inlineStr"/>
    </row>
    <row r="584" ht="15" customHeight="1">
      <c r="A584" t="inlineStr">
        <is>
          <t>A 51174-2023</t>
        </is>
      </c>
      <c r="B584" s="1" t="n">
        <v>45219.38791666667</v>
      </c>
      <c r="C584" s="1" t="n">
        <v>46074</v>
      </c>
      <c r="D584" t="inlineStr">
        <is>
          <t>NORRBOTTENS LÄN</t>
        </is>
      </c>
      <c r="E584" t="inlineStr">
        <is>
          <t>PITEÅ</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11964-2024</t>
        </is>
      </c>
      <c r="B585" s="1" t="n">
        <v>45376.92693287037</v>
      </c>
      <c r="C585" s="1" t="n">
        <v>46074</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52349-2025</t>
        </is>
      </c>
      <c r="B586" s="1" t="n">
        <v>45953.72067129629</v>
      </c>
      <c r="C586" s="1" t="n">
        <v>46074</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5525-2024</t>
        </is>
      </c>
      <c r="B587" s="1" t="n">
        <v>45334</v>
      </c>
      <c r="C587" s="1" t="n">
        <v>46074</v>
      </c>
      <c r="D587" t="inlineStr">
        <is>
          <t>NORRBOTTENS LÄN</t>
        </is>
      </c>
      <c r="E587" t="inlineStr">
        <is>
          <t>PITEÅ</t>
        </is>
      </c>
      <c r="G587" t="n">
        <v>63</v>
      </c>
      <c r="H587" t="n">
        <v>0</v>
      </c>
      <c r="I587" t="n">
        <v>0</v>
      </c>
      <c r="J587" t="n">
        <v>0</v>
      </c>
      <c r="K587" t="n">
        <v>0</v>
      </c>
      <c r="L587" t="n">
        <v>0</v>
      </c>
      <c r="M587" t="n">
        <v>0</v>
      </c>
      <c r="N587" t="n">
        <v>0</v>
      </c>
      <c r="O587" t="n">
        <v>0</v>
      </c>
      <c r="P587" t="n">
        <v>0</v>
      </c>
      <c r="Q587" t="n">
        <v>0</v>
      </c>
      <c r="R587" s="2" t="inlineStr"/>
    </row>
    <row r="588" ht="15" customHeight="1">
      <c r="A588" t="inlineStr">
        <is>
          <t>A 42520-2023</t>
        </is>
      </c>
      <c r="B588" s="1" t="n">
        <v>45180.96025462963</v>
      </c>
      <c r="C588" s="1" t="n">
        <v>46074</v>
      </c>
      <c r="D588" t="inlineStr">
        <is>
          <t>NORRBOTTENS LÄN</t>
        </is>
      </c>
      <c r="E588" t="inlineStr">
        <is>
          <t>PITEÅ</t>
        </is>
      </c>
      <c r="F588" t="inlineStr">
        <is>
          <t>Naturvårdsverket</t>
        </is>
      </c>
      <c r="G588" t="n">
        <v>1.6</v>
      </c>
      <c r="H588" t="n">
        <v>0</v>
      </c>
      <c r="I588" t="n">
        <v>0</v>
      </c>
      <c r="J588" t="n">
        <v>0</v>
      </c>
      <c r="K588" t="n">
        <v>0</v>
      </c>
      <c r="L588" t="n">
        <v>0</v>
      </c>
      <c r="M588" t="n">
        <v>0</v>
      </c>
      <c r="N588" t="n">
        <v>0</v>
      </c>
      <c r="O588" t="n">
        <v>0</v>
      </c>
      <c r="P588" t="n">
        <v>0</v>
      </c>
      <c r="Q588" t="n">
        <v>0</v>
      </c>
      <c r="R588" s="2" t="inlineStr"/>
    </row>
    <row r="589" ht="15" customHeight="1">
      <c r="A589" t="inlineStr">
        <is>
          <t>A 40813-2022</t>
        </is>
      </c>
      <c r="B589" s="1" t="n">
        <v>44824</v>
      </c>
      <c r="C589" s="1" t="n">
        <v>46074</v>
      </c>
      <c r="D589" t="inlineStr">
        <is>
          <t>NORRBOTTENS LÄN</t>
        </is>
      </c>
      <c r="E589" t="inlineStr">
        <is>
          <t>PITEÅ</t>
        </is>
      </c>
      <c r="G589" t="n">
        <v>3.4</v>
      </c>
      <c r="H589" t="n">
        <v>0</v>
      </c>
      <c r="I589" t="n">
        <v>0</v>
      </c>
      <c r="J589" t="n">
        <v>0</v>
      </c>
      <c r="K589" t="n">
        <v>0</v>
      </c>
      <c r="L589" t="n">
        <v>0</v>
      </c>
      <c r="M589" t="n">
        <v>0</v>
      </c>
      <c r="N589" t="n">
        <v>0</v>
      </c>
      <c r="O589" t="n">
        <v>0</v>
      </c>
      <c r="P589" t="n">
        <v>0</v>
      </c>
      <c r="Q589" t="n">
        <v>0</v>
      </c>
      <c r="R589" s="2" t="inlineStr"/>
    </row>
    <row r="590" ht="15" customHeight="1">
      <c r="A590" t="inlineStr">
        <is>
          <t>A 7928-2022</t>
        </is>
      </c>
      <c r="B590" s="1" t="n">
        <v>44608</v>
      </c>
      <c r="C590" s="1" t="n">
        <v>46074</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52435-2025</t>
        </is>
      </c>
      <c r="B591" s="1" t="n">
        <v>45952</v>
      </c>
      <c r="C591" s="1" t="n">
        <v>46074</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52474-2025</t>
        </is>
      </c>
      <c r="B592" s="1" t="n">
        <v>45954.46243055556</v>
      </c>
      <c r="C592" s="1" t="n">
        <v>46074</v>
      </c>
      <c r="D592" t="inlineStr">
        <is>
          <t>NORRBOTTENS LÄN</t>
        </is>
      </c>
      <c r="E592" t="inlineStr">
        <is>
          <t>PITEÅ</t>
        </is>
      </c>
      <c r="G592" t="n">
        <v>4.9</v>
      </c>
      <c r="H592" t="n">
        <v>0</v>
      </c>
      <c r="I592" t="n">
        <v>0</v>
      </c>
      <c r="J592" t="n">
        <v>0</v>
      </c>
      <c r="K592" t="n">
        <v>0</v>
      </c>
      <c r="L592" t="n">
        <v>0</v>
      </c>
      <c r="M592" t="n">
        <v>0</v>
      </c>
      <c r="N592" t="n">
        <v>0</v>
      </c>
      <c r="O592" t="n">
        <v>0</v>
      </c>
      <c r="P592" t="n">
        <v>0</v>
      </c>
      <c r="Q592" t="n">
        <v>0</v>
      </c>
      <c r="R592" s="2" t="inlineStr"/>
    </row>
    <row r="593" ht="15" customHeight="1">
      <c r="A593" t="inlineStr">
        <is>
          <t>A 52955-2025</t>
        </is>
      </c>
      <c r="B593" s="1" t="n">
        <v>45957.65670138889</v>
      </c>
      <c r="C593" s="1" t="n">
        <v>46074</v>
      </c>
      <c r="D593" t="inlineStr">
        <is>
          <t>NORRBOTTENS LÄN</t>
        </is>
      </c>
      <c r="E593" t="inlineStr">
        <is>
          <t>PITEÅ</t>
        </is>
      </c>
      <c r="G593" t="n">
        <v>3.6</v>
      </c>
      <c r="H593" t="n">
        <v>0</v>
      </c>
      <c r="I593" t="n">
        <v>0</v>
      </c>
      <c r="J593" t="n">
        <v>0</v>
      </c>
      <c r="K593" t="n">
        <v>0</v>
      </c>
      <c r="L593" t="n">
        <v>0</v>
      </c>
      <c r="M593" t="n">
        <v>0</v>
      </c>
      <c r="N593" t="n">
        <v>0</v>
      </c>
      <c r="O593" t="n">
        <v>0</v>
      </c>
      <c r="P593" t="n">
        <v>0</v>
      </c>
      <c r="Q593" t="n">
        <v>0</v>
      </c>
      <c r="R593" s="2" t="inlineStr"/>
    </row>
    <row r="594" ht="15" customHeight="1">
      <c r="A594" t="inlineStr">
        <is>
          <t>A 52603-2025</t>
        </is>
      </c>
      <c r="B594" s="1" t="n">
        <v>45954.65706018519</v>
      </c>
      <c r="C594" s="1" t="n">
        <v>46074</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39606-2024</t>
        </is>
      </c>
      <c r="B595" s="1" t="n">
        <v>45552</v>
      </c>
      <c r="C595" s="1" t="n">
        <v>46074</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52954-2025</t>
        </is>
      </c>
      <c r="B596" s="1" t="n">
        <v>45957.65662037037</v>
      </c>
      <c r="C596" s="1" t="n">
        <v>46074</v>
      </c>
      <c r="D596" t="inlineStr">
        <is>
          <t>NORRBOTTENS LÄN</t>
        </is>
      </c>
      <c r="E596" t="inlineStr">
        <is>
          <t>PITEÅ</t>
        </is>
      </c>
      <c r="G596" t="n">
        <v>2.7</v>
      </c>
      <c r="H596" t="n">
        <v>0</v>
      </c>
      <c r="I596" t="n">
        <v>0</v>
      </c>
      <c r="J596" t="n">
        <v>0</v>
      </c>
      <c r="K596" t="n">
        <v>0</v>
      </c>
      <c r="L596" t="n">
        <v>0</v>
      </c>
      <c r="M596" t="n">
        <v>0</v>
      </c>
      <c r="N596" t="n">
        <v>0</v>
      </c>
      <c r="O596" t="n">
        <v>0</v>
      </c>
      <c r="P596" t="n">
        <v>0</v>
      </c>
      <c r="Q596" t="n">
        <v>0</v>
      </c>
      <c r="R596" s="2" t="inlineStr"/>
    </row>
    <row r="597" ht="15" customHeight="1">
      <c r="A597" t="inlineStr">
        <is>
          <t>A 52650-2025</t>
        </is>
      </c>
      <c r="B597" s="1" t="n">
        <v>45955.34613425926</v>
      </c>
      <c r="C597" s="1" t="n">
        <v>46074</v>
      </c>
      <c r="D597" t="inlineStr">
        <is>
          <t>NORRBOTTENS LÄN</t>
        </is>
      </c>
      <c r="E597" t="inlineStr">
        <is>
          <t>PITEÅ</t>
        </is>
      </c>
      <c r="G597" t="n">
        <v>3.1</v>
      </c>
      <c r="H597" t="n">
        <v>0</v>
      </c>
      <c r="I597" t="n">
        <v>0</v>
      </c>
      <c r="J597" t="n">
        <v>0</v>
      </c>
      <c r="K597" t="n">
        <v>0</v>
      </c>
      <c r="L597" t="n">
        <v>0</v>
      </c>
      <c r="M597" t="n">
        <v>0</v>
      </c>
      <c r="N597" t="n">
        <v>0</v>
      </c>
      <c r="O597" t="n">
        <v>0</v>
      </c>
      <c r="P597" t="n">
        <v>0</v>
      </c>
      <c r="Q597" t="n">
        <v>0</v>
      </c>
      <c r="R597" s="2" t="inlineStr"/>
    </row>
    <row r="598" ht="15" customHeight="1">
      <c r="A598" t="inlineStr">
        <is>
          <t>A 9152-2025</t>
        </is>
      </c>
      <c r="B598" s="1" t="n">
        <v>45714.34454861111</v>
      </c>
      <c r="C598" s="1" t="n">
        <v>46074</v>
      </c>
      <c r="D598" t="inlineStr">
        <is>
          <t>NORRBOTTENS LÄN</t>
        </is>
      </c>
      <c r="E598" t="inlineStr">
        <is>
          <t>PITEÅ</t>
        </is>
      </c>
      <c r="G598" t="n">
        <v>14.9</v>
      </c>
      <c r="H598" t="n">
        <v>0</v>
      </c>
      <c r="I598" t="n">
        <v>0</v>
      </c>
      <c r="J598" t="n">
        <v>0</v>
      </c>
      <c r="K598" t="n">
        <v>0</v>
      </c>
      <c r="L598" t="n">
        <v>0</v>
      </c>
      <c r="M598" t="n">
        <v>0</v>
      </c>
      <c r="N598" t="n">
        <v>0</v>
      </c>
      <c r="O598" t="n">
        <v>0</v>
      </c>
      <c r="P598" t="n">
        <v>0</v>
      </c>
      <c r="Q598" t="n">
        <v>0</v>
      </c>
      <c r="R598" s="2" t="inlineStr"/>
    </row>
    <row r="599" ht="15" customHeight="1">
      <c r="A599" t="inlineStr">
        <is>
          <t>A 52618-2025</t>
        </is>
      </c>
      <c r="B599" s="1" t="n">
        <v>45954.67841435185</v>
      </c>
      <c r="C599" s="1" t="n">
        <v>46074</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52649-2025</t>
        </is>
      </c>
      <c r="B600" s="1" t="n">
        <v>45955.34609953704</v>
      </c>
      <c r="C600" s="1" t="n">
        <v>46074</v>
      </c>
      <c r="D600" t="inlineStr">
        <is>
          <t>NORRBOTTENS LÄN</t>
        </is>
      </c>
      <c r="E600" t="inlineStr">
        <is>
          <t>PITEÅ</t>
        </is>
      </c>
      <c r="G600" t="n">
        <v>3.7</v>
      </c>
      <c r="H600" t="n">
        <v>0</v>
      </c>
      <c r="I600" t="n">
        <v>0</v>
      </c>
      <c r="J600" t="n">
        <v>0</v>
      </c>
      <c r="K600" t="n">
        <v>0</v>
      </c>
      <c r="L600" t="n">
        <v>0</v>
      </c>
      <c r="M600" t="n">
        <v>0</v>
      </c>
      <c r="N600" t="n">
        <v>0</v>
      </c>
      <c r="O600" t="n">
        <v>0</v>
      </c>
      <c r="P600" t="n">
        <v>0</v>
      </c>
      <c r="Q600" t="n">
        <v>0</v>
      </c>
      <c r="R600" s="2" t="inlineStr"/>
    </row>
    <row r="601" ht="15" customHeight="1">
      <c r="A601" t="inlineStr">
        <is>
          <t>A 52651-2025</t>
        </is>
      </c>
      <c r="B601" s="1" t="n">
        <v>45955.34616898148</v>
      </c>
      <c r="C601" s="1" t="n">
        <v>46074</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52655-2025</t>
        </is>
      </c>
      <c r="B602" s="1" t="n">
        <v>45955.34633101852</v>
      </c>
      <c r="C602" s="1" t="n">
        <v>46074</v>
      </c>
      <c r="D602" t="inlineStr">
        <is>
          <t>NORRBOTTENS LÄN</t>
        </is>
      </c>
      <c r="E602" t="inlineStr">
        <is>
          <t>PITEÅ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52679-2025</t>
        </is>
      </c>
      <c r="B603" s="1" t="n">
        <v>45956</v>
      </c>
      <c r="C603" s="1" t="n">
        <v>46074</v>
      </c>
      <c r="D603" t="inlineStr">
        <is>
          <t>NORRBOTTENS LÄN</t>
        </is>
      </c>
      <c r="E603" t="inlineStr">
        <is>
          <t>PITEÅ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61711-2022</t>
        </is>
      </c>
      <c r="B604" s="1" t="n">
        <v>44917</v>
      </c>
      <c r="C604" s="1" t="n">
        <v>46074</v>
      </c>
      <c r="D604" t="inlineStr">
        <is>
          <t>NORRBOTTENS LÄN</t>
        </is>
      </c>
      <c r="E604" t="inlineStr">
        <is>
          <t>PITEÅ</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52617-2025</t>
        </is>
      </c>
      <c r="B605" s="1" t="n">
        <v>45954.67832175926</v>
      </c>
      <c r="C605" s="1" t="n">
        <v>46074</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52647-2025</t>
        </is>
      </c>
      <c r="B606" s="1" t="n">
        <v>45955</v>
      </c>
      <c r="C606" s="1" t="n">
        <v>46074</v>
      </c>
      <c r="D606" t="inlineStr">
        <is>
          <t>NORRBOTTENS LÄN</t>
        </is>
      </c>
      <c r="E606" t="inlineStr">
        <is>
          <t>PITEÅ</t>
        </is>
      </c>
      <c r="G606" t="n">
        <v>2.2</v>
      </c>
      <c r="H606" t="n">
        <v>0</v>
      </c>
      <c r="I606" t="n">
        <v>0</v>
      </c>
      <c r="J606" t="n">
        <v>0</v>
      </c>
      <c r="K606" t="n">
        <v>0</v>
      </c>
      <c r="L606" t="n">
        <v>0</v>
      </c>
      <c r="M606" t="n">
        <v>0</v>
      </c>
      <c r="N606" t="n">
        <v>0</v>
      </c>
      <c r="O606" t="n">
        <v>0</v>
      </c>
      <c r="P606" t="n">
        <v>0</v>
      </c>
      <c r="Q606" t="n">
        <v>0</v>
      </c>
      <c r="R606" s="2" t="inlineStr"/>
    </row>
    <row r="607" ht="15" customHeight="1">
      <c r="A607" t="inlineStr">
        <is>
          <t>A 52652-2025</t>
        </is>
      </c>
      <c r="B607" s="1" t="n">
        <v>45955.3462037037</v>
      </c>
      <c r="C607" s="1" t="n">
        <v>46074</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52653-2025</t>
        </is>
      </c>
      <c r="B608" s="1" t="n">
        <v>45955.34627314815</v>
      </c>
      <c r="C608" s="1" t="n">
        <v>46074</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52654-2025</t>
        </is>
      </c>
      <c r="B609" s="1" t="n">
        <v>45955.34628472223</v>
      </c>
      <c r="C609" s="1" t="n">
        <v>46074</v>
      </c>
      <c r="D609" t="inlineStr">
        <is>
          <t>NORRBOTTENS LÄN</t>
        </is>
      </c>
      <c r="E609" t="inlineStr">
        <is>
          <t>PITEÅ</t>
        </is>
      </c>
      <c r="G609" t="n">
        <v>1.9</v>
      </c>
      <c r="H609" t="n">
        <v>0</v>
      </c>
      <c r="I609" t="n">
        <v>0</v>
      </c>
      <c r="J609" t="n">
        <v>0</v>
      </c>
      <c r="K609" t="n">
        <v>0</v>
      </c>
      <c r="L609" t="n">
        <v>0</v>
      </c>
      <c r="M609" t="n">
        <v>0</v>
      </c>
      <c r="N609" t="n">
        <v>0</v>
      </c>
      <c r="O609" t="n">
        <v>0</v>
      </c>
      <c r="P609" t="n">
        <v>0</v>
      </c>
      <c r="Q609" t="n">
        <v>0</v>
      </c>
      <c r="R609" s="2" t="inlineStr"/>
    </row>
    <row r="610" ht="15" customHeight="1">
      <c r="A610" t="inlineStr">
        <is>
          <t>A 52656-2025</t>
        </is>
      </c>
      <c r="B610" s="1" t="n">
        <v>45955.34635416666</v>
      </c>
      <c r="C610" s="1" t="n">
        <v>46074</v>
      </c>
      <c r="D610" t="inlineStr">
        <is>
          <t>NORRBOTTENS LÄN</t>
        </is>
      </c>
      <c r="E610" t="inlineStr">
        <is>
          <t>PITEÅ</t>
        </is>
      </c>
      <c r="G610" t="n">
        <v>6.3</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46074</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52414-2025</t>
        </is>
      </c>
      <c r="B612" s="1" t="n">
        <v>45952</v>
      </c>
      <c r="C612" s="1" t="n">
        <v>46074</v>
      </c>
      <c r="D612" t="inlineStr">
        <is>
          <t>NORRBOTTENS LÄN</t>
        </is>
      </c>
      <c r="E612" t="inlineStr">
        <is>
          <t>PITEÅ</t>
        </is>
      </c>
      <c r="G612" t="n">
        <v>0.8</v>
      </c>
      <c r="H612" t="n">
        <v>0</v>
      </c>
      <c r="I612" t="n">
        <v>0</v>
      </c>
      <c r="J612" t="n">
        <v>0</v>
      </c>
      <c r="K612" t="n">
        <v>0</v>
      </c>
      <c r="L612" t="n">
        <v>0</v>
      </c>
      <c r="M612" t="n">
        <v>0</v>
      </c>
      <c r="N612" t="n">
        <v>0</v>
      </c>
      <c r="O612" t="n">
        <v>0</v>
      </c>
      <c r="P612" t="n">
        <v>0</v>
      </c>
      <c r="Q612" t="n">
        <v>0</v>
      </c>
      <c r="R612" s="2" t="inlineStr"/>
    </row>
    <row r="613" ht="15" customHeight="1">
      <c r="A613" t="inlineStr">
        <is>
          <t>A 52682-2025</t>
        </is>
      </c>
      <c r="B613" s="1" t="n">
        <v>45956</v>
      </c>
      <c r="C613" s="1" t="n">
        <v>46074</v>
      </c>
      <c r="D613" t="inlineStr">
        <is>
          <t>NORRBOTTENS LÄN</t>
        </is>
      </c>
      <c r="E613" t="inlineStr">
        <is>
          <t>PITEÅ</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52396-2025</t>
        </is>
      </c>
      <c r="B614" s="1" t="n">
        <v>45954.34506944445</v>
      </c>
      <c r="C614" s="1" t="n">
        <v>46074</v>
      </c>
      <c r="D614" t="inlineStr">
        <is>
          <t>NORRBOTTENS LÄN</t>
        </is>
      </c>
      <c r="E614" t="inlineStr">
        <is>
          <t>PITEÅ</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16702-2025</t>
        </is>
      </c>
      <c r="B615" s="1" t="n">
        <v>45754.46898148148</v>
      </c>
      <c r="C615" s="1" t="n">
        <v>46074</v>
      </c>
      <c r="D615" t="inlineStr">
        <is>
          <t>NORRBOTTENS LÄN</t>
        </is>
      </c>
      <c r="E615" t="inlineStr">
        <is>
          <t>PITEÅ</t>
        </is>
      </c>
      <c r="G615" t="n">
        <v>3.6</v>
      </c>
      <c r="H615" t="n">
        <v>0</v>
      </c>
      <c r="I615" t="n">
        <v>0</v>
      </c>
      <c r="J615" t="n">
        <v>0</v>
      </c>
      <c r="K615" t="n">
        <v>0</v>
      </c>
      <c r="L615" t="n">
        <v>0</v>
      </c>
      <c r="M615" t="n">
        <v>0</v>
      </c>
      <c r="N615" t="n">
        <v>0</v>
      </c>
      <c r="O615" t="n">
        <v>0</v>
      </c>
      <c r="P615" t="n">
        <v>0</v>
      </c>
      <c r="Q615" t="n">
        <v>0</v>
      </c>
      <c r="R615" s="2" t="inlineStr"/>
    </row>
    <row r="616" ht="15" customHeight="1">
      <c r="A616" t="inlineStr">
        <is>
          <t>A 52643-2025</t>
        </is>
      </c>
      <c r="B616" s="1" t="n">
        <v>45955.34586805556</v>
      </c>
      <c r="C616" s="1" t="n">
        <v>46074</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52644-2025</t>
        </is>
      </c>
      <c r="B617" s="1" t="n">
        <v>45955</v>
      </c>
      <c r="C617" s="1" t="n">
        <v>46074</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52648-2025</t>
        </is>
      </c>
      <c r="B618" s="1" t="n">
        <v>45955</v>
      </c>
      <c r="C618" s="1" t="n">
        <v>46074</v>
      </c>
      <c r="D618" t="inlineStr">
        <is>
          <t>NORRBOTTENS LÄN</t>
        </is>
      </c>
      <c r="E618" t="inlineStr">
        <is>
          <t>PITEÅ</t>
        </is>
      </c>
      <c r="G618" t="n">
        <v>0.4</v>
      </c>
      <c r="H618" t="n">
        <v>0</v>
      </c>
      <c r="I618" t="n">
        <v>0</v>
      </c>
      <c r="J618" t="n">
        <v>0</v>
      </c>
      <c r="K618" t="n">
        <v>0</v>
      </c>
      <c r="L618" t="n">
        <v>0</v>
      </c>
      <c r="M618" t="n">
        <v>0</v>
      </c>
      <c r="N618" t="n">
        <v>0</v>
      </c>
      <c r="O618" t="n">
        <v>0</v>
      </c>
      <c r="P618" t="n">
        <v>0</v>
      </c>
      <c r="Q618" t="n">
        <v>0</v>
      </c>
      <c r="R618" s="2" t="inlineStr"/>
    </row>
    <row r="619" ht="15" customHeight="1">
      <c r="A619" t="inlineStr">
        <is>
          <t>A 52685-2025</t>
        </is>
      </c>
      <c r="B619" s="1" t="n">
        <v>45956</v>
      </c>
      <c r="C619" s="1" t="n">
        <v>46074</v>
      </c>
      <c r="D619" t="inlineStr">
        <is>
          <t>NORRBOTTENS LÄN</t>
        </is>
      </c>
      <c r="E619" t="inlineStr">
        <is>
          <t>PITEÅ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52593-2025</t>
        </is>
      </c>
      <c r="B620" s="1" t="n">
        <v>45954</v>
      </c>
      <c r="C620" s="1" t="n">
        <v>46074</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52602-2025</t>
        </is>
      </c>
      <c r="B621" s="1" t="n">
        <v>45954.65701388889</v>
      </c>
      <c r="C621" s="1" t="n">
        <v>46074</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7461-2024</t>
        </is>
      </c>
      <c r="B622" s="1" t="n">
        <v>45345</v>
      </c>
      <c r="C622" s="1" t="n">
        <v>46074</v>
      </c>
      <c r="D622" t="inlineStr">
        <is>
          <t>NORRBOTTENS LÄN</t>
        </is>
      </c>
      <c r="E622" t="inlineStr">
        <is>
          <t>PITEÅ</t>
        </is>
      </c>
      <c r="G622" t="n">
        <v>14.7</v>
      </c>
      <c r="H622" t="n">
        <v>0</v>
      </c>
      <c r="I622" t="n">
        <v>0</v>
      </c>
      <c r="J622" t="n">
        <v>0</v>
      </c>
      <c r="K622" t="n">
        <v>0</v>
      </c>
      <c r="L622" t="n">
        <v>0</v>
      </c>
      <c r="M622" t="n">
        <v>0</v>
      </c>
      <c r="N622" t="n">
        <v>0</v>
      </c>
      <c r="O622" t="n">
        <v>0</v>
      </c>
      <c r="P622" t="n">
        <v>0</v>
      </c>
      <c r="Q622" t="n">
        <v>0</v>
      </c>
      <c r="R622" s="2" t="inlineStr"/>
    </row>
    <row r="623" ht="15" customHeight="1">
      <c r="A623" t="inlineStr">
        <is>
          <t>A 53448-2025</t>
        </is>
      </c>
      <c r="B623" s="1" t="n">
        <v>45959.65199074074</v>
      </c>
      <c r="C623" s="1" t="n">
        <v>46074</v>
      </c>
      <c r="D623" t="inlineStr">
        <is>
          <t>NORRBOTTENS LÄN</t>
        </is>
      </c>
      <c r="E623" t="inlineStr">
        <is>
          <t>PITEÅ</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53177-2025</t>
        </is>
      </c>
      <c r="B624" s="1" t="n">
        <v>45958</v>
      </c>
      <c r="C624" s="1" t="n">
        <v>46074</v>
      </c>
      <c r="D624" t="inlineStr">
        <is>
          <t>NORRBOTTENS LÄN</t>
        </is>
      </c>
      <c r="E624" t="inlineStr">
        <is>
          <t>PITEÅ</t>
        </is>
      </c>
      <c r="G624" t="n">
        <v>16.7</v>
      </c>
      <c r="H624" t="n">
        <v>0</v>
      </c>
      <c r="I624" t="n">
        <v>0</v>
      </c>
      <c r="J624" t="n">
        <v>0</v>
      </c>
      <c r="K624" t="n">
        <v>0</v>
      </c>
      <c r="L624" t="n">
        <v>0</v>
      </c>
      <c r="M624" t="n">
        <v>0</v>
      </c>
      <c r="N624" t="n">
        <v>0</v>
      </c>
      <c r="O624" t="n">
        <v>0</v>
      </c>
      <c r="P624" t="n">
        <v>0</v>
      </c>
      <c r="Q624" t="n">
        <v>0</v>
      </c>
      <c r="R624" s="2" t="inlineStr"/>
    </row>
    <row r="625" ht="15" customHeight="1">
      <c r="A625" t="inlineStr">
        <is>
          <t>A 53464-2025</t>
        </is>
      </c>
      <c r="B625" s="1" t="n">
        <v>45959.68377314815</v>
      </c>
      <c r="C625" s="1" t="n">
        <v>46074</v>
      </c>
      <c r="D625" t="inlineStr">
        <is>
          <t>NORRBOTTENS LÄN</t>
        </is>
      </c>
      <c r="E625" t="inlineStr">
        <is>
          <t>PITEÅ</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53236-2025</t>
        </is>
      </c>
      <c r="B626" s="1" t="n">
        <v>45958.63005787037</v>
      </c>
      <c r="C626" s="1" t="n">
        <v>46074</v>
      </c>
      <c r="D626" t="inlineStr">
        <is>
          <t>NORRBOTTENS LÄN</t>
        </is>
      </c>
      <c r="E626" t="inlineStr">
        <is>
          <t>PITEÅ</t>
        </is>
      </c>
      <c r="G626" t="n">
        <v>2.5</v>
      </c>
      <c r="H626" t="n">
        <v>0</v>
      </c>
      <c r="I626" t="n">
        <v>0</v>
      </c>
      <c r="J626" t="n">
        <v>0</v>
      </c>
      <c r="K626" t="n">
        <v>0</v>
      </c>
      <c r="L626" t="n">
        <v>0</v>
      </c>
      <c r="M626" t="n">
        <v>0</v>
      </c>
      <c r="N626" t="n">
        <v>0</v>
      </c>
      <c r="O626" t="n">
        <v>0</v>
      </c>
      <c r="P626" t="n">
        <v>0</v>
      </c>
      <c r="Q626" t="n">
        <v>0</v>
      </c>
      <c r="R626" s="2" t="inlineStr"/>
    </row>
    <row r="627" ht="15" customHeight="1">
      <c r="A627" t="inlineStr">
        <is>
          <t>A 39891-2024</t>
        </is>
      </c>
      <c r="B627" s="1" t="n">
        <v>45553</v>
      </c>
      <c r="C627" s="1" t="n">
        <v>46074</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53029-2025</t>
        </is>
      </c>
      <c r="B628" s="1" t="n">
        <v>45958.34296296296</v>
      </c>
      <c r="C628" s="1" t="n">
        <v>46074</v>
      </c>
      <c r="D628" t="inlineStr">
        <is>
          <t>NORRBOTTENS LÄN</t>
        </is>
      </c>
      <c r="E628" t="inlineStr">
        <is>
          <t>PITEÅ</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53059-2025</t>
        </is>
      </c>
      <c r="B629" s="1" t="n">
        <v>45958.36559027778</v>
      </c>
      <c r="C629" s="1" t="n">
        <v>46074</v>
      </c>
      <c r="D629" t="inlineStr">
        <is>
          <t>NORRBOTTENS LÄN</t>
        </is>
      </c>
      <c r="E629" t="inlineStr">
        <is>
          <t>PITEÅ</t>
        </is>
      </c>
      <c r="G629" t="n">
        <v>12.9</v>
      </c>
      <c r="H629" t="n">
        <v>0</v>
      </c>
      <c r="I629" t="n">
        <v>0</v>
      </c>
      <c r="J629" t="n">
        <v>0</v>
      </c>
      <c r="K629" t="n">
        <v>0</v>
      </c>
      <c r="L629" t="n">
        <v>0</v>
      </c>
      <c r="M629" t="n">
        <v>0</v>
      </c>
      <c r="N629" t="n">
        <v>0</v>
      </c>
      <c r="O629" t="n">
        <v>0</v>
      </c>
      <c r="P629" t="n">
        <v>0</v>
      </c>
      <c r="Q629" t="n">
        <v>0</v>
      </c>
      <c r="R629" s="2" t="inlineStr"/>
    </row>
    <row r="630" ht="15" customHeight="1">
      <c r="A630" t="inlineStr">
        <is>
          <t>A 53652-2025</t>
        </is>
      </c>
      <c r="B630" s="1" t="n">
        <v>45960.52788194444</v>
      </c>
      <c r="C630" s="1" t="n">
        <v>46074</v>
      </c>
      <c r="D630" t="inlineStr">
        <is>
          <t>NORRBOTTENS LÄN</t>
        </is>
      </c>
      <c r="E630" t="inlineStr">
        <is>
          <t>PITEÅ</t>
        </is>
      </c>
      <c r="G630" t="n">
        <v>8.1</v>
      </c>
      <c r="H630" t="n">
        <v>0</v>
      </c>
      <c r="I630" t="n">
        <v>0</v>
      </c>
      <c r="J630" t="n">
        <v>0</v>
      </c>
      <c r="K630" t="n">
        <v>0</v>
      </c>
      <c r="L630" t="n">
        <v>0</v>
      </c>
      <c r="M630" t="n">
        <v>0</v>
      </c>
      <c r="N630" t="n">
        <v>0</v>
      </c>
      <c r="O630" t="n">
        <v>0</v>
      </c>
      <c r="P630" t="n">
        <v>0</v>
      </c>
      <c r="Q630" t="n">
        <v>0</v>
      </c>
      <c r="R630" s="2" t="inlineStr"/>
    </row>
    <row r="631" ht="15" customHeight="1">
      <c r="A631" t="inlineStr">
        <is>
          <t>A 53663-2025</t>
        </is>
      </c>
      <c r="B631" s="1" t="n">
        <v>45960.54111111111</v>
      </c>
      <c r="C631" s="1" t="n">
        <v>46074</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53700-2025</t>
        </is>
      </c>
      <c r="B632" s="1" t="n">
        <v>45960</v>
      </c>
      <c r="C632" s="1" t="n">
        <v>46074</v>
      </c>
      <c r="D632" t="inlineStr">
        <is>
          <t>NORRBOTTENS LÄN</t>
        </is>
      </c>
      <c r="E632" t="inlineStr">
        <is>
          <t>PITEÅ</t>
        </is>
      </c>
      <c r="G632" t="n">
        <v>5.6</v>
      </c>
      <c r="H632" t="n">
        <v>0</v>
      </c>
      <c r="I632" t="n">
        <v>0</v>
      </c>
      <c r="J632" t="n">
        <v>0</v>
      </c>
      <c r="K632" t="n">
        <v>0</v>
      </c>
      <c r="L632" t="n">
        <v>0</v>
      </c>
      <c r="M632" t="n">
        <v>0</v>
      </c>
      <c r="N632" t="n">
        <v>0</v>
      </c>
      <c r="O632" t="n">
        <v>0</v>
      </c>
      <c r="P632" t="n">
        <v>0</v>
      </c>
      <c r="Q632" t="n">
        <v>0</v>
      </c>
      <c r="R632" s="2" t="inlineStr"/>
    </row>
    <row r="633" ht="15" customHeight="1">
      <c r="A633" t="inlineStr">
        <is>
          <t>A 17851-2024</t>
        </is>
      </c>
      <c r="B633" s="1" t="n">
        <v>45419</v>
      </c>
      <c r="C633" s="1" t="n">
        <v>46074</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39423-2024</t>
        </is>
      </c>
      <c r="B634" s="1" t="n">
        <v>45551</v>
      </c>
      <c r="C634" s="1" t="n">
        <v>46074</v>
      </c>
      <c r="D634" t="inlineStr">
        <is>
          <t>NORRBOTTENS LÄN</t>
        </is>
      </c>
      <c r="E634" t="inlineStr">
        <is>
          <t>PITEÅ</t>
        </is>
      </c>
      <c r="G634" t="n">
        <v>1</v>
      </c>
      <c r="H634" t="n">
        <v>0</v>
      </c>
      <c r="I634" t="n">
        <v>0</v>
      </c>
      <c r="J634" t="n">
        <v>0</v>
      </c>
      <c r="K634" t="n">
        <v>0</v>
      </c>
      <c r="L634" t="n">
        <v>0</v>
      </c>
      <c r="M634" t="n">
        <v>0</v>
      </c>
      <c r="N634" t="n">
        <v>0</v>
      </c>
      <c r="O634" t="n">
        <v>0</v>
      </c>
      <c r="P634" t="n">
        <v>0</v>
      </c>
      <c r="Q634" t="n">
        <v>0</v>
      </c>
      <c r="R634" s="2" t="inlineStr"/>
    </row>
    <row r="635" ht="15" customHeight="1">
      <c r="A635" t="inlineStr">
        <is>
          <t>A 57200-2023</t>
        </is>
      </c>
      <c r="B635" s="1" t="n">
        <v>45245</v>
      </c>
      <c r="C635" s="1" t="n">
        <v>46074</v>
      </c>
      <c r="D635" t="inlineStr">
        <is>
          <t>NORRBOTTENS LÄN</t>
        </is>
      </c>
      <c r="E635" t="inlineStr">
        <is>
          <t>PITEÅ</t>
        </is>
      </c>
      <c r="G635" t="n">
        <v>11.4</v>
      </c>
      <c r="H635" t="n">
        <v>0</v>
      </c>
      <c r="I635" t="n">
        <v>0</v>
      </c>
      <c r="J635" t="n">
        <v>0</v>
      </c>
      <c r="K635" t="n">
        <v>0</v>
      </c>
      <c r="L635" t="n">
        <v>0</v>
      </c>
      <c r="M635" t="n">
        <v>0</v>
      </c>
      <c r="N635" t="n">
        <v>0</v>
      </c>
      <c r="O635" t="n">
        <v>0</v>
      </c>
      <c r="P635" t="n">
        <v>0</v>
      </c>
      <c r="Q635" t="n">
        <v>0</v>
      </c>
      <c r="R635" s="2" t="inlineStr"/>
    </row>
    <row r="636" ht="15" customHeight="1">
      <c r="A636" t="inlineStr">
        <is>
          <t>A 53542-2025</t>
        </is>
      </c>
      <c r="B636" s="1" t="n">
        <v>45960.38133101852</v>
      </c>
      <c r="C636" s="1" t="n">
        <v>46074</v>
      </c>
      <c r="D636" t="inlineStr">
        <is>
          <t>NORRBOTTENS LÄN</t>
        </is>
      </c>
      <c r="E636" t="inlineStr">
        <is>
          <t>PITEÅ</t>
        </is>
      </c>
      <c r="G636" t="n">
        <v>8.9</v>
      </c>
      <c r="H636" t="n">
        <v>0</v>
      </c>
      <c r="I636" t="n">
        <v>0</v>
      </c>
      <c r="J636" t="n">
        <v>0</v>
      </c>
      <c r="K636" t="n">
        <v>0</v>
      </c>
      <c r="L636" t="n">
        <v>0</v>
      </c>
      <c r="M636" t="n">
        <v>0</v>
      </c>
      <c r="N636" t="n">
        <v>0</v>
      </c>
      <c r="O636" t="n">
        <v>0</v>
      </c>
      <c r="P636" t="n">
        <v>0</v>
      </c>
      <c r="Q636" t="n">
        <v>0</v>
      </c>
      <c r="R636" s="2" t="inlineStr"/>
    </row>
    <row r="637" ht="15" customHeight="1">
      <c r="A637" t="inlineStr">
        <is>
          <t>A 2691-2023</t>
        </is>
      </c>
      <c r="B637" s="1" t="n">
        <v>44944.47784722222</v>
      </c>
      <c r="C637" s="1" t="n">
        <v>46074</v>
      </c>
      <c r="D637" t="inlineStr">
        <is>
          <t>NORRBOTTENS LÄN</t>
        </is>
      </c>
      <c r="E637" t="inlineStr">
        <is>
          <t>PITEÅ</t>
        </is>
      </c>
      <c r="G637" t="n">
        <v>3.5</v>
      </c>
      <c r="H637" t="n">
        <v>0</v>
      </c>
      <c r="I637" t="n">
        <v>0</v>
      </c>
      <c r="J637" t="n">
        <v>0</v>
      </c>
      <c r="K637" t="n">
        <v>0</v>
      </c>
      <c r="L637" t="n">
        <v>0</v>
      </c>
      <c r="M637" t="n">
        <v>0</v>
      </c>
      <c r="N637" t="n">
        <v>0</v>
      </c>
      <c r="O637" t="n">
        <v>0</v>
      </c>
      <c r="P637" t="n">
        <v>0</v>
      </c>
      <c r="Q637" t="n">
        <v>0</v>
      </c>
      <c r="R637" s="2" t="inlineStr"/>
    </row>
    <row r="638" ht="15" customHeight="1">
      <c r="A638" t="inlineStr">
        <is>
          <t>A 54274-2023</t>
        </is>
      </c>
      <c r="B638" s="1" t="n">
        <v>45232.68149305556</v>
      </c>
      <c r="C638" s="1" t="n">
        <v>46074</v>
      </c>
      <c r="D638" t="inlineStr">
        <is>
          <t>NORRBOTTENS LÄN</t>
        </is>
      </c>
      <c r="E638" t="inlineStr">
        <is>
          <t>PITEÅ</t>
        </is>
      </c>
      <c r="F638" t="inlineStr">
        <is>
          <t>Sveaskog</t>
        </is>
      </c>
      <c r="G638" t="n">
        <v>2.5</v>
      </c>
      <c r="H638" t="n">
        <v>0</v>
      </c>
      <c r="I638" t="n">
        <v>0</v>
      </c>
      <c r="J638" t="n">
        <v>0</v>
      </c>
      <c r="K638" t="n">
        <v>0</v>
      </c>
      <c r="L638" t="n">
        <v>0</v>
      </c>
      <c r="M638" t="n">
        <v>0</v>
      </c>
      <c r="N638" t="n">
        <v>0</v>
      </c>
      <c r="O638" t="n">
        <v>0</v>
      </c>
      <c r="P638" t="n">
        <v>0</v>
      </c>
      <c r="Q638" t="n">
        <v>0</v>
      </c>
      <c r="R638" s="2" t="inlineStr"/>
    </row>
    <row r="639" ht="15" customHeight="1">
      <c r="A639" t="inlineStr">
        <is>
          <t>A 53578-2025</t>
        </is>
      </c>
      <c r="B639" s="1" t="n">
        <v>45960.42349537037</v>
      </c>
      <c r="C639" s="1" t="n">
        <v>46074</v>
      </c>
      <c r="D639" t="inlineStr">
        <is>
          <t>NORRBOTTENS LÄN</t>
        </is>
      </c>
      <c r="E639" t="inlineStr">
        <is>
          <t>PITEÅ</t>
        </is>
      </c>
      <c r="G639" t="n">
        <v>3</v>
      </c>
      <c r="H639" t="n">
        <v>0</v>
      </c>
      <c r="I639" t="n">
        <v>0</v>
      </c>
      <c r="J639" t="n">
        <v>0</v>
      </c>
      <c r="K639" t="n">
        <v>0</v>
      </c>
      <c r="L639" t="n">
        <v>0</v>
      </c>
      <c r="M639" t="n">
        <v>0</v>
      </c>
      <c r="N639" t="n">
        <v>0</v>
      </c>
      <c r="O639" t="n">
        <v>0</v>
      </c>
      <c r="P639" t="n">
        <v>0</v>
      </c>
      <c r="Q639" t="n">
        <v>0</v>
      </c>
      <c r="R639" s="2" t="inlineStr"/>
    </row>
    <row r="640" ht="15" customHeight="1">
      <c r="A640" t="inlineStr">
        <is>
          <t>A 53685-2025</t>
        </is>
      </c>
      <c r="B640" s="1" t="n">
        <v>45960</v>
      </c>
      <c r="C640" s="1" t="n">
        <v>46074</v>
      </c>
      <c r="D640" t="inlineStr">
        <is>
          <t>NORRBOTTENS LÄN</t>
        </is>
      </c>
      <c r="E640" t="inlineStr">
        <is>
          <t>PITEÅ</t>
        </is>
      </c>
      <c r="G640" t="n">
        <v>6.4</v>
      </c>
      <c r="H640" t="n">
        <v>0</v>
      </c>
      <c r="I640" t="n">
        <v>0</v>
      </c>
      <c r="J640" t="n">
        <v>0</v>
      </c>
      <c r="K640" t="n">
        <v>0</v>
      </c>
      <c r="L640" t="n">
        <v>0</v>
      </c>
      <c r="M640" t="n">
        <v>0</v>
      </c>
      <c r="N640" t="n">
        <v>0</v>
      </c>
      <c r="O640" t="n">
        <v>0</v>
      </c>
      <c r="P640" t="n">
        <v>0</v>
      </c>
      <c r="Q640" t="n">
        <v>0</v>
      </c>
      <c r="R640" s="2" t="inlineStr"/>
    </row>
    <row r="641" ht="15" customHeight="1">
      <c r="A641" t="inlineStr">
        <is>
          <t>A 28859-2024</t>
        </is>
      </c>
      <c r="B641" s="1" t="n">
        <v>45478.92868055555</v>
      </c>
      <c r="C641" s="1" t="n">
        <v>46074</v>
      </c>
      <c r="D641" t="inlineStr">
        <is>
          <t>NORRBOTTENS LÄN</t>
        </is>
      </c>
      <c r="E641" t="inlineStr">
        <is>
          <t>PITEÅ</t>
        </is>
      </c>
      <c r="G641" t="n">
        <v>7.8</v>
      </c>
      <c r="H641" t="n">
        <v>0</v>
      </c>
      <c r="I641" t="n">
        <v>0</v>
      </c>
      <c r="J641" t="n">
        <v>0</v>
      </c>
      <c r="K641" t="n">
        <v>0</v>
      </c>
      <c r="L641" t="n">
        <v>0</v>
      </c>
      <c r="M641" t="n">
        <v>0</v>
      </c>
      <c r="N641" t="n">
        <v>0</v>
      </c>
      <c r="O641" t="n">
        <v>0</v>
      </c>
      <c r="P641" t="n">
        <v>0</v>
      </c>
      <c r="Q641" t="n">
        <v>0</v>
      </c>
      <c r="R641" s="2" t="inlineStr"/>
    </row>
    <row r="642" ht="15" customHeight="1">
      <c r="A642" t="inlineStr">
        <is>
          <t>A 62819-2023</t>
        </is>
      </c>
      <c r="B642" s="1" t="n">
        <v>45271.92641203704</v>
      </c>
      <c r="C642" s="1" t="n">
        <v>46074</v>
      </c>
      <c r="D642" t="inlineStr">
        <is>
          <t>NORRBOTTENS LÄN</t>
        </is>
      </c>
      <c r="E642" t="inlineStr">
        <is>
          <t>PITEÅ</t>
        </is>
      </c>
      <c r="G642" t="n">
        <v>1.4</v>
      </c>
      <c r="H642" t="n">
        <v>0</v>
      </c>
      <c r="I642" t="n">
        <v>0</v>
      </c>
      <c r="J642" t="n">
        <v>0</v>
      </c>
      <c r="K642" t="n">
        <v>0</v>
      </c>
      <c r="L642" t="n">
        <v>0</v>
      </c>
      <c r="M642" t="n">
        <v>0</v>
      </c>
      <c r="N642" t="n">
        <v>0</v>
      </c>
      <c r="O642" t="n">
        <v>0</v>
      </c>
      <c r="P642" t="n">
        <v>0</v>
      </c>
      <c r="Q642" t="n">
        <v>0</v>
      </c>
      <c r="R642" s="2" t="inlineStr"/>
    </row>
    <row r="643" ht="15" customHeight="1">
      <c r="A643" t="inlineStr">
        <is>
          <t>A 54104-2025</t>
        </is>
      </c>
      <c r="B643" s="1" t="n">
        <v>45964.42778935185</v>
      </c>
      <c r="C643" s="1" t="n">
        <v>46074</v>
      </c>
      <c r="D643" t="inlineStr">
        <is>
          <t>NORRBOTTENS LÄN</t>
        </is>
      </c>
      <c r="E643" t="inlineStr">
        <is>
          <t>PITEÅ</t>
        </is>
      </c>
      <c r="G643" t="n">
        <v>5</v>
      </c>
      <c r="H643" t="n">
        <v>0</v>
      </c>
      <c r="I643" t="n">
        <v>0</v>
      </c>
      <c r="J643" t="n">
        <v>0</v>
      </c>
      <c r="K643" t="n">
        <v>0</v>
      </c>
      <c r="L643" t="n">
        <v>0</v>
      </c>
      <c r="M643" t="n">
        <v>0</v>
      </c>
      <c r="N643" t="n">
        <v>0</v>
      </c>
      <c r="O643" t="n">
        <v>0</v>
      </c>
      <c r="P643" t="n">
        <v>0</v>
      </c>
      <c r="Q643" t="n">
        <v>0</v>
      </c>
      <c r="R643" s="2" t="inlineStr"/>
    </row>
    <row r="644" ht="15" customHeight="1">
      <c r="A644" t="inlineStr">
        <is>
          <t>A 44403-2024</t>
        </is>
      </c>
      <c r="B644" s="1" t="n">
        <v>45573.71189814815</v>
      </c>
      <c r="C644" s="1" t="n">
        <v>46074</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57908-2024</t>
        </is>
      </c>
      <c r="B645" s="1" t="n">
        <v>45631.49189814815</v>
      </c>
      <c r="C645" s="1" t="n">
        <v>46074</v>
      </c>
      <c r="D645" t="inlineStr">
        <is>
          <t>NORRBOTTENS LÄN</t>
        </is>
      </c>
      <c r="E645" t="inlineStr">
        <is>
          <t>PITEÅ</t>
        </is>
      </c>
      <c r="G645" t="n">
        <v>6.1</v>
      </c>
      <c r="H645" t="n">
        <v>0</v>
      </c>
      <c r="I645" t="n">
        <v>0</v>
      </c>
      <c r="J645" t="n">
        <v>0</v>
      </c>
      <c r="K645" t="n">
        <v>0</v>
      </c>
      <c r="L645" t="n">
        <v>0</v>
      </c>
      <c r="M645" t="n">
        <v>0</v>
      </c>
      <c r="N645" t="n">
        <v>0</v>
      </c>
      <c r="O645" t="n">
        <v>0</v>
      </c>
      <c r="P645" t="n">
        <v>0</v>
      </c>
      <c r="Q645" t="n">
        <v>0</v>
      </c>
      <c r="R645" s="2" t="inlineStr"/>
    </row>
    <row r="646" ht="15" customHeight="1">
      <c r="A646" t="inlineStr">
        <is>
          <t>A 54334-2025</t>
        </is>
      </c>
      <c r="B646" s="1" t="n">
        <v>45965.35112268518</v>
      </c>
      <c r="C646" s="1" t="n">
        <v>46074</v>
      </c>
      <c r="D646" t="inlineStr">
        <is>
          <t>NORRBOTTENS LÄN</t>
        </is>
      </c>
      <c r="E646" t="inlineStr">
        <is>
          <t>PITEÅ</t>
        </is>
      </c>
      <c r="G646" t="n">
        <v>2.9</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46074</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54652-2025</t>
        </is>
      </c>
      <c r="B648" s="1" t="n">
        <v>45966.38028935185</v>
      </c>
      <c r="C648" s="1" t="n">
        <v>46074</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60082-2024</t>
        </is>
      </c>
      <c r="B649" s="1" t="n">
        <v>45642.53783564815</v>
      </c>
      <c r="C649" s="1" t="n">
        <v>46074</v>
      </c>
      <c r="D649" t="inlineStr">
        <is>
          <t>NORRBOTTENS LÄN</t>
        </is>
      </c>
      <c r="E649" t="inlineStr">
        <is>
          <t>PITEÅ</t>
        </is>
      </c>
      <c r="G649" t="n">
        <v>4</v>
      </c>
      <c r="H649" t="n">
        <v>0</v>
      </c>
      <c r="I649" t="n">
        <v>0</v>
      </c>
      <c r="J649" t="n">
        <v>0</v>
      </c>
      <c r="K649" t="n">
        <v>0</v>
      </c>
      <c r="L649" t="n">
        <v>0</v>
      </c>
      <c r="M649" t="n">
        <v>0</v>
      </c>
      <c r="N649" t="n">
        <v>0</v>
      </c>
      <c r="O649" t="n">
        <v>0</v>
      </c>
      <c r="P649" t="n">
        <v>0</v>
      </c>
      <c r="Q649" t="n">
        <v>0</v>
      </c>
      <c r="R649" s="2" t="inlineStr"/>
    </row>
    <row r="650" ht="15" customHeight="1">
      <c r="A650" t="inlineStr">
        <is>
          <t>A 54614-2025</t>
        </is>
      </c>
      <c r="B650" s="1" t="n">
        <v>45966.33358796296</v>
      </c>
      <c r="C650" s="1" t="n">
        <v>46074</v>
      </c>
      <c r="D650" t="inlineStr">
        <is>
          <t>NORRBOTTENS LÄN</t>
        </is>
      </c>
      <c r="E650" t="inlineStr">
        <is>
          <t>PITEÅ</t>
        </is>
      </c>
      <c r="G650" t="n">
        <v>10</v>
      </c>
      <c r="H650" t="n">
        <v>0</v>
      </c>
      <c r="I650" t="n">
        <v>0</v>
      </c>
      <c r="J650" t="n">
        <v>0</v>
      </c>
      <c r="K650" t="n">
        <v>0</v>
      </c>
      <c r="L650" t="n">
        <v>0</v>
      </c>
      <c r="M650" t="n">
        <v>0</v>
      </c>
      <c r="N650" t="n">
        <v>0</v>
      </c>
      <c r="O650" t="n">
        <v>0</v>
      </c>
      <c r="P650" t="n">
        <v>0</v>
      </c>
      <c r="Q650" t="n">
        <v>0</v>
      </c>
      <c r="R650" s="2" t="inlineStr"/>
    </row>
    <row r="651" ht="15" customHeight="1">
      <c r="A651" t="inlineStr">
        <is>
          <t>A 54778-2025</t>
        </is>
      </c>
      <c r="B651" s="1" t="n">
        <v>45966.61532407408</v>
      </c>
      <c r="C651" s="1" t="n">
        <v>46074</v>
      </c>
      <c r="D651" t="inlineStr">
        <is>
          <t>NORRBOTTENS LÄN</t>
        </is>
      </c>
      <c r="E651" t="inlineStr">
        <is>
          <t>PITEÅ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67904-2021</t>
        </is>
      </c>
      <c r="B652" s="1" t="n">
        <v>44525</v>
      </c>
      <c r="C652" s="1" t="n">
        <v>46074</v>
      </c>
      <c r="D652" t="inlineStr">
        <is>
          <t>NORRBOTTENS LÄN</t>
        </is>
      </c>
      <c r="E652" t="inlineStr">
        <is>
          <t>PITEÅ</t>
        </is>
      </c>
      <c r="G652" t="n">
        <v>12.7</v>
      </c>
      <c r="H652" t="n">
        <v>0</v>
      </c>
      <c r="I652" t="n">
        <v>0</v>
      </c>
      <c r="J652" t="n">
        <v>0</v>
      </c>
      <c r="K652" t="n">
        <v>0</v>
      </c>
      <c r="L652" t="n">
        <v>0</v>
      </c>
      <c r="M652" t="n">
        <v>0</v>
      </c>
      <c r="N652" t="n">
        <v>0</v>
      </c>
      <c r="O652" t="n">
        <v>0</v>
      </c>
      <c r="P652" t="n">
        <v>0</v>
      </c>
      <c r="Q652" t="n">
        <v>0</v>
      </c>
      <c r="R652" s="2" t="inlineStr"/>
    </row>
    <row r="653" ht="15" customHeight="1">
      <c r="A653" t="inlineStr">
        <is>
          <t>A 54777-2025</t>
        </is>
      </c>
      <c r="B653" s="1" t="n">
        <v>45966.61511574074</v>
      </c>
      <c r="C653" s="1" t="n">
        <v>46074</v>
      </c>
      <c r="D653" t="inlineStr">
        <is>
          <t>NORRBOTTENS LÄN</t>
        </is>
      </c>
      <c r="E653" t="inlineStr">
        <is>
          <t>PITEÅ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44559-2024</t>
        </is>
      </c>
      <c r="B654" s="1" t="n">
        <v>45574.47001157407</v>
      </c>
      <c r="C654" s="1" t="n">
        <v>46074</v>
      </c>
      <c r="D654" t="inlineStr">
        <is>
          <t>NORRBOTTENS LÄN</t>
        </is>
      </c>
      <c r="E654" t="inlineStr">
        <is>
          <t>PITEÅ</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55377-2025</t>
        </is>
      </c>
      <c r="B655" s="1" t="n">
        <v>45971.42768518518</v>
      </c>
      <c r="C655" s="1" t="n">
        <v>46074</v>
      </c>
      <c r="D655" t="inlineStr">
        <is>
          <t>NORRBOTTENS LÄN</t>
        </is>
      </c>
      <c r="E655" t="inlineStr">
        <is>
          <t>PITEÅ</t>
        </is>
      </c>
      <c r="G655" t="n">
        <v>4.5</v>
      </c>
      <c r="H655" t="n">
        <v>0</v>
      </c>
      <c r="I655" t="n">
        <v>0</v>
      </c>
      <c r="J655" t="n">
        <v>0</v>
      </c>
      <c r="K655" t="n">
        <v>0</v>
      </c>
      <c r="L655" t="n">
        <v>0</v>
      </c>
      <c r="M655" t="n">
        <v>0</v>
      </c>
      <c r="N655" t="n">
        <v>0</v>
      </c>
      <c r="O655" t="n">
        <v>0</v>
      </c>
      <c r="P655" t="n">
        <v>0</v>
      </c>
      <c r="Q655" t="n">
        <v>0</v>
      </c>
      <c r="R655" s="2" t="inlineStr"/>
    </row>
    <row r="656" ht="15" customHeight="1">
      <c r="A656" t="inlineStr">
        <is>
          <t>A 55473-2025</t>
        </is>
      </c>
      <c r="B656" s="1" t="n">
        <v>45971.54649305555</v>
      </c>
      <c r="C656" s="1" t="n">
        <v>46074</v>
      </c>
      <c r="D656" t="inlineStr">
        <is>
          <t>NORRBOTTENS LÄN</t>
        </is>
      </c>
      <c r="E656" t="inlineStr">
        <is>
          <t>PITEÅ</t>
        </is>
      </c>
      <c r="G656" t="n">
        <v>5</v>
      </c>
      <c r="H656" t="n">
        <v>0</v>
      </c>
      <c r="I656" t="n">
        <v>0</v>
      </c>
      <c r="J656" t="n">
        <v>0</v>
      </c>
      <c r="K656" t="n">
        <v>0</v>
      </c>
      <c r="L656" t="n">
        <v>0</v>
      </c>
      <c r="M656" t="n">
        <v>0</v>
      </c>
      <c r="N656" t="n">
        <v>0</v>
      </c>
      <c r="O656" t="n">
        <v>0</v>
      </c>
      <c r="P656" t="n">
        <v>0</v>
      </c>
      <c r="Q656" t="n">
        <v>0</v>
      </c>
      <c r="R656" s="2" t="inlineStr"/>
    </row>
    <row r="657" ht="15" customHeight="1">
      <c r="A657" t="inlineStr">
        <is>
          <t>A 55500-2025</t>
        </is>
      </c>
      <c r="B657" s="1" t="n">
        <v>45971.58565972222</v>
      </c>
      <c r="C657" s="1" t="n">
        <v>46074</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55260-2025</t>
        </is>
      </c>
      <c r="B658" s="1" t="n">
        <v>45968.64667824074</v>
      </c>
      <c r="C658" s="1" t="n">
        <v>46074</v>
      </c>
      <c r="D658" t="inlineStr">
        <is>
          <t>NORRBOTTENS LÄN</t>
        </is>
      </c>
      <c r="E658" t="inlineStr">
        <is>
          <t>PITEÅ</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17994-2024</t>
        </is>
      </c>
      <c r="B659" s="1" t="n">
        <v>45419.92640046297</v>
      </c>
      <c r="C659" s="1" t="n">
        <v>46074</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34424-2023</t>
        </is>
      </c>
      <c r="B660" s="1" t="n">
        <v>45139.60627314815</v>
      </c>
      <c r="C660" s="1" t="n">
        <v>46074</v>
      </c>
      <c r="D660" t="inlineStr">
        <is>
          <t>NORRBOTTENS LÄN</t>
        </is>
      </c>
      <c r="E660" t="inlineStr">
        <is>
          <t>PITEÅ</t>
        </is>
      </c>
      <c r="G660" t="n">
        <v>4.7</v>
      </c>
      <c r="H660" t="n">
        <v>0</v>
      </c>
      <c r="I660" t="n">
        <v>0</v>
      </c>
      <c r="J660" t="n">
        <v>0</v>
      </c>
      <c r="K660" t="n">
        <v>0</v>
      </c>
      <c r="L660" t="n">
        <v>0</v>
      </c>
      <c r="M660" t="n">
        <v>0</v>
      </c>
      <c r="N660" t="n">
        <v>0</v>
      </c>
      <c r="O660" t="n">
        <v>0</v>
      </c>
      <c r="P660" t="n">
        <v>0</v>
      </c>
      <c r="Q660" t="n">
        <v>0</v>
      </c>
      <c r="R660" s="2" t="inlineStr"/>
    </row>
    <row r="661" ht="15" customHeight="1">
      <c r="A661" t="inlineStr">
        <is>
          <t>A 55220-2025</t>
        </is>
      </c>
      <c r="B661" s="1" t="n">
        <v>45968.59075231481</v>
      </c>
      <c r="C661" s="1" t="n">
        <v>46074</v>
      </c>
      <c r="D661" t="inlineStr">
        <is>
          <t>NORRBOTTENS LÄN</t>
        </is>
      </c>
      <c r="E661" t="inlineStr">
        <is>
          <t>PITEÅ</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55774-2025</t>
        </is>
      </c>
      <c r="B662" s="1" t="n">
        <v>45972.61929398148</v>
      </c>
      <c r="C662" s="1" t="n">
        <v>46074</v>
      </c>
      <c r="D662" t="inlineStr">
        <is>
          <t>NORRBOTTENS LÄN</t>
        </is>
      </c>
      <c r="E662" t="inlineStr">
        <is>
          <t>PITEÅ</t>
        </is>
      </c>
      <c r="G662" t="n">
        <v>13.2</v>
      </c>
      <c r="H662" t="n">
        <v>0</v>
      </c>
      <c r="I662" t="n">
        <v>0</v>
      </c>
      <c r="J662" t="n">
        <v>0</v>
      </c>
      <c r="K662" t="n">
        <v>0</v>
      </c>
      <c r="L662" t="n">
        <v>0</v>
      </c>
      <c r="M662" t="n">
        <v>0</v>
      </c>
      <c r="N662" t="n">
        <v>0</v>
      </c>
      <c r="O662" t="n">
        <v>0</v>
      </c>
      <c r="P662" t="n">
        <v>0</v>
      </c>
      <c r="Q662" t="n">
        <v>0</v>
      </c>
      <c r="R662" s="2" t="inlineStr"/>
    </row>
    <row r="663" ht="15" customHeight="1">
      <c r="A663" t="inlineStr">
        <is>
          <t>A 55900-2025</t>
        </is>
      </c>
      <c r="B663" s="1" t="n">
        <v>45973</v>
      </c>
      <c r="C663" s="1" t="n">
        <v>46074</v>
      </c>
      <c r="D663" t="inlineStr">
        <is>
          <t>NORRBOTTENS LÄN</t>
        </is>
      </c>
      <c r="E663" t="inlineStr">
        <is>
          <t>PITEÅ</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55907-2025</t>
        </is>
      </c>
      <c r="B664" s="1" t="n">
        <v>45973</v>
      </c>
      <c r="C664" s="1" t="n">
        <v>46074</v>
      </c>
      <c r="D664" t="inlineStr">
        <is>
          <t>NORRBOTTENS LÄN</t>
        </is>
      </c>
      <c r="E664" t="inlineStr">
        <is>
          <t>PITEÅ</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56418-2024</t>
        </is>
      </c>
      <c r="B665" s="1" t="n">
        <v>45625.37511574074</v>
      </c>
      <c r="C665" s="1" t="n">
        <v>46074</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55751-2025</t>
        </is>
      </c>
      <c r="B666" s="1" t="n">
        <v>45972.58217592593</v>
      </c>
      <c r="C666" s="1" t="n">
        <v>46074</v>
      </c>
      <c r="D666" t="inlineStr">
        <is>
          <t>NORRBOTTENS LÄN</t>
        </is>
      </c>
      <c r="E666" t="inlineStr">
        <is>
          <t>PITEÅ</t>
        </is>
      </c>
      <c r="G666" t="n">
        <v>2.4</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46074</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27676-2023</t>
        </is>
      </c>
      <c r="B668" s="1" t="n">
        <v>45097.92392361111</v>
      </c>
      <c r="C668" s="1" t="n">
        <v>46074</v>
      </c>
      <c r="D668" t="inlineStr">
        <is>
          <t>NORRBOTTENS LÄN</t>
        </is>
      </c>
      <c r="E668" t="inlineStr">
        <is>
          <t>PITEÅ</t>
        </is>
      </c>
      <c r="G668" t="n">
        <v>6.8</v>
      </c>
      <c r="H668" t="n">
        <v>0</v>
      </c>
      <c r="I668" t="n">
        <v>0</v>
      </c>
      <c r="J668" t="n">
        <v>0</v>
      </c>
      <c r="K668" t="n">
        <v>0</v>
      </c>
      <c r="L668" t="n">
        <v>0</v>
      </c>
      <c r="M668" t="n">
        <v>0</v>
      </c>
      <c r="N668" t="n">
        <v>0</v>
      </c>
      <c r="O668" t="n">
        <v>0</v>
      </c>
      <c r="P668" t="n">
        <v>0</v>
      </c>
      <c r="Q668" t="n">
        <v>0</v>
      </c>
      <c r="R668" s="2" t="inlineStr"/>
    </row>
    <row r="669" ht="15" customHeight="1">
      <c r="A669" t="inlineStr">
        <is>
          <t>A 56136-2025</t>
        </is>
      </c>
      <c r="B669" s="1" t="n">
        <v>45974.32560185185</v>
      </c>
      <c r="C669" s="1" t="n">
        <v>46074</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56619-2025</t>
        </is>
      </c>
      <c r="B670" s="1" t="n">
        <v>45975.59459490741</v>
      </c>
      <c r="C670" s="1" t="n">
        <v>46074</v>
      </c>
      <c r="D670" t="inlineStr">
        <is>
          <t>NORRBOTTENS LÄN</t>
        </is>
      </c>
      <c r="E670" t="inlineStr">
        <is>
          <t>PITEÅ</t>
        </is>
      </c>
      <c r="G670" t="n">
        <v>3.4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46074</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46074</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46074</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61662-2023</t>
        </is>
      </c>
      <c r="B674" s="1" t="n">
        <v>45265.59799768519</v>
      </c>
      <c r="C674" s="1" t="n">
        <v>46074</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13387-2025</t>
        </is>
      </c>
      <c r="B675" s="1" t="n">
        <v>45735</v>
      </c>
      <c r="C675" s="1" t="n">
        <v>46074</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57162-2025</t>
        </is>
      </c>
      <c r="B676" s="1" t="n">
        <v>45978</v>
      </c>
      <c r="C676" s="1" t="n">
        <v>46074</v>
      </c>
      <c r="D676" t="inlineStr">
        <is>
          <t>NORRBOTTENS LÄN</t>
        </is>
      </c>
      <c r="E676" t="inlineStr">
        <is>
          <t>PITEÅ</t>
        </is>
      </c>
      <c r="G676" t="n">
        <v>2.6</v>
      </c>
      <c r="H676" t="n">
        <v>0</v>
      </c>
      <c r="I676" t="n">
        <v>0</v>
      </c>
      <c r="J676" t="n">
        <v>0</v>
      </c>
      <c r="K676" t="n">
        <v>0</v>
      </c>
      <c r="L676" t="n">
        <v>0</v>
      </c>
      <c r="M676" t="n">
        <v>0</v>
      </c>
      <c r="N676" t="n">
        <v>0</v>
      </c>
      <c r="O676" t="n">
        <v>0</v>
      </c>
      <c r="P676" t="n">
        <v>0</v>
      </c>
      <c r="Q676" t="n">
        <v>0</v>
      </c>
      <c r="R676" s="2" t="inlineStr"/>
    </row>
    <row r="677" ht="15" customHeight="1">
      <c r="A677" t="inlineStr">
        <is>
          <t>A 56800-2025</t>
        </is>
      </c>
      <c r="B677" s="1" t="n">
        <v>45978</v>
      </c>
      <c r="C677" s="1" t="n">
        <v>46074</v>
      </c>
      <c r="D677" t="inlineStr">
        <is>
          <t>NORRBOTTENS LÄN</t>
        </is>
      </c>
      <c r="E677" t="inlineStr">
        <is>
          <t>PITEÅ</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37842-2025</t>
        </is>
      </c>
      <c r="B678" s="1" t="n">
        <v>45881</v>
      </c>
      <c r="C678" s="1" t="n">
        <v>46074</v>
      </c>
      <c r="D678" t="inlineStr">
        <is>
          <t>NORRBOTTENS LÄN</t>
        </is>
      </c>
      <c r="E678" t="inlineStr">
        <is>
          <t>PITEÅ</t>
        </is>
      </c>
      <c r="G678" t="n">
        <v>13.7</v>
      </c>
      <c r="H678" t="n">
        <v>0</v>
      </c>
      <c r="I678" t="n">
        <v>0</v>
      </c>
      <c r="J678" t="n">
        <v>0</v>
      </c>
      <c r="K678" t="n">
        <v>0</v>
      </c>
      <c r="L678" t="n">
        <v>0</v>
      </c>
      <c r="M678" t="n">
        <v>0</v>
      </c>
      <c r="N678" t="n">
        <v>0</v>
      </c>
      <c r="O678" t="n">
        <v>0</v>
      </c>
      <c r="P678" t="n">
        <v>0</v>
      </c>
      <c r="Q678" t="n">
        <v>0</v>
      </c>
      <c r="R678" s="2" t="inlineStr"/>
    </row>
    <row r="679" ht="15" customHeight="1">
      <c r="A679" t="inlineStr">
        <is>
          <t>A 10417-2025</t>
        </is>
      </c>
      <c r="B679" s="1" t="n">
        <v>45720</v>
      </c>
      <c r="C679" s="1" t="n">
        <v>46074</v>
      </c>
      <c r="D679" t="inlineStr">
        <is>
          <t>NORRBOTTENS LÄN</t>
        </is>
      </c>
      <c r="E679" t="inlineStr">
        <is>
          <t>PITEÅ</t>
        </is>
      </c>
      <c r="G679" t="n">
        <v>21.9</v>
      </c>
      <c r="H679" t="n">
        <v>0</v>
      </c>
      <c r="I679" t="n">
        <v>0</v>
      </c>
      <c r="J679" t="n">
        <v>0</v>
      </c>
      <c r="K679" t="n">
        <v>0</v>
      </c>
      <c r="L679" t="n">
        <v>0</v>
      </c>
      <c r="M679" t="n">
        <v>0</v>
      </c>
      <c r="N679" t="n">
        <v>0</v>
      </c>
      <c r="O679" t="n">
        <v>0</v>
      </c>
      <c r="P679" t="n">
        <v>0</v>
      </c>
      <c r="Q679" t="n">
        <v>0</v>
      </c>
      <c r="R679" s="2" t="inlineStr"/>
    </row>
    <row r="680" ht="15" customHeight="1">
      <c r="A680" t="inlineStr">
        <is>
          <t>A 56828-2025</t>
        </is>
      </c>
      <c r="B680" s="1" t="n">
        <v>45978.46653935185</v>
      </c>
      <c r="C680" s="1" t="n">
        <v>46074</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49462-2024</t>
        </is>
      </c>
      <c r="B681" s="1" t="n">
        <v>45596.31337962963</v>
      </c>
      <c r="C681" s="1" t="n">
        <v>46074</v>
      </c>
      <c r="D681" t="inlineStr">
        <is>
          <t>NORRBOTTENS LÄN</t>
        </is>
      </c>
      <c r="E681" t="inlineStr">
        <is>
          <t>PITEÅ</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62014-2023</t>
        </is>
      </c>
      <c r="B682" s="1" t="n">
        <v>45266.64538194444</v>
      </c>
      <c r="C682" s="1" t="n">
        <v>46074</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29481-2023</t>
        </is>
      </c>
      <c r="B683" s="1" t="n">
        <v>45106</v>
      </c>
      <c r="C683" s="1" t="n">
        <v>46074</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61303-2023</t>
        </is>
      </c>
      <c r="B684" s="1" t="n">
        <v>45264.56266203704</v>
      </c>
      <c r="C684" s="1" t="n">
        <v>46074</v>
      </c>
      <c r="D684" t="inlineStr">
        <is>
          <t>NORRBOTTENS LÄN</t>
        </is>
      </c>
      <c r="E684" t="inlineStr">
        <is>
          <t>PITEÅ</t>
        </is>
      </c>
      <c r="G684" t="n">
        <v>6.9</v>
      </c>
      <c r="H684" t="n">
        <v>0</v>
      </c>
      <c r="I684" t="n">
        <v>0</v>
      </c>
      <c r="J684" t="n">
        <v>0</v>
      </c>
      <c r="K684" t="n">
        <v>0</v>
      </c>
      <c r="L684" t="n">
        <v>0</v>
      </c>
      <c r="M684" t="n">
        <v>0</v>
      </c>
      <c r="N684" t="n">
        <v>0</v>
      </c>
      <c r="O684" t="n">
        <v>0</v>
      </c>
      <c r="P684" t="n">
        <v>0</v>
      </c>
      <c r="Q684" t="n">
        <v>0</v>
      </c>
      <c r="R684" s="2" t="inlineStr"/>
    </row>
    <row r="685" ht="15" customHeight="1">
      <c r="A685" t="inlineStr">
        <is>
          <t>A 41464-2023</t>
        </is>
      </c>
      <c r="B685" s="1" t="n">
        <v>45175.41883101852</v>
      </c>
      <c r="C685" s="1" t="n">
        <v>46074</v>
      </c>
      <c r="D685" t="inlineStr">
        <is>
          <t>NORRBOTTENS LÄN</t>
        </is>
      </c>
      <c r="E685" t="inlineStr">
        <is>
          <t>PITEÅ</t>
        </is>
      </c>
      <c r="G685" t="n">
        <v>5.2</v>
      </c>
      <c r="H685" t="n">
        <v>0</v>
      </c>
      <c r="I685" t="n">
        <v>0</v>
      </c>
      <c r="J685" t="n">
        <v>0</v>
      </c>
      <c r="K685" t="n">
        <v>0</v>
      </c>
      <c r="L685" t="n">
        <v>0</v>
      </c>
      <c r="M685" t="n">
        <v>0</v>
      </c>
      <c r="N685" t="n">
        <v>0</v>
      </c>
      <c r="O685" t="n">
        <v>0</v>
      </c>
      <c r="P685" t="n">
        <v>0</v>
      </c>
      <c r="Q685" t="n">
        <v>0</v>
      </c>
      <c r="R685" s="2" t="inlineStr"/>
    </row>
    <row r="686" ht="15" customHeight="1">
      <c r="A686" t="inlineStr">
        <is>
          <t>A 28715-2024</t>
        </is>
      </c>
      <c r="B686" s="1" t="n">
        <v>45478.53690972222</v>
      </c>
      <c r="C686" s="1" t="n">
        <v>46074</v>
      </c>
      <c r="D686" t="inlineStr">
        <is>
          <t>NORRBOTTENS LÄN</t>
        </is>
      </c>
      <c r="E686" t="inlineStr">
        <is>
          <t>PITEÅ</t>
        </is>
      </c>
      <c r="G686" t="n">
        <v>4.9</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46074</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55928-2023</t>
        </is>
      </c>
      <c r="B688" s="1" t="n">
        <v>45239</v>
      </c>
      <c r="C688" s="1" t="n">
        <v>46074</v>
      </c>
      <c r="D688" t="inlineStr">
        <is>
          <t>NORRBOTTENS LÄN</t>
        </is>
      </c>
      <c r="E688" t="inlineStr">
        <is>
          <t>PITEÅ</t>
        </is>
      </c>
      <c r="F688" t="inlineStr">
        <is>
          <t>SCA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57747-2025</t>
        </is>
      </c>
      <c r="B689" s="1" t="n">
        <v>45981.53230324074</v>
      </c>
      <c r="C689" s="1" t="n">
        <v>46074</v>
      </c>
      <c r="D689" t="inlineStr">
        <is>
          <t>NORRBOTTENS LÄN</t>
        </is>
      </c>
      <c r="E689" t="inlineStr">
        <is>
          <t>PITEÅ</t>
        </is>
      </c>
      <c r="G689" t="n">
        <v>5.5</v>
      </c>
      <c r="H689" t="n">
        <v>0</v>
      </c>
      <c r="I689" t="n">
        <v>0</v>
      </c>
      <c r="J689" t="n">
        <v>0</v>
      </c>
      <c r="K689" t="n">
        <v>0</v>
      </c>
      <c r="L689" t="n">
        <v>0</v>
      </c>
      <c r="M689" t="n">
        <v>0</v>
      </c>
      <c r="N689" t="n">
        <v>0</v>
      </c>
      <c r="O689" t="n">
        <v>0</v>
      </c>
      <c r="P689" t="n">
        <v>0</v>
      </c>
      <c r="Q689" t="n">
        <v>0</v>
      </c>
      <c r="R689" s="2" t="inlineStr"/>
    </row>
    <row r="690" ht="15" customHeight="1">
      <c r="A690" t="inlineStr">
        <is>
          <t>A 57746-2025</t>
        </is>
      </c>
      <c r="B690" s="1" t="n">
        <v>45981.53223379629</v>
      </c>
      <c r="C690" s="1" t="n">
        <v>46074</v>
      </c>
      <c r="D690" t="inlineStr">
        <is>
          <t>NORRBOTTENS LÄN</t>
        </is>
      </c>
      <c r="E690" t="inlineStr">
        <is>
          <t>PITEÅ</t>
        </is>
      </c>
      <c r="G690" t="n">
        <v>6.3</v>
      </c>
      <c r="H690" t="n">
        <v>0</v>
      </c>
      <c r="I690" t="n">
        <v>0</v>
      </c>
      <c r="J690" t="n">
        <v>0</v>
      </c>
      <c r="K690" t="n">
        <v>0</v>
      </c>
      <c r="L690" t="n">
        <v>0</v>
      </c>
      <c r="M690" t="n">
        <v>0</v>
      </c>
      <c r="N690" t="n">
        <v>0</v>
      </c>
      <c r="O690" t="n">
        <v>0</v>
      </c>
      <c r="P690" t="n">
        <v>0</v>
      </c>
      <c r="Q690" t="n">
        <v>0</v>
      </c>
      <c r="R690" s="2" t="inlineStr"/>
    </row>
    <row r="691" ht="15" customHeight="1">
      <c r="A691" t="inlineStr">
        <is>
          <t>A 57732-2025</t>
        </is>
      </c>
      <c r="B691" s="1" t="n">
        <v>45981</v>
      </c>
      <c r="C691" s="1" t="n">
        <v>46074</v>
      </c>
      <c r="D691" t="inlineStr">
        <is>
          <t>NORRBOTTENS LÄN</t>
        </is>
      </c>
      <c r="E691" t="inlineStr">
        <is>
          <t>PITEÅ</t>
        </is>
      </c>
      <c r="G691" t="n">
        <v>8.4</v>
      </c>
      <c r="H691" t="n">
        <v>0</v>
      </c>
      <c r="I691" t="n">
        <v>0</v>
      </c>
      <c r="J691" t="n">
        <v>0</v>
      </c>
      <c r="K691" t="n">
        <v>0</v>
      </c>
      <c r="L691" t="n">
        <v>0</v>
      </c>
      <c r="M691" t="n">
        <v>0</v>
      </c>
      <c r="N691" t="n">
        <v>0</v>
      </c>
      <c r="O691" t="n">
        <v>0</v>
      </c>
      <c r="P691" t="n">
        <v>0</v>
      </c>
      <c r="Q691" t="n">
        <v>0</v>
      </c>
      <c r="R691" s="2" t="inlineStr"/>
    </row>
    <row r="692" ht="15" customHeight="1">
      <c r="A692" t="inlineStr">
        <is>
          <t>A 57733-2025</t>
        </is>
      </c>
      <c r="B692" s="1" t="n">
        <v>45981.51106481482</v>
      </c>
      <c r="C692" s="1" t="n">
        <v>46074</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57524-2025</t>
        </is>
      </c>
      <c r="B693" s="1" t="n">
        <v>45980.62547453704</v>
      </c>
      <c r="C693" s="1" t="n">
        <v>46074</v>
      </c>
      <c r="D693" t="inlineStr">
        <is>
          <t>NORRBOTTENS LÄN</t>
        </is>
      </c>
      <c r="E693" t="inlineStr">
        <is>
          <t>PITEÅ</t>
        </is>
      </c>
      <c r="F693" t="inlineStr">
        <is>
          <t>Sveaskog</t>
        </is>
      </c>
      <c r="G693" t="n">
        <v>13.2</v>
      </c>
      <c r="H693" t="n">
        <v>0</v>
      </c>
      <c r="I693" t="n">
        <v>0</v>
      </c>
      <c r="J693" t="n">
        <v>0</v>
      </c>
      <c r="K693" t="n">
        <v>0</v>
      </c>
      <c r="L693" t="n">
        <v>0</v>
      </c>
      <c r="M693" t="n">
        <v>0</v>
      </c>
      <c r="N693" t="n">
        <v>0</v>
      </c>
      <c r="O693" t="n">
        <v>0</v>
      </c>
      <c r="P693" t="n">
        <v>0</v>
      </c>
      <c r="Q693" t="n">
        <v>0</v>
      </c>
      <c r="R693" s="2" t="inlineStr"/>
    </row>
    <row r="694" ht="15" customHeight="1">
      <c r="A694" t="inlineStr">
        <is>
          <t>A 57576-2025</t>
        </is>
      </c>
      <c r="B694" s="1" t="n">
        <v>45980.88444444445</v>
      </c>
      <c r="C694" s="1" t="n">
        <v>46074</v>
      </c>
      <c r="D694" t="inlineStr">
        <is>
          <t>NORRBOTTENS LÄN</t>
        </is>
      </c>
      <c r="E694" t="inlineStr">
        <is>
          <t>PITEÅ</t>
        </is>
      </c>
      <c r="G694" t="n">
        <v>6.1</v>
      </c>
      <c r="H694" t="n">
        <v>0</v>
      </c>
      <c r="I694" t="n">
        <v>0</v>
      </c>
      <c r="J694" t="n">
        <v>0</v>
      </c>
      <c r="K694" t="n">
        <v>0</v>
      </c>
      <c r="L694" t="n">
        <v>0</v>
      </c>
      <c r="M694" t="n">
        <v>0</v>
      </c>
      <c r="N694" t="n">
        <v>0</v>
      </c>
      <c r="O694" t="n">
        <v>0</v>
      </c>
      <c r="P694" t="n">
        <v>0</v>
      </c>
      <c r="Q694" t="n">
        <v>0</v>
      </c>
      <c r="R694" s="2" t="inlineStr"/>
    </row>
    <row r="695" ht="15" customHeight="1">
      <c r="A695" t="inlineStr">
        <is>
          <t>A 15529-2025</t>
        </is>
      </c>
      <c r="B695" s="1" t="n">
        <v>45747.63579861111</v>
      </c>
      <c r="C695" s="1" t="n">
        <v>46074</v>
      </c>
      <c r="D695" t="inlineStr">
        <is>
          <t>NORRBOTTENS LÄN</t>
        </is>
      </c>
      <c r="E695" t="inlineStr">
        <is>
          <t>PITEÅ</t>
        </is>
      </c>
      <c r="G695" t="n">
        <v>4.1</v>
      </c>
      <c r="H695" t="n">
        <v>0</v>
      </c>
      <c r="I695" t="n">
        <v>0</v>
      </c>
      <c r="J695" t="n">
        <v>0</v>
      </c>
      <c r="K695" t="n">
        <v>0</v>
      </c>
      <c r="L695" t="n">
        <v>0</v>
      </c>
      <c r="M695" t="n">
        <v>0</v>
      </c>
      <c r="N695" t="n">
        <v>0</v>
      </c>
      <c r="O695" t="n">
        <v>0</v>
      </c>
      <c r="P695" t="n">
        <v>0</v>
      </c>
      <c r="Q695" t="n">
        <v>0</v>
      </c>
      <c r="R695" s="2" t="inlineStr"/>
    </row>
    <row r="696" ht="15" customHeight="1">
      <c r="A696" t="inlineStr">
        <is>
          <t>A 58374-2025</t>
        </is>
      </c>
      <c r="B696" s="1" t="n">
        <v>45985.53171296296</v>
      </c>
      <c r="C696" s="1" t="n">
        <v>46074</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58219-2025</t>
        </is>
      </c>
      <c r="B697" s="1" t="n">
        <v>45985.36137731482</v>
      </c>
      <c r="C697" s="1" t="n">
        <v>46074</v>
      </c>
      <c r="D697" t="inlineStr">
        <is>
          <t>NORRBOTTENS LÄN</t>
        </is>
      </c>
      <c r="E697" t="inlineStr">
        <is>
          <t>PITEÅ</t>
        </is>
      </c>
      <c r="F697" t="inlineStr">
        <is>
          <t>Övriga Aktiebolag</t>
        </is>
      </c>
      <c r="G697" t="n">
        <v>12.9</v>
      </c>
      <c r="H697" t="n">
        <v>0</v>
      </c>
      <c r="I697" t="n">
        <v>0</v>
      </c>
      <c r="J697" t="n">
        <v>0</v>
      </c>
      <c r="K697" t="n">
        <v>0</v>
      </c>
      <c r="L697" t="n">
        <v>0</v>
      </c>
      <c r="M697" t="n">
        <v>0</v>
      </c>
      <c r="N697" t="n">
        <v>0</v>
      </c>
      <c r="O697" t="n">
        <v>0</v>
      </c>
      <c r="P697" t="n">
        <v>0</v>
      </c>
      <c r="Q697" t="n">
        <v>0</v>
      </c>
      <c r="R697" s="2" t="inlineStr"/>
    </row>
    <row r="698" ht="15" customHeight="1">
      <c r="A698" t="inlineStr">
        <is>
          <t>A 58305-2025</t>
        </is>
      </c>
      <c r="B698" s="1" t="n">
        <v>45985.46179398148</v>
      </c>
      <c r="C698" s="1" t="n">
        <v>46074</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57994-2025</t>
        </is>
      </c>
      <c r="B699" s="1" t="n">
        <v>45982.42932870371</v>
      </c>
      <c r="C699" s="1" t="n">
        <v>46074</v>
      </c>
      <c r="D699" t="inlineStr">
        <is>
          <t>NORRBOTTENS LÄN</t>
        </is>
      </c>
      <c r="E699" t="inlineStr">
        <is>
          <t>PITEÅ</t>
        </is>
      </c>
      <c r="G699" t="n">
        <v>3.6</v>
      </c>
      <c r="H699" t="n">
        <v>0</v>
      </c>
      <c r="I699" t="n">
        <v>0</v>
      </c>
      <c r="J699" t="n">
        <v>0</v>
      </c>
      <c r="K699" t="n">
        <v>0</v>
      </c>
      <c r="L699" t="n">
        <v>0</v>
      </c>
      <c r="M699" t="n">
        <v>0</v>
      </c>
      <c r="N699" t="n">
        <v>0</v>
      </c>
      <c r="O699" t="n">
        <v>0</v>
      </c>
      <c r="P699" t="n">
        <v>0</v>
      </c>
      <c r="Q699" t="n">
        <v>0</v>
      </c>
      <c r="R699" s="2" t="inlineStr"/>
    </row>
    <row r="700" ht="15" customHeight="1">
      <c r="A700" t="inlineStr">
        <is>
          <t>A 58078-2025</t>
        </is>
      </c>
      <c r="B700" s="1" t="n">
        <v>45982</v>
      </c>
      <c r="C700" s="1" t="n">
        <v>46074</v>
      </c>
      <c r="D700" t="inlineStr">
        <is>
          <t>NORRBOTTENS LÄN</t>
        </is>
      </c>
      <c r="E700" t="inlineStr">
        <is>
          <t>PITEÅ</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58352-2025</t>
        </is>
      </c>
      <c r="B701" s="1" t="n">
        <v>45985.51115740741</v>
      </c>
      <c r="C701" s="1" t="n">
        <v>46074</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58375-2025</t>
        </is>
      </c>
      <c r="B702" s="1" t="n">
        <v>45985.53173611111</v>
      </c>
      <c r="C702" s="1" t="n">
        <v>46074</v>
      </c>
      <c r="D702" t="inlineStr">
        <is>
          <t>NORRBOTTENS LÄN</t>
        </is>
      </c>
      <c r="E702" t="inlineStr">
        <is>
          <t>PITEÅ</t>
        </is>
      </c>
      <c r="G702" t="n">
        <v>2.8</v>
      </c>
      <c r="H702" t="n">
        <v>0</v>
      </c>
      <c r="I702" t="n">
        <v>0</v>
      </c>
      <c r="J702" t="n">
        <v>0</v>
      </c>
      <c r="K702" t="n">
        <v>0</v>
      </c>
      <c r="L702" t="n">
        <v>0</v>
      </c>
      <c r="M702" t="n">
        <v>0</v>
      </c>
      <c r="N702" t="n">
        <v>0</v>
      </c>
      <c r="O702" t="n">
        <v>0</v>
      </c>
      <c r="P702" t="n">
        <v>0</v>
      </c>
      <c r="Q702" t="n">
        <v>0</v>
      </c>
      <c r="R702" s="2" t="inlineStr"/>
    </row>
    <row r="703" ht="15" customHeight="1">
      <c r="A703" t="inlineStr">
        <is>
          <t>A 51655-2025</t>
        </is>
      </c>
      <c r="B703" s="1" t="n">
        <v>45951</v>
      </c>
      <c r="C703" s="1" t="n">
        <v>46074</v>
      </c>
      <c r="D703" t="inlineStr">
        <is>
          <t>NORRBOTTENS LÄN</t>
        </is>
      </c>
      <c r="E703" t="inlineStr">
        <is>
          <t>PITEÅ</t>
        </is>
      </c>
      <c r="G703" t="n">
        <v>2.7</v>
      </c>
      <c r="H703" t="n">
        <v>0</v>
      </c>
      <c r="I703" t="n">
        <v>0</v>
      </c>
      <c r="J703" t="n">
        <v>0</v>
      </c>
      <c r="K703" t="n">
        <v>0</v>
      </c>
      <c r="L703" t="n">
        <v>0</v>
      </c>
      <c r="M703" t="n">
        <v>0</v>
      </c>
      <c r="N703" t="n">
        <v>0</v>
      </c>
      <c r="O703" t="n">
        <v>0</v>
      </c>
      <c r="P703" t="n">
        <v>0</v>
      </c>
      <c r="Q703" t="n">
        <v>0</v>
      </c>
      <c r="R703" s="2" t="inlineStr"/>
    </row>
    <row r="704" ht="15" customHeight="1">
      <c r="A704" t="inlineStr">
        <is>
          <t>A 58993-2025</t>
        </is>
      </c>
      <c r="B704" s="1" t="n">
        <v>45987</v>
      </c>
      <c r="C704" s="1" t="n">
        <v>46074</v>
      </c>
      <c r="D704" t="inlineStr">
        <is>
          <t>NORRBOTTENS LÄN</t>
        </is>
      </c>
      <c r="E704" t="inlineStr">
        <is>
          <t>PITEÅ</t>
        </is>
      </c>
      <c r="G704" t="n">
        <v>7.9</v>
      </c>
      <c r="H704" t="n">
        <v>0</v>
      </c>
      <c r="I704" t="n">
        <v>0</v>
      </c>
      <c r="J704" t="n">
        <v>0</v>
      </c>
      <c r="K704" t="n">
        <v>0</v>
      </c>
      <c r="L704" t="n">
        <v>0</v>
      </c>
      <c r="M704" t="n">
        <v>0</v>
      </c>
      <c r="N704" t="n">
        <v>0</v>
      </c>
      <c r="O704" t="n">
        <v>0</v>
      </c>
      <c r="P704" t="n">
        <v>0</v>
      </c>
      <c r="Q704" t="n">
        <v>0</v>
      </c>
      <c r="R704" s="2" t="inlineStr"/>
    </row>
    <row r="705" ht="15" customHeight="1">
      <c r="A705" t="inlineStr">
        <is>
          <t>A 58701-2025</t>
        </is>
      </c>
      <c r="B705" s="1" t="n">
        <v>45986.59315972222</v>
      </c>
      <c r="C705" s="1" t="n">
        <v>46074</v>
      </c>
      <c r="D705" t="inlineStr">
        <is>
          <t>NORRBOTTENS LÄN</t>
        </is>
      </c>
      <c r="E705" t="inlineStr">
        <is>
          <t>PITEÅ</t>
        </is>
      </c>
      <c r="F705" t="inlineStr">
        <is>
          <t>Sveaskog</t>
        </is>
      </c>
      <c r="G705" t="n">
        <v>8.6</v>
      </c>
      <c r="H705" t="n">
        <v>0</v>
      </c>
      <c r="I705" t="n">
        <v>0</v>
      </c>
      <c r="J705" t="n">
        <v>0</v>
      </c>
      <c r="K705" t="n">
        <v>0</v>
      </c>
      <c r="L705" t="n">
        <v>0</v>
      </c>
      <c r="M705" t="n">
        <v>0</v>
      </c>
      <c r="N705" t="n">
        <v>0</v>
      </c>
      <c r="O705" t="n">
        <v>0</v>
      </c>
      <c r="P705" t="n">
        <v>0</v>
      </c>
      <c r="Q705" t="n">
        <v>0</v>
      </c>
      <c r="R705" s="2" t="inlineStr"/>
    </row>
    <row r="706" ht="15" customHeight="1">
      <c r="A706" t="inlineStr">
        <is>
          <t>A 14871-2022</t>
        </is>
      </c>
      <c r="B706" s="1" t="n">
        <v>44656</v>
      </c>
      <c r="C706" s="1" t="n">
        <v>46074</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73026-2021</t>
        </is>
      </c>
      <c r="B707" s="1" t="n">
        <v>44550</v>
      </c>
      <c r="C707" s="1" t="n">
        <v>46074</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58580-2025</t>
        </is>
      </c>
      <c r="B708" s="1" t="n">
        <v>45986.38614583333</v>
      </c>
      <c r="C708" s="1" t="n">
        <v>46074</v>
      </c>
      <c r="D708" t="inlineStr">
        <is>
          <t>NORRBOTTENS LÄN</t>
        </is>
      </c>
      <c r="E708" t="inlineStr">
        <is>
          <t>PITEÅ</t>
        </is>
      </c>
      <c r="G708" t="n">
        <v>2</v>
      </c>
      <c r="H708" t="n">
        <v>0</v>
      </c>
      <c r="I708" t="n">
        <v>0</v>
      </c>
      <c r="J708" t="n">
        <v>0</v>
      </c>
      <c r="K708" t="n">
        <v>0</v>
      </c>
      <c r="L708" t="n">
        <v>0</v>
      </c>
      <c r="M708" t="n">
        <v>0</v>
      </c>
      <c r="N708" t="n">
        <v>0</v>
      </c>
      <c r="O708" t="n">
        <v>0</v>
      </c>
      <c r="P708" t="n">
        <v>0</v>
      </c>
      <c r="Q708" t="n">
        <v>0</v>
      </c>
      <c r="R708" s="2" t="inlineStr"/>
    </row>
    <row r="709" ht="15" customHeight="1">
      <c r="A709" t="inlineStr">
        <is>
          <t>A 1908-2024</t>
        </is>
      </c>
      <c r="B709" s="1" t="n">
        <v>45308</v>
      </c>
      <c r="C709" s="1" t="n">
        <v>46074</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28721-2024</t>
        </is>
      </c>
      <c r="B710" s="1" t="n">
        <v>45478.54922453704</v>
      </c>
      <c r="C710" s="1" t="n">
        <v>46074</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28727-2024</t>
        </is>
      </c>
      <c r="B711" s="1" t="n">
        <v>45478.55758101852</v>
      </c>
      <c r="C711" s="1" t="n">
        <v>46074</v>
      </c>
      <c r="D711" t="inlineStr">
        <is>
          <t>NORRBOTTENS LÄN</t>
        </is>
      </c>
      <c r="E711" t="inlineStr">
        <is>
          <t>PITEÅ</t>
        </is>
      </c>
      <c r="G711" t="n">
        <v>0.8</v>
      </c>
      <c r="H711" t="n">
        <v>0</v>
      </c>
      <c r="I711" t="n">
        <v>0</v>
      </c>
      <c r="J711" t="n">
        <v>0</v>
      </c>
      <c r="K711" t="n">
        <v>0</v>
      </c>
      <c r="L711" t="n">
        <v>0</v>
      </c>
      <c r="M711" t="n">
        <v>0</v>
      </c>
      <c r="N711" t="n">
        <v>0</v>
      </c>
      <c r="O711" t="n">
        <v>0</v>
      </c>
      <c r="P711" t="n">
        <v>0</v>
      </c>
      <c r="Q711" t="n">
        <v>0</v>
      </c>
      <c r="R711" s="2" t="inlineStr"/>
    </row>
    <row r="712" ht="15" customHeight="1">
      <c r="A712" t="inlineStr">
        <is>
          <t>A 6026-2025</t>
        </is>
      </c>
      <c r="B712" s="1" t="n">
        <v>45695.62141203704</v>
      </c>
      <c r="C712" s="1" t="n">
        <v>46074</v>
      </c>
      <c r="D712" t="inlineStr">
        <is>
          <t>NORRBOTTENS LÄN</t>
        </is>
      </c>
      <c r="E712" t="inlineStr">
        <is>
          <t>PITEÅ</t>
        </is>
      </c>
      <c r="F712" t="inlineStr">
        <is>
          <t>Övriga Aktiebolag</t>
        </is>
      </c>
      <c r="G712" t="n">
        <v>4.9</v>
      </c>
      <c r="H712" t="n">
        <v>0</v>
      </c>
      <c r="I712" t="n">
        <v>0</v>
      </c>
      <c r="J712" t="n">
        <v>0</v>
      </c>
      <c r="K712" t="n">
        <v>0</v>
      </c>
      <c r="L712" t="n">
        <v>0</v>
      </c>
      <c r="M712" t="n">
        <v>0</v>
      </c>
      <c r="N712" t="n">
        <v>0</v>
      </c>
      <c r="O712" t="n">
        <v>0</v>
      </c>
      <c r="P712" t="n">
        <v>0</v>
      </c>
      <c r="Q712" t="n">
        <v>0</v>
      </c>
      <c r="R712" s="2" t="inlineStr"/>
    </row>
    <row r="713" ht="15" customHeight="1">
      <c r="A713" t="inlineStr">
        <is>
          <t>A 59292-2025</t>
        </is>
      </c>
      <c r="B713" s="1" t="n">
        <v>45988</v>
      </c>
      <c r="C713" s="1" t="n">
        <v>46074</v>
      </c>
      <c r="D713" t="inlineStr">
        <is>
          <t>NORRBOTTENS LÄN</t>
        </is>
      </c>
      <c r="E713" t="inlineStr">
        <is>
          <t>PITEÅ</t>
        </is>
      </c>
      <c r="G713" t="n">
        <v>2.4</v>
      </c>
      <c r="H713" t="n">
        <v>0</v>
      </c>
      <c r="I713" t="n">
        <v>0</v>
      </c>
      <c r="J713" t="n">
        <v>0</v>
      </c>
      <c r="K713" t="n">
        <v>0</v>
      </c>
      <c r="L713" t="n">
        <v>0</v>
      </c>
      <c r="M713" t="n">
        <v>0</v>
      </c>
      <c r="N713" t="n">
        <v>0</v>
      </c>
      <c r="O713" t="n">
        <v>0</v>
      </c>
      <c r="P713" t="n">
        <v>0</v>
      </c>
      <c r="Q713" t="n">
        <v>0</v>
      </c>
      <c r="R713" s="2" t="inlineStr"/>
    </row>
    <row r="714" ht="15" customHeight="1">
      <c r="A714" t="inlineStr">
        <is>
          <t>A 59498-2025</t>
        </is>
      </c>
      <c r="B714" s="1" t="n">
        <v>45989.61618055555</v>
      </c>
      <c r="C714" s="1" t="n">
        <v>46074</v>
      </c>
      <c r="D714" t="inlineStr">
        <is>
          <t>NORRBOTTENS LÄN</t>
        </is>
      </c>
      <c r="E714" t="inlineStr">
        <is>
          <t>PITEÅ</t>
        </is>
      </c>
      <c r="G714" t="n">
        <v>6.6</v>
      </c>
      <c r="H714" t="n">
        <v>0</v>
      </c>
      <c r="I714" t="n">
        <v>0</v>
      </c>
      <c r="J714" t="n">
        <v>0</v>
      </c>
      <c r="K714" t="n">
        <v>0</v>
      </c>
      <c r="L714" t="n">
        <v>0</v>
      </c>
      <c r="M714" t="n">
        <v>0</v>
      </c>
      <c r="N714" t="n">
        <v>0</v>
      </c>
      <c r="O714" t="n">
        <v>0</v>
      </c>
      <c r="P714" t="n">
        <v>0</v>
      </c>
      <c r="Q714" t="n">
        <v>0</v>
      </c>
      <c r="R714" s="2" t="inlineStr"/>
    </row>
    <row r="715" ht="15" customHeight="1">
      <c r="A715" t="inlineStr">
        <is>
          <t>A 16560-2023</t>
        </is>
      </c>
      <c r="B715" s="1" t="n">
        <v>45029</v>
      </c>
      <c r="C715" s="1" t="n">
        <v>46074</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17423-2023</t>
        </is>
      </c>
      <c r="B716" s="1" t="n">
        <v>45035.92623842593</v>
      </c>
      <c r="C716" s="1" t="n">
        <v>46074</v>
      </c>
      <c r="D716" t="inlineStr">
        <is>
          <t>NORRBOTTENS LÄN</t>
        </is>
      </c>
      <c r="E716" t="inlineStr">
        <is>
          <t>PITEÅ</t>
        </is>
      </c>
      <c r="G716" t="n">
        <v>2.1</v>
      </c>
      <c r="H716" t="n">
        <v>0</v>
      </c>
      <c r="I716" t="n">
        <v>0</v>
      </c>
      <c r="J716" t="n">
        <v>0</v>
      </c>
      <c r="K716" t="n">
        <v>0</v>
      </c>
      <c r="L716" t="n">
        <v>0</v>
      </c>
      <c r="M716" t="n">
        <v>0</v>
      </c>
      <c r="N716" t="n">
        <v>0</v>
      </c>
      <c r="O716" t="n">
        <v>0</v>
      </c>
      <c r="P716" t="n">
        <v>0</v>
      </c>
      <c r="Q716" t="n">
        <v>0</v>
      </c>
      <c r="R716" s="2" t="inlineStr"/>
    </row>
    <row r="717" ht="15" customHeight="1">
      <c r="A717" t="inlineStr">
        <is>
          <t>A 17447-2023</t>
        </is>
      </c>
      <c r="B717" s="1" t="n">
        <v>45035</v>
      </c>
      <c r="C717" s="1" t="n">
        <v>46074</v>
      </c>
      <c r="D717" t="inlineStr">
        <is>
          <t>NORRBOTTENS LÄN</t>
        </is>
      </c>
      <c r="E717" t="inlineStr">
        <is>
          <t>PITEÅ</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7083-2025</t>
        </is>
      </c>
      <c r="B718" s="1" t="n">
        <v>45701</v>
      </c>
      <c r="C718" s="1" t="n">
        <v>46074</v>
      </c>
      <c r="D718" t="inlineStr">
        <is>
          <t>NORRBOTTENS LÄN</t>
        </is>
      </c>
      <c r="E718" t="inlineStr">
        <is>
          <t>PITEÅ</t>
        </is>
      </c>
      <c r="G718" t="n">
        <v>10.5</v>
      </c>
      <c r="H718" t="n">
        <v>0</v>
      </c>
      <c r="I718" t="n">
        <v>0</v>
      </c>
      <c r="J718" t="n">
        <v>0</v>
      </c>
      <c r="K718" t="n">
        <v>0</v>
      </c>
      <c r="L718" t="n">
        <v>0</v>
      </c>
      <c r="M718" t="n">
        <v>0</v>
      </c>
      <c r="N718" t="n">
        <v>0</v>
      </c>
      <c r="O718" t="n">
        <v>0</v>
      </c>
      <c r="P718" t="n">
        <v>0</v>
      </c>
      <c r="Q718" t="n">
        <v>0</v>
      </c>
      <c r="R718" s="2" t="inlineStr"/>
    </row>
    <row r="719" ht="15" customHeight="1">
      <c r="A719" t="inlineStr">
        <is>
          <t>A 59314-2025</t>
        </is>
      </c>
      <c r="B719" s="1" t="n">
        <v>45989</v>
      </c>
      <c r="C719" s="1" t="n">
        <v>46074</v>
      </c>
      <c r="D719" t="inlineStr">
        <is>
          <t>NORRBOTTENS LÄN</t>
        </is>
      </c>
      <c r="E719" t="inlineStr">
        <is>
          <t>PITEÅ</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59315-2025</t>
        </is>
      </c>
      <c r="B720" s="1" t="n">
        <v>45989.31907407408</v>
      </c>
      <c r="C720" s="1" t="n">
        <v>46074</v>
      </c>
      <c r="D720" t="inlineStr">
        <is>
          <t>NORRBOTTENS LÄN</t>
        </is>
      </c>
      <c r="E720" t="inlineStr">
        <is>
          <t>PITEÅ</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59422-2025</t>
        </is>
      </c>
      <c r="B721" s="1" t="n">
        <v>45989.53226851852</v>
      </c>
      <c r="C721" s="1" t="n">
        <v>46074</v>
      </c>
      <c r="D721" t="inlineStr">
        <is>
          <t>NORRBOTTENS LÄN</t>
        </is>
      </c>
      <c r="E721" t="inlineStr">
        <is>
          <t>PITEÅ</t>
        </is>
      </c>
      <c r="G721" t="n">
        <v>0.5</v>
      </c>
      <c r="H721" t="n">
        <v>0</v>
      </c>
      <c r="I721" t="n">
        <v>0</v>
      </c>
      <c r="J721" t="n">
        <v>0</v>
      </c>
      <c r="K721" t="n">
        <v>0</v>
      </c>
      <c r="L721" t="n">
        <v>0</v>
      </c>
      <c r="M721" t="n">
        <v>0</v>
      </c>
      <c r="N721" t="n">
        <v>0</v>
      </c>
      <c r="O721" t="n">
        <v>0</v>
      </c>
      <c r="P721" t="n">
        <v>0</v>
      </c>
      <c r="Q721" t="n">
        <v>0</v>
      </c>
      <c r="R721" s="2" t="inlineStr"/>
    </row>
    <row r="722" ht="15" customHeight="1">
      <c r="A722" t="inlineStr">
        <is>
          <t>A 59220-2025</t>
        </is>
      </c>
      <c r="B722" s="1" t="n">
        <v>45988</v>
      </c>
      <c r="C722" s="1" t="n">
        <v>46074</v>
      </c>
      <c r="D722" t="inlineStr">
        <is>
          <t>NORRBOTTENS LÄN</t>
        </is>
      </c>
      <c r="E722" t="inlineStr">
        <is>
          <t>PITEÅ</t>
        </is>
      </c>
      <c r="G722" t="n">
        <v>2.4</v>
      </c>
      <c r="H722" t="n">
        <v>0</v>
      </c>
      <c r="I722" t="n">
        <v>0</v>
      </c>
      <c r="J722" t="n">
        <v>0</v>
      </c>
      <c r="K722" t="n">
        <v>0</v>
      </c>
      <c r="L722" t="n">
        <v>0</v>
      </c>
      <c r="M722" t="n">
        <v>0</v>
      </c>
      <c r="N722" t="n">
        <v>0</v>
      </c>
      <c r="O722" t="n">
        <v>0</v>
      </c>
      <c r="P722" t="n">
        <v>0</v>
      </c>
      <c r="Q722" t="n">
        <v>0</v>
      </c>
      <c r="R722" s="2" t="inlineStr"/>
    </row>
    <row r="723" ht="15" customHeight="1">
      <c r="A723" t="inlineStr">
        <is>
          <t>A 44527-2024</t>
        </is>
      </c>
      <c r="B723" s="1" t="n">
        <v>45574.44518518518</v>
      </c>
      <c r="C723" s="1" t="n">
        <v>46074</v>
      </c>
      <c r="D723" t="inlineStr">
        <is>
          <t>NORRBOTTENS LÄN</t>
        </is>
      </c>
      <c r="E723" t="inlineStr">
        <is>
          <t>PITEÅ</t>
        </is>
      </c>
      <c r="F723" t="inlineStr">
        <is>
          <t>Sveaskog</t>
        </is>
      </c>
      <c r="G723" t="n">
        <v>12.2</v>
      </c>
      <c r="H723" t="n">
        <v>0</v>
      </c>
      <c r="I723" t="n">
        <v>0</v>
      </c>
      <c r="J723" t="n">
        <v>0</v>
      </c>
      <c r="K723" t="n">
        <v>0</v>
      </c>
      <c r="L723" t="n">
        <v>0</v>
      </c>
      <c r="M723" t="n">
        <v>0</v>
      </c>
      <c r="N723" t="n">
        <v>0</v>
      </c>
      <c r="O723" t="n">
        <v>0</v>
      </c>
      <c r="P723" t="n">
        <v>0</v>
      </c>
      <c r="Q723" t="n">
        <v>0</v>
      </c>
      <c r="R723" s="2" t="inlineStr"/>
    </row>
    <row r="724" ht="15" customHeight="1">
      <c r="A724" t="inlineStr">
        <is>
          <t>A 59421-2025</t>
        </is>
      </c>
      <c r="B724" s="1" t="n">
        <v>45989</v>
      </c>
      <c r="C724" s="1" t="n">
        <v>46074</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54970-2024</t>
        </is>
      </c>
      <c r="B725" s="1" t="n">
        <v>45620</v>
      </c>
      <c r="C725" s="1" t="n">
        <v>46074</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44082-2023</t>
        </is>
      </c>
      <c r="B726" s="1" t="n">
        <v>45188</v>
      </c>
      <c r="C726" s="1" t="n">
        <v>46074</v>
      </c>
      <c r="D726" t="inlineStr">
        <is>
          <t>NORRBOTTENS LÄN</t>
        </is>
      </c>
      <c r="E726" t="inlineStr">
        <is>
          <t>PITEÅ</t>
        </is>
      </c>
      <c r="F726" t="inlineStr">
        <is>
          <t>Sveaskog</t>
        </is>
      </c>
      <c r="G726" t="n">
        <v>11.1</v>
      </c>
      <c r="H726" t="n">
        <v>0</v>
      </c>
      <c r="I726" t="n">
        <v>0</v>
      </c>
      <c r="J726" t="n">
        <v>0</v>
      </c>
      <c r="K726" t="n">
        <v>0</v>
      </c>
      <c r="L726" t="n">
        <v>0</v>
      </c>
      <c r="M726" t="n">
        <v>0</v>
      </c>
      <c r="N726" t="n">
        <v>0</v>
      </c>
      <c r="O726" t="n">
        <v>0</v>
      </c>
      <c r="P726" t="n">
        <v>0</v>
      </c>
      <c r="Q726" t="n">
        <v>0</v>
      </c>
      <c r="R726" s="2" t="inlineStr"/>
    </row>
    <row r="727" ht="15" customHeight="1">
      <c r="A727" t="inlineStr">
        <is>
          <t>A 28718-2024</t>
        </is>
      </c>
      <c r="B727" s="1" t="n">
        <v>45478.54375</v>
      </c>
      <c r="C727" s="1" t="n">
        <v>46074</v>
      </c>
      <c r="D727" t="inlineStr">
        <is>
          <t>NORRBOTTENS LÄN</t>
        </is>
      </c>
      <c r="E727" t="inlineStr">
        <is>
          <t>PITEÅ</t>
        </is>
      </c>
      <c r="G727" t="n">
        <v>2</v>
      </c>
      <c r="H727" t="n">
        <v>0</v>
      </c>
      <c r="I727" t="n">
        <v>0</v>
      </c>
      <c r="J727" t="n">
        <v>0</v>
      </c>
      <c r="K727" t="n">
        <v>0</v>
      </c>
      <c r="L727" t="n">
        <v>0</v>
      </c>
      <c r="M727" t="n">
        <v>0</v>
      </c>
      <c r="N727" t="n">
        <v>0</v>
      </c>
      <c r="O727" t="n">
        <v>0</v>
      </c>
      <c r="P727" t="n">
        <v>0</v>
      </c>
      <c r="Q727" t="n">
        <v>0</v>
      </c>
      <c r="R727" s="2" t="inlineStr"/>
    </row>
    <row r="728" ht="15" customHeight="1">
      <c r="A728" t="inlineStr">
        <is>
          <t>A 59828-2025</t>
        </is>
      </c>
      <c r="B728" s="1" t="n">
        <v>45992.65481481481</v>
      </c>
      <c r="C728" s="1" t="n">
        <v>46074</v>
      </c>
      <c r="D728" t="inlineStr">
        <is>
          <t>NORRBOTTENS LÄN</t>
        </is>
      </c>
      <c r="E728" t="inlineStr">
        <is>
          <t>PITEÅ</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59656-2025</t>
        </is>
      </c>
      <c r="B729" s="1" t="n">
        <v>45992</v>
      </c>
      <c r="C729" s="1" t="n">
        <v>46074</v>
      </c>
      <c r="D729" t="inlineStr">
        <is>
          <t>NORRBOTTENS LÄN</t>
        </is>
      </c>
      <c r="E729" t="inlineStr">
        <is>
          <t>PITEÅ</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7523-2025</t>
        </is>
      </c>
      <c r="B730" s="1" t="n">
        <v>45705</v>
      </c>
      <c r="C730" s="1" t="n">
        <v>46074</v>
      </c>
      <c r="D730" t="inlineStr">
        <is>
          <t>NORRBOTTENS LÄN</t>
        </is>
      </c>
      <c r="E730" t="inlineStr">
        <is>
          <t>PITEÅ</t>
        </is>
      </c>
      <c r="G730" t="n">
        <v>12.8</v>
      </c>
      <c r="H730" t="n">
        <v>0</v>
      </c>
      <c r="I730" t="n">
        <v>0</v>
      </c>
      <c r="J730" t="n">
        <v>0</v>
      </c>
      <c r="K730" t="n">
        <v>0</v>
      </c>
      <c r="L730" t="n">
        <v>0</v>
      </c>
      <c r="M730" t="n">
        <v>0</v>
      </c>
      <c r="N730" t="n">
        <v>0</v>
      </c>
      <c r="O730" t="n">
        <v>0</v>
      </c>
      <c r="P730" t="n">
        <v>0</v>
      </c>
      <c r="Q730" t="n">
        <v>0</v>
      </c>
      <c r="R730" s="2" t="inlineStr"/>
    </row>
    <row r="731" ht="15" customHeight="1">
      <c r="A731" t="inlineStr">
        <is>
          <t>A 59751-2025</t>
        </is>
      </c>
      <c r="B731" s="1" t="n">
        <v>45992.58547453704</v>
      </c>
      <c r="C731" s="1" t="n">
        <v>46074</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14849-2021</t>
        </is>
      </c>
      <c r="B732" s="1" t="n">
        <v>44280.9359375</v>
      </c>
      <c r="C732" s="1" t="n">
        <v>46074</v>
      </c>
      <c r="D732" t="inlineStr">
        <is>
          <t>NORRBOTTENS LÄN</t>
        </is>
      </c>
      <c r="E732" t="inlineStr">
        <is>
          <t>PITEÅ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59953-2025</t>
        </is>
      </c>
      <c r="B733" s="1" t="n">
        <v>45993</v>
      </c>
      <c r="C733" s="1" t="n">
        <v>46074</v>
      </c>
      <c r="D733" t="inlineStr">
        <is>
          <t>NORRBOTTENS LÄN</t>
        </is>
      </c>
      <c r="E733" t="inlineStr">
        <is>
          <t>PITEÅ</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30440-2022</t>
        </is>
      </c>
      <c r="B734" s="1" t="n">
        <v>44761</v>
      </c>
      <c r="C734" s="1" t="n">
        <v>46074</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11511-2025</t>
        </is>
      </c>
      <c r="B735" s="1" t="n">
        <v>45726.83957175926</v>
      </c>
      <c r="C735" s="1" t="n">
        <v>46074</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8875-2024</t>
        </is>
      </c>
      <c r="B736" s="1" t="n">
        <v>45356.9645949074</v>
      </c>
      <c r="C736" s="1" t="n">
        <v>46074</v>
      </c>
      <c r="D736" t="inlineStr">
        <is>
          <t>NORRBOTTENS LÄN</t>
        </is>
      </c>
      <c r="E736" t="inlineStr">
        <is>
          <t>PITEÅ</t>
        </is>
      </c>
      <c r="G736" t="n">
        <v>11.3</v>
      </c>
      <c r="H736" t="n">
        <v>0</v>
      </c>
      <c r="I736" t="n">
        <v>0</v>
      </c>
      <c r="J736" t="n">
        <v>0</v>
      </c>
      <c r="K736" t="n">
        <v>0</v>
      </c>
      <c r="L736" t="n">
        <v>0</v>
      </c>
      <c r="M736" t="n">
        <v>0</v>
      </c>
      <c r="N736" t="n">
        <v>0</v>
      </c>
      <c r="O736" t="n">
        <v>0</v>
      </c>
      <c r="P736" t="n">
        <v>0</v>
      </c>
      <c r="Q736" t="n">
        <v>0</v>
      </c>
      <c r="R736" s="2" t="inlineStr"/>
    </row>
    <row r="737" ht="15" customHeight="1">
      <c r="A737" t="inlineStr">
        <is>
          <t>A 2125-2026</t>
        </is>
      </c>
      <c r="B737" s="1" t="n">
        <v>46036.38759259259</v>
      </c>
      <c r="C737" s="1" t="n">
        <v>46074</v>
      </c>
      <c r="D737" t="inlineStr">
        <is>
          <t>NORRBOTTENS LÄN</t>
        </is>
      </c>
      <c r="E737" t="inlineStr">
        <is>
          <t>PITEÅ</t>
        </is>
      </c>
      <c r="G737" t="n">
        <v>2.4</v>
      </c>
      <c r="H737" t="n">
        <v>0</v>
      </c>
      <c r="I737" t="n">
        <v>0</v>
      </c>
      <c r="J737" t="n">
        <v>0</v>
      </c>
      <c r="K737" t="n">
        <v>0</v>
      </c>
      <c r="L737" t="n">
        <v>0</v>
      </c>
      <c r="M737" t="n">
        <v>0</v>
      </c>
      <c r="N737" t="n">
        <v>0</v>
      </c>
      <c r="O737" t="n">
        <v>0</v>
      </c>
      <c r="P737" t="n">
        <v>0</v>
      </c>
      <c r="Q737" t="n">
        <v>0</v>
      </c>
      <c r="R737" s="2" t="inlineStr"/>
    </row>
    <row r="738" ht="15" customHeight="1">
      <c r="A738" t="inlineStr">
        <is>
          <t>A 2151-2026</t>
        </is>
      </c>
      <c r="B738" s="1" t="n">
        <v>46036.41863425926</v>
      </c>
      <c r="C738" s="1" t="n">
        <v>46074</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2139-2026</t>
        </is>
      </c>
      <c r="B739" s="1" t="n">
        <v>46036.39594907407</v>
      </c>
      <c r="C739" s="1" t="n">
        <v>46074</v>
      </c>
      <c r="D739" t="inlineStr">
        <is>
          <t>NORRBOTTENS LÄN</t>
        </is>
      </c>
      <c r="E739" t="inlineStr">
        <is>
          <t>PITEÅ</t>
        </is>
      </c>
      <c r="G739" t="n">
        <v>1.4</v>
      </c>
      <c r="H739" t="n">
        <v>0</v>
      </c>
      <c r="I739" t="n">
        <v>0</v>
      </c>
      <c r="J739" t="n">
        <v>0</v>
      </c>
      <c r="K739" t="n">
        <v>0</v>
      </c>
      <c r="L739" t="n">
        <v>0</v>
      </c>
      <c r="M739" t="n">
        <v>0</v>
      </c>
      <c r="N739" t="n">
        <v>0</v>
      </c>
      <c r="O739" t="n">
        <v>0</v>
      </c>
      <c r="P739" t="n">
        <v>0</v>
      </c>
      <c r="Q739" t="n">
        <v>0</v>
      </c>
      <c r="R739" s="2" t="inlineStr"/>
    </row>
    <row r="740" ht="15" customHeight="1">
      <c r="A740" t="inlineStr">
        <is>
          <t>A 2103-2026</t>
        </is>
      </c>
      <c r="B740" s="1" t="n">
        <v>46036.37460648148</v>
      </c>
      <c r="C740" s="1" t="n">
        <v>46074</v>
      </c>
      <c r="D740" t="inlineStr">
        <is>
          <t>NORRBOTTENS LÄN</t>
        </is>
      </c>
      <c r="E740" t="inlineStr">
        <is>
          <t>PITEÅ</t>
        </is>
      </c>
      <c r="G740" t="n">
        <v>3.9</v>
      </c>
      <c r="H740" t="n">
        <v>0</v>
      </c>
      <c r="I740" t="n">
        <v>0</v>
      </c>
      <c r="J740" t="n">
        <v>0</v>
      </c>
      <c r="K740" t="n">
        <v>0</v>
      </c>
      <c r="L740" t="n">
        <v>0</v>
      </c>
      <c r="M740" t="n">
        <v>0</v>
      </c>
      <c r="N740" t="n">
        <v>0</v>
      </c>
      <c r="O740" t="n">
        <v>0</v>
      </c>
      <c r="P740" t="n">
        <v>0</v>
      </c>
      <c r="Q740" t="n">
        <v>0</v>
      </c>
      <c r="R740" s="2" t="inlineStr"/>
    </row>
    <row r="741" ht="15" customHeight="1">
      <c r="A741" t="inlineStr">
        <is>
          <t>A 2117-2026</t>
        </is>
      </c>
      <c r="B741" s="1" t="n">
        <v>46036.38172453704</v>
      </c>
      <c r="C741" s="1" t="n">
        <v>46074</v>
      </c>
      <c r="D741" t="inlineStr">
        <is>
          <t>NORRBOTTENS LÄN</t>
        </is>
      </c>
      <c r="E741" t="inlineStr">
        <is>
          <t>PITEÅ</t>
        </is>
      </c>
      <c r="G741" t="n">
        <v>4.9</v>
      </c>
      <c r="H741" t="n">
        <v>0</v>
      </c>
      <c r="I741" t="n">
        <v>0</v>
      </c>
      <c r="J741" t="n">
        <v>0</v>
      </c>
      <c r="K741" t="n">
        <v>0</v>
      </c>
      <c r="L741" t="n">
        <v>0</v>
      </c>
      <c r="M741" t="n">
        <v>0</v>
      </c>
      <c r="N741" t="n">
        <v>0</v>
      </c>
      <c r="O741" t="n">
        <v>0</v>
      </c>
      <c r="P741" t="n">
        <v>0</v>
      </c>
      <c r="Q741" t="n">
        <v>0</v>
      </c>
      <c r="R741" s="2" t="inlineStr"/>
    </row>
    <row r="742" ht="15" customHeight="1">
      <c r="A742" t="inlineStr">
        <is>
          <t>A 2133-2026</t>
        </is>
      </c>
      <c r="B742" s="1" t="n">
        <v>46036.39217592592</v>
      </c>
      <c r="C742" s="1" t="n">
        <v>46074</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60100-2025</t>
        </is>
      </c>
      <c r="B743" s="1" t="n">
        <v>45993.93607638889</v>
      </c>
      <c r="C743" s="1" t="n">
        <v>46074</v>
      </c>
      <c r="D743" t="inlineStr">
        <is>
          <t>NORRBOTTENS LÄN</t>
        </is>
      </c>
      <c r="E743" t="inlineStr">
        <is>
          <t>PITEÅ</t>
        </is>
      </c>
      <c r="G743" t="n">
        <v>2.9</v>
      </c>
      <c r="H743" t="n">
        <v>0</v>
      </c>
      <c r="I743" t="n">
        <v>0</v>
      </c>
      <c r="J743" t="n">
        <v>0</v>
      </c>
      <c r="K743" t="n">
        <v>0</v>
      </c>
      <c r="L743" t="n">
        <v>0</v>
      </c>
      <c r="M743" t="n">
        <v>0</v>
      </c>
      <c r="N743" t="n">
        <v>0</v>
      </c>
      <c r="O743" t="n">
        <v>0</v>
      </c>
      <c r="P743" t="n">
        <v>0</v>
      </c>
      <c r="Q743" t="n">
        <v>0</v>
      </c>
      <c r="R743" s="2" t="inlineStr"/>
    </row>
    <row r="744" ht="15" customHeight="1">
      <c r="A744" t="inlineStr">
        <is>
          <t>A 60101-2025</t>
        </is>
      </c>
      <c r="B744" s="1" t="n">
        <v>45993.94271990741</v>
      </c>
      <c r="C744" s="1" t="n">
        <v>46074</v>
      </c>
      <c r="D744" t="inlineStr">
        <is>
          <t>NORRBOTTENS LÄN</t>
        </is>
      </c>
      <c r="E744" t="inlineStr">
        <is>
          <t>PITEÅ</t>
        </is>
      </c>
      <c r="G744" t="n">
        <v>2.1</v>
      </c>
      <c r="H744" t="n">
        <v>0</v>
      </c>
      <c r="I744" t="n">
        <v>0</v>
      </c>
      <c r="J744" t="n">
        <v>0</v>
      </c>
      <c r="K744" t="n">
        <v>0</v>
      </c>
      <c r="L744" t="n">
        <v>0</v>
      </c>
      <c r="M744" t="n">
        <v>0</v>
      </c>
      <c r="N744" t="n">
        <v>0</v>
      </c>
      <c r="O744" t="n">
        <v>0</v>
      </c>
      <c r="P744" t="n">
        <v>0</v>
      </c>
      <c r="Q744" t="n">
        <v>0</v>
      </c>
      <c r="R744" s="2" t="inlineStr"/>
    </row>
    <row r="745" ht="15" customHeight="1">
      <c r="A745" t="inlineStr">
        <is>
          <t>A 37821-2023</t>
        </is>
      </c>
      <c r="B745" s="1" t="n">
        <v>45160.30193287037</v>
      </c>
      <c r="C745" s="1" t="n">
        <v>46074</v>
      </c>
      <c r="D745" t="inlineStr">
        <is>
          <t>NORRBOTTENS LÄN</t>
        </is>
      </c>
      <c r="E745" t="inlineStr">
        <is>
          <t>PITEÅ</t>
        </is>
      </c>
      <c r="F745" t="inlineStr">
        <is>
          <t>Sveaskog</t>
        </is>
      </c>
      <c r="G745" t="n">
        <v>15.7</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46074</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2136-2026</t>
        </is>
      </c>
      <c r="B747" s="1" t="n">
        <v>46036.39403935185</v>
      </c>
      <c r="C747" s="1" t="n">
        <v>46074</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60444-2025</t>
        </is>
      </c>
      <c r="B748" s="1" t="n">
        <v>45995.49049768518</v>
      </c>
      <c r="C748" s="1" t="n">
        <v>46074</v>
      </c>
      <c r="D748" t="inlineStr">
        <is>
          <t>NORRBOTTENS LÄN</t>
        </is>
      </c>
      <c r="E748" t="inlineStr">
        <is>
          <t>PITEÅ</t>
        </is>
      </c>
      <c r="G748" t="n">
        <v>17.3</v>
      </c>
      <c r="H748" t="n">
        <v>0</v>
      </c>
      <c r="I748" t="n">
        <v>0</v>
      </c>
      <c r="J748" t="n">
        <v>0</v>
      </c>
      <c r="K748" t="n">
        <v>0</v>
      </c>
      <c r="L748" t="n">
        <v>0</v>
      </c>
      <c r="M748" t="n">
        <v>0</v>
      </c>
      <c r="N748" t="n">
        <v>0</v>
      </c>
      <c r="O748" t="n">
        <v>0</v>
      </c>
      <c r="P748" t="n">
        <v>0</v>
      </c>
      <c r="Q748" t="n">
        <v>0</v>
      </c>
      <c r="R748" s="2" t="inlineStr"/>
    </row>
    <row r="749" ht="15" customHeight="1">
      <c r="A749" t="inlineStr">
        <is>
          <t>A 37703-2024</t>
        </is>
      </c>
      <c r="B749" s="1" t="n">
        <v>45541</v>
      </c>
      <c r="C749" s="1" t="n">
        <v>46074</v>
      </c>
      <c r="D749" t="inlineStr">
        <is>
          <t>NORRBOTTENS LÄN</t>
        </is>
      </c>
      <c r="E749" t="inlineStr">
        <is>
          <t>PITEÅ</t>
        </is>
      </c>
      <c r="G749" t="n">
        <v>14.1</v>
      </c>
      <c r="H749" t="n">
        <v>0</v>
      </c>
      <c r="I749" t="n">
        <v>0</v>
      </c>
      <c r="J749" t="n">
        <v>0</v>
      </c>
      <c r="K749" t="n">
        <v>0</v>
      </c>
      <c r="L749" t="n">
        <v>0</v>
      </c>
      <c r="M749" t="n">
        <v>0</v>
      </c>
      <c r="N749" t="n">
        <v>0</v>
      </c>
      <c r="O749" t="n">
        <v>0</v>
      </c>
      <c r="P749" t="n">
        <v>0</v>
      </c>
      <c r="Q749" t="n">
        <v>0</v>
      </c>
      <c r="R749" s="2" t="inlineStr"/>
    </row>
    <row r="750" ht="15" customHeight="1">
      <c r="A750" t="inlineStr">
        <is>
          <t>A 63875-2023</t>
        </is>
      </c>
      <c r="B750" s="1" t="n">
        <v>45278.52131944444</v>
      </c>
      <c r="C750" s="1" t="n">
        <v>46074</v>
      </c>
      <c r="D750" t="inlineStr">
        <is>
          <t>NORRBOTTENS LÄN</t>
        </is>
      </c>
      <c r="E750" t="inlineStr">
        <is>
          <t>PITEÅ</t>
        </is>
      </c>
      <c r="G750" t="n">
        <v>4.8</v>
      </c>
      <c r="H750" t="n">
        <v>0</v>
      </c>
      <c r="I750" t="n">
        <v>0</v>
      </c>
      <c r="J750" t="n">
        <v>0</v>
      </c>
      <c r="K750" t="n">
        <v>0</v>
      </c>
      <c r="L750" t="n">
        <v>0</v>
      </c>
      <c r="M750" t="n">
        <v>0</v>
      </c>
      <c r="N750" t="n">
        <v>0</v>
      </c>
      <c r="O750" t="n">
        <v>0</v>
      </c>
      <c r="P750" t="n">
        <v>0</v>
      </c>
      <c r="Q750" t="n">
        <v>0</v>
      </c>
      <c r="R750" s="2" t="inlineStr"/>
    </row>
    <row r="751" ht="15" customHeight="1">
      <c r="A751" t="inlineStr">
        <is>
          <t>A 60439-2025</t>
        </is>
      </c>
      <c r="B751" s="1" t="n">
        <v>45995.49016203704</v>
      </c>
      <c r="C751" s="1" t="n">
        <v>46074</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60442-2025</t>
        </is>
      </c>
      <c r="B752" s="1" t="n">
        <v>45995.4903587963</v>
      </c>
      <c r="C752" s="1" t="n">
        <v>46074</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60226-2025</t>
        </is>
      </c>
      <c r="B753" s="1" t="n">
        <v>45994.55259259259</v>
      </c>
      <c r="C753" s="1" t="n">
        <v>46074</v>
      </c>
      <c r="D753" t="inlineStr">
        <is>
          <t>NORRBOTTENS LÄN</t>
        </is>
      </c>
      <c r="E753" t="inlineStr">
        <is>
          <t>PITEÅ</t>
        </is>
      </c>
      <c r="G753" t="n">
        <v>0.7</v>
      </c>
      <c r="H753" t="n">
        <v>0</v>
      </c>
      <c r="I753" t="n">
        <v>0</v>
      </c>
      <c r="J753" t="n">
        <v>0</v>
      </c>
      <c r="K753" t="n">
        <v>0</v>
      </c>
      <c r="L753" t="n">
        <v>0</v>
      </c>
      <c r="M753" t="n">
        <v>0</v>
      </c>
      <c r="N753" t="n">
        <v>0</v>
      </c>
      <c r="O753" t="n">
        <v>0</v>
      </c>
      <c r="P753" t="n">
        <v>0</v>
      </c>
      <c r="Q753" t="n">
        <v>0</v>
      </c>
      <c r="R753" s="2" t="inlineStr"/>
    </row>
    <row r="754" ht="15" customHeight="1">
      <c r="A754" t="inlineStr">
        <is>
          <t>A 50747-2024</t>
        </is>
      </c>
      <c r="B754" s="1" t="n">
        <v>45602.42299768519</v>
      </c>
      <c r="C754" s="1" t="n">
        <v>46074</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14778-2025</t>
        </is>
      </c>
      <c r="B755" s="1" t="n">
        <v>45742</v>
      </c>
      <c r="C755" s="1" t="n">
        <v>46074</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14560-2025</t>
        </is>
      </c>
      <c r="B756" s="1" t="n">
        <v>45741</v>
      </c>
      <c r="C756" s="1" t="n">
        <v>46074</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60099-2025</t>
        </is>
      </c>
      <c r="B757" s="1" t="n">
        <v>45993.89900462963</v>
      </c>
      <c r="C757" s="1" t="n">
        <v>46074</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60443-2025</t>
        </is>
      </c>
      <c r="B758" s="1" t="n">
        <v>45995.49040509259</v>
      </c>
      <c r="C758" s="1" t="n">
        <v>46074</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60622-2025</t>
        </is>
      </c>
      <c r="B759" s="1" t="n">
        <v>45996.39519675926</v>
      </c>
      <c r="C759" s="1" t="n">
        <v>46074</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60625-2025</t>
        </is>
      </c>
      <c r="B760" s="1" t="n">
        <v>45996.40296296297</v>
      </c>
      <c r="C760" s="1" t="n">
        <v>46074</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60986-2025</t>
        </is>
      </c>
      <c r="B761" s="1" t="n">
        <v>45999</v>
      </c>
      <c r="C761" s="1" t="n">
        <v>46074</v>
      </c>
      <c r="D761" t="inlineStr">
        <is>
          <t>NORRBOTTENS LÄN</t>
        </is>
      </c>
      <c r="E761" t="inlineStr">
        <is>
          <t>PITEÅ</t>
        </is>
      </c>
      <c r="G761" t="n">
        <v>4.7</v>
      </c>
      <c r="H761" t="n">
        <v>0</v>
      </c>
      <c r="I761" t="n">
        <v>0</v>
      </c>
      <c r="J761" t="n">
        <v>0</v>
      </c>
      <c r="K761" t="n">
        <v>0</v>
      </c>
      <c r="L761" t="n">
        <v>0</v>
      </c>
      <c r="M761" t="n">
        <v>0</v>
      </c>
      <c r="N761" t="n">
        <v>0</v>
      </c>
      <c r="O761" t="n">
        <v>0</v>
      </c>
      <c r="P761" t="n">
        <v>0</v>
      </c>
      <c r="Q761" t="n">
        <v>0</v>
      </c>
      <c r="R761" s="2" t="inlineStr"/>
    </row>
    <row r="762" ht="15" customHeight="1">
      <c r="A762" t="inlineStr">
        <is>
          <t>A 54775-2024</t>
        </is>
      </c>
      <c r="B762" s="1" t="n">
        <v>45618.47974537037</v>
      </c>
      <c r="C762" s="1" t="n">
        <v>46074</v>
      </c>
      <c r="D762" t="inlineStr">
        <is>
          <t>NORRBOTTENS LÄN</t>
        </is>
      </c>
      <c r="E762" t="inlineStr">
        <is>
          <t>PITEÅ</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15532-2025</t>
        </is>
      </c>
      <c r="B763" s="1" t="n">
        <v>45747.63590277778</v>
      </c>
      <c r="C763" s="1" t="n">
        <v>46074</v>
      </c>
      <c r="D763" t="inlineStr">
        <is>
          <t>NORRBOTTENS LÄN</t>
        </is>
      </c>
      <c r="E763" t="inlineStr">
        <is>
          <t>PITEÅ</t>
        </is>
      </c>
      <c r="G763" t="n">
        <v>7.9</v>
      </c>
      <c r="H763" t="n">
        <v>0</v>
      </c>
      <c r="I763" t="n">
        <v>0</v>
      </c>
      <c r="J763" t="n">
        <v>0</v>
      </c>
      <c r="K763" t="n">
        <v>0</v>
      </c>
      <c r="L763" t="n">
        <v>0</v>
      </c>
      <c r="M763" t="n">
        <v>0</v>
      </c>
      <c r="N763" t="n">
        <v>0</v>
      </c>
      <c r="O763" t="n">
        <v>0</v>
      </c>
      <c r="P763" t="n">
        <v>0</v>
      </c>
      <c r="Q763" t="n">
        <v>0</v>
      </c>
      <c r="R763" s="2" t="inlineStr"/>
    </row>
    <row r="764" ht="15" customHeight="1">
      <c r="A764" t="inlineStr">
        <is>
          <t>A 2782-2026</t>
        </is>
      </c>
      <c r="B764" s="1" t="n">
        <v>46038</v>
      </c>
      <c r="C764" s="1" t="n">
        <v>46074</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60807-2025</t>
        </is>
      </c>
      <c r="B765" s="1" t="n">
        <v>45999.43782407408</v>
      </c>
      <c r="C765" s="1" t="n">
        <v>46074</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37951-2021</t>
        </is>
      </c>
      <c r="B766" s="1" t="n">
        <v>44403.92158564815</v>
      </c>
      <c r="C766" s="1" t="n">
        <v>46074</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1568-2026</t>
        </is>
      </c>
      <c r="B767" s="1" t="n">
        <v>46034.40601851852</v>
      </c>
      <c r="C767" s="1" t="n">
        <v>46074</v>
      </c>
      <c r="D767" t="inlineStr">
        <is>
          <t>NORRBOTTENS LÄN</t>
        </is>
      </c>
      <c r="E767" t="inlineStr">
        <is>
          <t>PITEÅ</t>
        </is>
      </c>
      <c r="G767" t="n">
        <v>26.4</v>
      </c>
      <c r="H767" t="n">
        <v>0</v>
      </c>
      <c r="I767" t="n">
        <v>0</v>
      </c>
      <c r="J767" t="n">
        <v>0</v>
      </c>
      <c r="K767" t="n">
        <v>0</v>
      </c>
      <c r="L767" t="n">
        <v>0</v>
      </c>
      <c r="M767" t="n">
        <v>0</v>
      </c>
      <c r="N767" t="n">
        <v>0</v>
      </c>
      <c r="O767" t="n">
        <v>0</v>
      </c>
      <c r="P767" t="n">
        <v>0</v>
      </c>
      <c r="Q767" t="n">
        <v>0</v>
      </c>
      <c r="R767" s="2" t="inlineStr"/>
    </row>
    <row r="768" ht="15" customHeight="1">
      <c r="A768" t="inlineStr">
        <is>
          <t>A 60618-2024</t>
        </is>
      </c>
      <c r="B768" s="1" t="n">
        <v>45644.38747685185</v>
      </c>
      <c r="C768" s="1" t="n">
        <v>46074</v>
      </c>
      <c r="D768" t="inlineStr">
        <is>
          <t>NORRBOTTENS LÄN</t>
        </is>
      </c>
      <c r="E768" t="inlineStr">
        <is>
          <t>PITEÅ</t>
        </is>
      </c>
      <c r="G768" t="n">
        <v>1.8</v>
      </c>
      <c r="H768" t="n">
        <v>0</v>
      </c>
      <c r="I768" t="n">
        <v>0</v>
      </c>
      <c r="J768" t="n">
        <v>0</v>
      </c>
      <c r="K768" t="n">
        <v>0</v>
      </c>
      <c r="L768" t="n">
        <v>0</v>
      </c>
      <c r="M768" t="n">
        <v>0</v>
      </c>
      <c r="N768" t="n">
        <v>0</v>
      </c>
      <c r="O768" t="n">
        <v>0</v>
      </c>
      <c r="P768" t="n">
        <v>0</v>
      </c>
      <c r="Q768" t="n">
        <v>0</v>
      </c>
      <c r="R768" s="2" t="inlineStr"/>
    </row>
    <row r="769" ht="15" customHeight="1">
      <c r="A769" t="inlineStr">
        <is>
          <t>A 2778-2025</t>
        </is>
      </c>
      <c r="B769" s="1" t="n">
        <v>45677.53295138889</v>
      </c>
      <c r="C769" s="1" t="n">
        <v>46074</v>
      </c>
      <c r="D769" t="inlineStr">
        <is>
          <t>NORRBOTTENS LÄN</t>
        </is>
      </c>
      <c r="E769" t="inlineStr">
        <is>
          <t>PITEÅ</t>
        </is>
      </c>
      <c r="G769" t="n">
        <v>6.6</v>
      </c>
      <c r="H769" t="n">
        <v>0</v>
      </c>
      <c r="I769" t="n">
        <v>0</v>
      </c>
      <c r="J769" t="n">
        <v>0</v>
      </c>
      <c r="K769" t="n">
        <v>0</v>
      </c>
      <c r="L769" t="n">
        <v>0</v>
      </c>
      <c r="M769" t="n">
        <v>0</v>
      </c>
      <c r="N769" t="n">
        <v>0</v>
      </c>
      <c r="O769" t="n">
        <v>0</v>
      </c>
      <c r="P769" t="n">
        <v>0</v>
      </c>
      <c r="Q769" t="n">
        <v>0</v>
      </c>
      <c r="R769" s="2" t="inlineStr"/>
    </row>
    <row r="770" ht="15" customHeight="1">
      <c r="A770" t="inlineStr">
        <is>
          <t>A 2783-2026</t>
        </is>
      </c>
      <c r="B770" s="1" t="n">
        <v>46038</v>
      </c>
      <c r="C770" s="1" t="n">
        <v>46074</v>
      </c>
      <c r="D770" t="inlineStr">
        <is>
          <t>NORRBOTTENS LÄN</t>
        </is>
      </c>
      <c r="E770" t="inlineStr">
        <is>
          <t>PITEÅ</t>
        </is>
      </c>
      <c r="G770" t="n">
        <v>0.5</v>
      </c>
      <c r="H770" t="n">
        <v>0</v>
      </c>
      <c r="I770" t="n">
        <v>0</v>
      </c>
      <c r="J770" t="n">
        <v>0</v>
      </c>
      <c r="K770" t="n">
        <v>0</v>
      </c>
      <c r="L770" t="n">
        <v>0</v>
      </c>
      <c r="M770" t="n">
        <v>0</v>
      </c>
      <c r="N770" t="n">
        <v>0</v>
      </c>
      <c r="O770" t="n">
        <v>0</v>
      </c>
      <c r="P770" t="n">
        <v>0</v>
      </c>
      <c r="Q770" t="n">
        <v>0</v>
      </c>
      <c r="R770" s="2" t="inlineStr"/>
    </row>
    <row r="771" ht="15" customHeight="1">
      <c r="A771" t="inlineStr">
        <is>
          <t>A 40661-2024</t>
        </is>
      </c>
      <c r="B771" s="1" t="n">
        <v>45558.34508101852</v>
      </c>
      <c r="C771" s="1" t="n">
        <v>46074</v>
      </c>
      <c r="D771" t="inlineStr">
        <is>
          <t>NORRBOTTENS LÄN</t>
        </is>
      </c>
      <c r="E771" t="inlineStr">
        <is>
          <t>PITEÅ</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3491-2026</t>
        </is>
      </c>
      <c r="B772" s="1" t="n">
        <v>46042.57099537037</v>
      </c>
      <c r="C772" s="1" t="n">
        <v>46074</v>
      </c>
      <c r="D772" t="inlineStr">
        <is>
          <t>NORRBOTTENS LÄN</t>
        </is>
      </c>
      <c r="E772" t="inlineStr">
        <is>
          <t>PITEÅ</t>
        </is>
      </c>
      <c r="G772" t="n">
        <v>0.6</v>
      </c>
      <c r="H772" t="n">
        <v>0</v>
      </c>
      <c r="I772" t="n">
        <v>0</v>
      </c>
      <c r="J772" t="n">
        <v>0</v>
      </c>
      <c r="K772" t="n">
        <v>0</v>
      </c>
      <c r="L772" t="n">
        <v>0</v>
      </c>
      <c r="M772" t="n">
        <v>0</v>
      </c>
      <c r="N772" t="n">
        <v>0</v>
      </c>
      <c r="O772" t="n">
        <v>0</v>
      </c>
      <c r="P772" t="n">
        <v>0</v>
      </c>
      <c r="Q772" t="n">
        <v>0</v>
      </c>
      <c r="R772" s="2" t="inlineStr"/>
    </row>
    <row r="773" ht="15" customHeight="1">
      <c r="A773" t="inlineStr">
        <is>
          <t>A 5636-2023</t>
        </is>
      </c>
      <c r="B773" s="1" t="n">
        <v>44960.59099537037</v>
      </c>
      <c r="C773" s="1" t="n">
        <v>46074</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3498-2026</t>
        </is>
      </c>
      <c r="B774" s="1" t="n">
        <v>46042.57371527778</v>
      </c>
      <c r="C774" s="1" t="n">
        <v>46074</v>
      </c>
      <c r="D774" t="inlineStr">
        <is>
          <t>NORRBOTTENS LÄN</t>
        </is>
      </c>
      <c r="E774" t="inlineStr">
        <is>
          <t>PITEÅ</t>
        </is>
      </c>
      <c r="G774" t="n">
        <v>2.3</v>
      </c>
      <c r="H774" t="n">
        <v>0</v>
      </c>
      <c r="I774" t="n">
        <v>0</v>
      </c>
      <c r="J774" t="n">
        <v>0</v>
      </c>
      <c r="K774" t="n">
        <v>0</v>
      </c>
      <c r="L774" t="n">
        <v>0</v>
      </c>
      <c r="M774" t="n">
        <v>0</v>
      </c>
      <c r="N774" t="n">
        <v>0</v>
      </c>
      <c r="O774" t="n">
        <v>0</v>
      </c>
      <c r="P774" t="n">
        <v>0</v>
      </c>
      <c r="Q774" t="n">
        <v>0</v>
      </c>
      <c r="R774" s="2" t="inlineStr"/>
    </row>
    <row r="775" ht="15" customHeight="1">
      <c r="A775" t="inlineStr">
        <is>
          <t>A 3497-2026</t>
        </is>
      </c>
      <c r="B775" s="1" t="n">
        <v>46042.57369212963</v>
      </c>
      <c r="C775" s="1" t="n">
        <v>46074</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3817-2026</t>
        </is>
      </c>
      <c r="B776" s="1" t="n">
        <v>46043.58481481481</v>
      </c>
      <c r="C776" s="1" t="n">
        <v>46074</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54941-2024</t>
        </is>
      </c>
      <c r="B777" s="1" t="n">
        <v>45618.9441087963</v>
      </c>
      <c r="C777" s="1" t="n">
        <v>46074</v>
      </c>
      <c r="D777" t="inlineStr">
        <is>
          <t>NORRBOTTENS LÄN</t>
        </is>
      </c>
      <c r="E777" t="inlineStr">
        <is>
          <t>PITEÅ</t>
        </is>
      </c>
      <c r="G777" t="n">
        <v>2.2</v>
      </c>
      <c r="H777" t="n">
        <v>0</v>
      </c>
      <c r="I777" t="n">
        <v>0</v>
      </c>
      <c r="J777" t="n">
        <v>0</v>
      </c>
      <c r="K777" t="n">
        <v>0</v>
      </c>
      <c r="L777" t="n">
        <v>0</v>
      </c>
      <c r="M777" t="n">
        <v>0</v>
      </c>
      <c r="N777" t="n">
        <v>0</v>
      </c>
      <c r="O777" t="n">
        <v>0</v>
      </c>
      <c r="P777" t="n">
        <v>0</v>
      </c>
      <c r="Q777" t="n">
        <v>0</v>
      </c>
      <c r="R777" s="2" t="inlineStr"/>
    </row>
    <row r="778" ht="15" customHeight="1">
      <c r="A778" t="inlineStr">
        <is>
          <t>A 15906-2025</t>
        </is>
      </c>
      <c r="B778" s="1" t="n">
        <v>45749</v>
      </c>
      <c r="C778" s="1" t="n">
        <v>46074</v>
      </c>
      <c r="D778" t="inlineStr">
        <is>
          <t>NORRBOTTENS LÄN</t>
        </is>
      </c>
      <c r="E778" t="inlineStr">
        <is>
          <t>PITEÅ</t>
        </is>
      </c>
      <c r="G778" t="n">
        <v>11.1</v>
      </c>
      <c r="H778" t="n">
        <v>0</v>
      </c>
      <c r="I778" t="n">
        <v>0</v>
      </c>
      <c r="J778" t="n">
        <v>0</v>
      </c>
      <c r="K778" t="n">
        <v>0</v>
      </c>
      <c r="L778" t="n">
        <v>0</v>
      </c>
      <c r="M778" t="n">
        <v>0</v>
      </c>
      <c r="N778" t="n">
        <v>0</v>
      </c>
      <c r="O778" t="n">
        <v>0</v>
      </c>
      <c r="P778" t="n">
        <v>0</v>
      </c>
      <c r="Q778" t="n">
        <v>0</v>
      </c>
      <c r="R778" s="2" t="inlineStr"/>
    </row>
    <row r="779" ht="15" customHeight="1">
      <c r="A779" t="inlineStr">
        <is>
          <t>A 52403-2025</t>
        </is>
      </c>
      <c r="B779" s="1" t="n">
        <v>45952</v>
      </c>
      <c r="C779" s="1" t="n">
        <v>46074</v>
      </c>
      <c r="D779" t="inlineStr">
        <is>
          <t>NORRBOTTENS LÄN</t>
        </is>
      </c>
      <c r="E779" t="inlineStr">
        <is>
          <t>PITEÅ</t>
        </is>
      </c>
      <c r="G779" t="n">
        <v>1.1</v>
      </c>
      <c r="H779" t="n">
        <v>0</v>
      </c>
      <c r="I779" t="n">
        <v>0</v>
      </c>
      <c r="J779" t="n">
        <v>0</v>
      </c>
      <c r="K779" t="n">
        <v>0</v>
      </c>
      <c r="L779" t="n">
        <v>0</v>
      </c>
      <c r="M779" t="n">
        <v>0</v>
      </c>
      <c r="N779" t="n">
        <v>0</v>
      </c>
      <c r="O779" t="n">
        <v>0</v>
      </c>
      <c r="P779" t="n">
        <v>0</v>
      </c>
      <c r="Q779" t="n">
        <v>0</v>
      </c>
      <c r="R779" s="2" t="inlineStr"/>
    </row>
    <row r="780" ht="15" customHeight="1">
      <c r="A780" t="inlineStr">
        <is>
          <t>A 3486-2026</t>
        </is>
      </c>
      <c r="B780" s="1" t="n">
        <v>46042.56331018519</v>
      </c>
      <c r="C780" s="1" t="n">
        <v>46074</v>
      </c>
      <c r="D780" t="inlineStr">
        <is>
          <t>NORRBOTTENS LÄN</t>
        </is>
      </c>
      <c r="E780" t="inlineStr">
        <is>
          <t>PITEÅ</t>
        </is>
      </c>
      <c r="G780" t="n">
        <v>10</v>
      </c>
      <c r="H780" t="n">
        <v>0</v>
      </c>
      <c r="I780" t="n">
        <v>0</v>
      </c>
      <c r="J780" t="n">
        <v>0</v>
      </c>
      <c r="K780" t="n">
        <v>0</v>
      </c>
      <c r="L780" t="n">
        <v>0</v>
      </c>
      <c r="M780" t="n">
        <v>0</v>
      </c>
      <c r="N780" t="n">
        <v>0</v>
      </c>
      <c r="O780" t="n">
        <v>0</v>
      </c>
      <c r="P780" t="n">
        <v>0</v>
      </c>
      <c r="Q780" t="n">
        <v>0</v>
      </c>
      <c r="R780" s="2" t="inlineStr"/>
    </row>
    <row r="781" ht="15" customHeight="1">
      <c r="A781" t="inlineStr">
        <is>
          <t>A 3488-2026</t>
        </is>
      </c>
      <c r="B781" s="1" t="n">
        <v>46042.56798611111</v>
      </c>
      <c r="C781" s="1" t="n">
        <v>46074</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11949-2025</t>
        </is>
      </c>
      <c r="B782" s="1" t="n">
        <v>45728.55405092592</v>
      </c>
      <c r="C782" s="1" t="n">
        <v>46074</v>
      </c>
      <c r="D782" t="inlineStr">
        <is>
          <t>NORRBOTTENS LÄN</t>
        </is>
      </c>
      <c r="E782" t="inlineStr">
        <is>
          <t>PITEÅ</t>
        </is>
      </c>
      <c r="F782" t="inlineStr">
        <is>
          <t>Kommuner</t>
        </is>
      </c>
      <c r="G782" t="n">
        <v>5.7</v>
      </c>
      <c r="H782" t="n">
        <v>0</v>
      </c>
      <c r="I782" t="n">
        <v>0</v>
      </c>
      <c r="J782" t="n">
        <v>0</v>
      </c>
      <c r="K782" t="n">
        <v>0</v>
      </c>
      <c r="L782" t="n">
        <v>0</v>
      </c>
      <c r="M782" t="n">
        <v>0</v>
      </c>
      <c r="N782" t="n">
        <v>0</v>
      </c>
      <c r="O782" t="n">
        <v>0</v>
      </c>
      <c r="P782" t="n">
        <v>0</v>
      </c>
      <c r="Q782" t="n">
        <v>0</v>
      </c>
      <c r="R782" s="2" t="inlineStr"/>
    </row>
    <row r="783" ht="15" customHeight="1">
      <c r="A783" t="inlineStr">
        <is>
          <t>A 510-2025</t>
        </is>
      </c>
      <c r="B783" s="1" t="n">
        <v>45664.47244212963</v>
      </c>
      <c r="C783" s="1" t="n">
        <v>46074</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3537-2026</t>
        </is>
      </c>
      <c r="B784" s="1" t="n">
        <v>46042.62847222222</v>
      </c>
      <c r="C784" s="1" t="n">
        <v>46074</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61141-2025</t>
        </is>
      </c>
      <c r="B785" s="1" t="n">
        <v>46000</v>
      </c>
      <c r="C785" s="1" t="n">
        <v>46074</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3847-2026</t>
        </is>
      </c>
      <c r="B786" s="1" t="n">
        <v>46043.60310185186</v>
      </c>
      <c r="C786" s="1" t="n">
        <v>46074</v>
      </c>
      <c r="D786" t="inlineStr">
        <is>
          <t>NORRBOTTENS LÄN</t>
        </is>
      </c>
      <c r="E786" t="inlineStr">
        <is>
          <t>PITEÅ</t>
        </is>
      </c>
      <c r="G786" t="n">
        <v>3.9</v>
      </c>
      <c r="H786" t="n">
        <v>0</v>
      </c>
      <c r="I786" t="n">
        <v>0</v>
      </c>
      <c r="J786" t="n">
        <v>0</v>
      </c>
      <c r="K786" t="n">
        <v>0</v>
      </c>
      <c r="L786" t="n">
        <v>0</v>
      </c>
      <c r="M786" t="n">
        <v>0</v>
      </c>
      <c r="N786" t="n">
        <v>0</v>
      </c>
      <c r="O786" t="n">
        <v>0</v>
      </c>
      <c r="P786" t="n">
        <v>0</v>
      </c>
      <c r="Q786" t="n">
        <v>0</v>
      </c>
      <c r="R786" s="2" t="inlineStr"/>
    </row>
    <row r="787" ht="15" customHeight="1">
      <c r="A787" t="inlineStr">
        <is>
          <t>A 3560-2026</t>
        </is>
      </c>
      <c r="B787" s="1" t="n">
        <v>46042.67135416667</v>
      </c>
      <c r="C787" s="1" t="n">
        <v>46074</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61597-2025</t>
        </is>
      </c>
      <c r="B788" s="1" t="n">
        <v>46002</v>
      </c>
      <c r="C788" s="1" t="n">
        <v>46074</v>
      </c>
      <c r="D788" t="inlineStr">
        <is>
          <t>NORRBOTTENS LÄN</t>
        </is>
      </c>
      <c r="E788" t="inlineStr">
        <is>
          <t>PITEÅ</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4692-2025</t>
        </is>
      </c>
      <c r="B789" s="1" t="n">
        <v>45688.35248842592</v>
      </c>
      <c r="C789" s="1" t="n">
        <v>46074</v>
      </c>
      <c r="D789" t="inlineStr">
        <is>
          <t>NORRBOTTENS LÄN</t>
        </is>
      </c>
      <c r="E789" t="inlineStr">
        <is>
          <t>PITEÅ</t>
        </is>
      </c>
      <c r="F789" t="inlineStr">
        <is>
          <t>Övriga Aktiebolag</t>
        </is>
      </c>
      <c r="G789" t="n">
        <v>11.9</v>
      </c>
      <c r="H789" t="n">
        <v>0</v>
      </c>
      <c r="I789" t="n">
        <v>0</v>
      </c>
      <c r="J789" t="n">
        <v>0</v>
      </c>
      <c r="K789" t="n">
        <v>0</v>
      </c>
      <c r="L789" t="n">
        <v>0</v>
      </c>
      <c r="M789" t="n">
        <v>0</v>
      </c>
      <c r="N789" t="n">
        <v>0</v>
      </c>
      <c r="O789" t="n">
        <v>0</v>
      </c>
      <c r="P789" t="n">
        <v>0</v>
      </c>
      <c r="Q789" t="n">
        <v>0</v>
      </c>
      <c r="R789" s="2" t="inlineStr"/>
    </row>
    <row r="790" ht="15" customHeight="1">
      <c r="A790" t="inlineStr">
        <is>
          <t>A 20080-2024</t>
        </is>
      </c>
      <c r="B790" s="1" t="n">
        <v>45434</v>
      </c>
      <c r="C790" s="1" t="n">
        <v>46074</v>
      </c>
      <c r="D790" t="inlineStr">
        <is>
          <t>NORRBOTTENS LÄN</t>
        </is>
      </c>
      <c r="E790" t="inlineStr">
        <is>
          <t>PITEÅ</t>
        </is>
      </c>
      <c r="G790" t="n">
        <v>7.7</v>
      </c>
      <c r="H790" t="n">
        <v>0</v>
      </c>
      <c r="I790" t="n">
        <v>0</v>
      </c>
      <c r="J790" t="n">
        <v>0</v>
      </c>
      <c r="K790" t="n">
        <v>0</v>
      </c>
      <c r="L790" t="n">
        <v>0</v>
      </c>
      <c r="M790" t="n">
        <v>0</v>
      </c>
      <c r="N790" t="n">
        <v>0</v>
      </c>
      <c r="O790" t="n">
        <v>0</v>
      </c>
      <c r="P790" t="n">
        <v>0</v>
      </c>
      <c r="Q790" t="n">
        <v>0</v>
      </c>
      <c r="R790" s="2" t="inlineStr"/>
    </row>
    <row r="791" ht="15" customHeight="1">
      <c r="A791" t="inlineStr">
        <is>
          <t>A 61941-2025</t>
        </is>
      </c>
      <c r="B791" s="1" t="n">
        <v>46003</v>
      </c>
      <c r="C791" s="1" t="n">
        <v>46074</v>
      </c>
      <c r="D791" t="inlineStr">
        <is>
          <t>NORRBOTTENS LÄN</t>
        </is>
      </c>
      <c r="E791" t="inlineStr">
        <is>
          <t>PITEÅ</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4079-2026</t>
        </is>
      </c>
      <c r="B792" s="1" t="n">
        <v>46044.53945601852</v>
      </c>
      <c r="C792" s="1" t="n">
        <v>46074</v>
      </c>
      <c r="D792" t="inlineStr">
        <is>
          <t>NORRBOTTENS LÄN</t>
        </is>
      </c>
      <c r="E792" t="inlineStr">
        <is>
          <t>PITEÅ</t>
        </is>
      </c>
      <c r="G792" t="n">
        <v>4.3</v>
      </c>
      <c r="H792" t="n">
        <v>0</v>
      </c>
      <c r="I792" t="n">
        <v>0</v>
      </c>
      <c r="J792" t="n">
        <v>0</v>
      </c>
      <c r="K792" t="n">
        <v>0</v>
      </c>
      <c r="L792" t="n">
        <v>0</v>
      </c>
      <c r="M792" t="n">
        <v>0</v>
      </c>
      <c r="N792" t="n">
        <v>0</v>
      </c>
      <c r="O792" t="n">
        <v>0</v>
      </c>
      <c r="P792" t="n">
        <v>0</v>
      </c>
      <c r="Q792" t="n">
        <v>0</v>
      </c>
      <c r="R792" s="2" t="inlineStr"/>
    </row>
    <row r="793" ht="15" customHeight="1">
      <c r="A793" t="inlineStr">
        <is>
          <t>A 4314-2026</t>
        </is>
      </c>
      <c r="B793" s="1" t="n">
        <v>46045.44854166666</v>
      </c>
      <c r="C793" s="1" t="n">
        <v>46074</v>
      </c>
      <c r="D793" t="inlineStr">
        <is>
          <t>NORRBOTTENS LÄN</t>
        </is>
      </c>
      <c r="E793" t="inlineStr">
        <is>
          <t>PITEÅ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4352-2026</t>
        </is>
      </c>
      <c r="B794" s="1" t="n">
        <v>46045.53174768519</v>
      </c>
      <c r="C794" s="1" t="n">
        <v>46074</v>
      </c>
      <c r="D794" t="inlineStr">
        <is>
          <t>NORRBOTTENS LÄN</t>
        </is>
      </c>
      <c r="E794" t="inlineStr">
        <is>
          <t>PITEÅ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4082-2026</t>
        </is>
      </c>
      <c r="B795" s="1" t="n">
        <v>46044.54421296297</v>
      </c>
      <c r="C795" s="1" t="n">
        <v>46074</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46074</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47446-2023</t>
        </is>
      </c>
      <c r="B797" s="1" t="n">
        <v>45202.69947916667</v>
      </c>
      <c r="C797" s="1" t="n">
        <v>46074</v>
      </c>
      <c r="D797" t="inlineStr">
        <is>
          <t>NORRBOTTENS LÄN</t>
        </is>
      </c>
      <c r="E797" t="inlineStr">
        <is>
          <t>PITEÅ</t>
        </is>
      </c>
      <c r="F797" t="inlineStr">
        <is>
          <t>Övriga Aktiebolag</t>
        </is>
      </c>
      <c r="G797" t="n">
        <v>0.7</v>
      </c>
      <c r="H797" t="n">
        <v>0</v>
      </c>
      <c r="I797" t="n">
        <v>0</v>
      </c>
      <c r="J797" t="n">
        <v>0</v>
      </c>
      <c r="K797" t="n">
        <v>0</v>
      </c>
      <c r="L797" t="n">
        <v>0</v>
      </c>
      <c r="M797" t="n">
        <v>0</v>
      </c>
      <c r="N797" t="n">
        <v>0</v>
      </c>
      <c r="O797" t="n">
        <v>0</v>
      </c>
      <c r="P797" t="n">
        <v>0</v>
      </c>
      <c r="Q797" t="n">
        <v>0</v>
      </c>
      <c r="R797" s="2" t="inlineStr"/>
    </row>
    <row r="798" ht="15" customHeight="1">
      <c r="A798" t="inlineStr">
        <is>
          <t>A 20201-2025</t>
        </is>
      </c>
      <c r="B798" s="1" t="n">
        <v>45772.61418981481</v>
      </c>
      <c r="C798" s="1" t="n">
        <v>46074</v>
      </c>
      <c r="D798" t="inlineStr">
        <is>
          <t>NORRBOTTENS LÄN</t>
        </is>
      </c>
      <c r="E798" t="inlineStr">
        <is>
          <t>PITEÅ</t>
        </is>
      </c>
      <c r="G798" t="n">
        <v>3.9</v>
      </c>
      <c r="H798" t="n">
        <v>0</v>
      </c>
      <c r="I798" t="n">
        <v>0</v>
      </c>
      <c r="J798" t="n">
        <v>0</v>
      </c>
      <c r="K798" t="n">
        <v>0</v>
      </c>
      <c r="L798" t="n">
        <v>0</v>
      </c>
      <c r="M798" t="n">
        <v>0</v>
      </c>
      <c r="N798" t="n">
        <v>0</v>
      </c>
      <c r="O798" t="n">
        <v>0</v>
      </c>
      <c r="P798" t="n">
        <v>0</v>
      </c>
      <c r="Q798" t="n">
        <v>0</v>
      </c>
      <c r="R798" s="2" t="inlineStr"/>
    </row>
    <row r="799" ht="15" customHeight="1">
      <c r="A799" t="inlineStr">
        <is>
          <t>A 61708-2025</t>
        </is>
      </c>
      <c r="B799" s="1" t="n">
        <v>46002.55417824074</v>
      </c>
      <c r="C799" s="1" t="n">
        <v>46074</v>
      </c>
      <c r="D799" t="inlineStr">
        <is>
          <t>NORRBOTTENS LÄN</t>
        </is>
      </c>
      <c r="E799" t="inlineStr">
        <is>
          <t>PITEÅ</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40601-2024</t>
        </is>
      </c>
      <c r="B800" s="1" t="n">
        <v>45556.40655092592</v>
      </c>
      <c r="C800" s="1" t="n">
        <v>46074</v>
      </c>
      <c r="D800" t="inlineStr">
        <is>
          <t>NORRBOTTENS LÄN</t>
        </is>
      </c>
      <c r="E800" t="inlineStr">
        <is>
          <t>PITEÅ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5112-2026</t>
        </is>
      </c>
      <c r="B801" s="1" t="n">
        <v>46049.57388888889</v>
      </c>
      <c r="C801" s="1" t="n">
        <v>46074</v>
      </c>
      <c r="D801" t="inlineStr">
        <is>
          <t>NORRBOTTENS LÄN</t>
        </is>
      </c>
      <c r="E801" t="inlineStr">
        <is>
          <t>PITEÅ</t>
        </is>
      </c>
      <c r="G801" t="n">
        <v>1.1</v>
      </c>
      <c r="H801" t="n">
        <v>0</v>
      </c>
      <c r="I801" t="n">
        <v>0</v>
      </c>
      <c r="J801" t="n">
        <v>0</v>
      </c>
      <c r="K801" t="n">
        <v>0</v>
      </c>
      <c r="L801" t="n">
        <v>0</v>
      </c>
      <c r="M801" t="n">
        <v>0</v>
      </c>
      <c r="N801" t="n">
        <v>0</v>
      </c>
      <c r="O801" t="n">
        <v>0</v>
      </c>
      <c r="P801" t="n">
        <v>0</v>
      </c>
      <c r="Q801" t="n">
        <v>0</v>
      </c>
      <c r="R801" s="2" t="inlineStr"/>
    </row>
    <row r="802" ht="15" customHeight="1">
      <c r="A802" t="inlineStr">
        <is>
          <t>A 3187-2026</t>
        </is>
      </c>
      <c r="B802" s="1" t="n">
        <v>46041</v>
      </c>
      <c r="C802" s="1" t="n">
        <v>46074</v>
      </c>
      <c r="D802" t="inlineStr">
        <is>
          <t>NORRBOTTENS LÄN</t>
        </is>
      </c>
      <c r="E802" t="inlineStr">
        <is>
          <t>PITEÅ</t>
        </is>
      </c>
      <c r="G802" t="n">
        <v>2.5</v>
      </c>
      <c r="H802" t="n">
        <v>0</v>
      </c>
      <c r="I802" t="n">
        <v>0</v>
      </c>
      <c r="J802" t="n">
        <v>0</v>
      </c>
      <c r="K802" t="n">
        <v>0</v>
      </c>
      <c r="L802" t="n">
        <v>0</v>
      </c>
      <c r="M802" t="n">
        <v>0</v>
      </c>
      <c r="N802" t="n">
        <v>0</v>
      </c>
      <c r="O802" t="n">
        <v>0</v>
      </c>
      <c r="P802" t="n">
        <v>0</v>
      </c>
      <c r="Q802" t="n">
        <v>0</v>
      </c>
      <c r="R802" s="2" t="inlineStr"/>
    </row>
    <row r="803" ht="15" customHeight="1">
      <c r="A803" t="inlineStr">
        <is>
          <t>A 62291-2025</t>
        </is>
      </c>
      <c r="B803" s="1" t="n">
        <v>46006</v>
      </c>
      <c r="C803" s="1" t="n">
        <v>46074</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4860-2026</t>
        </is>
      </c>
      <c r="B804" s="1" t="n">
        <v>46048.63616898148</v>
      </c>
      <c r="C804" s="1" t="n">
        <v>46074</v>
      </c>
      <c r="D804" t="inlineStr">
        <is>
          <t>NORRBOTTENS LÄN</t>
        </is>
      </c>
      <c r="E804" t="inlineStr">
        <is>
          <t>PITEÅ</t>
        </is>
      </c>
      <c r="G804" t="n">
        <v>3.5</v>
      </c>
      <c r="H804" t="n">
        <v>0</v>
      </c>
      <c r="I804" t="n">
        <v>0</v>
      </c>
      <c r="J804" t="n">
        <v>0</v>
      </c>
      <c r="K804" t="n">
        <v>0</v>
      </c>
      <c r="L804" t="n">
        <v>0</v>
      </c>
      <c r="M804" t="n">
        <v>0</v>
      </c>
      <c r="N804" t="n">
        <v>0</v>
      </c>
      <c r="O804" t="n">
        <v>0</v>
      </c>
      <c r="P804" t="n">
        <v>0</v>
      </c>
      <c r="Q804" t="n">
        <v>0</v>
      </c>
      <c r="R804" s="2" t="inlineStr"/>
    </row>
    <row r="805" ht="15" customHeight="1">
      <c r="A805" t="inlineStr">
        <is>
          <t>A 4863-2026</t>
        </is>
      </c>
      <c r="B805" s="1" t="n">
        <v>46048.64174768519</v>
      </c>
      <c r="C805" s="1" t="n">
        <v>46074</v>
      </c>
      <c r="D805" t="inlineStr">
        <is>
          <t>NORRBOTTENS LÄN</t>
        </is>
      </c>
      <c r="E805" t="inlineStr">
        <is>
          <t>PITEÅ</t>
        </is>
      </c>
      <c r="G805" t="n">
        <v>4.4</v>
      </c>
      <c r="H805" t="n">
        <v>0</v>
      </c>
      <c r="I805" t="n">
        <v>0</v>
      </c>
      <c r="J805" t="n">
        <v>0</v>
      </c>
      <c r="K805" t="n">
        <v>0</v>
      </c>
      <c r="L805" t="n">
        <v>0</v>
      </c>
      <c r="M805" t="n">
        <v>0</v>
      </c>
      <c r="N805" t="n">
        <v>0</v>
      </c>
      <c r="O805" t="n">
        <v>0</v>
      </c>
      <c r="P805" t="n">
        <v>0</v>
      </c>
      <c r="Q805" t="n">
        <v>0</v>
      </c>
      <c r="R805" s="2" t="inlineStr"/>
    </row>
    <row r="806" ht="15" customHeight="1">
      <c r="A806" t="inlineStr">
        <is>
          <t>A 62199-2025</t>
        </is>
      </c>
      <c r="B806" s="1" t="n">
        <v>46006.55324074074</v>
      </c>
      <c r="C806" s="1" t="n">
        <v>46074</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62237-2025</t>
        </is>
      </c>
      <c r="B807" s="1" t="n">
        <v>46006.59469907408</v>
      </c>
      <c r="C807" s="1" t="n">
        <v>46074</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62284-2025</t>
        </is>
      </c>
      <c r="B808" s="1" t="n">
        <v>46006.63680555556</v>
      </c>
      <c r="C808" s="1" t="n">
        <v>46074</v>
      </c>
      <c r="D808" t="inlineStr">
        <is>
          <t>NORRBOTTENS LÄN</t>
        </is>
      </c>
      <c r="E808" t="inlineStr">
        <is>
          <t>PITEÅ</t>
        </is>
      </c>
      <c r="G808" t="n">
        <v>3.4</v>
      </c>
      <c r="H808" t="n">
        <v>0</v>
      </c>
      <c r="I808" t="n">
        <v>0</v>
      </c>
      <c r="J808" t="n">
        <v>0</v>
      </c>
      <c r="K808" t="n">
        <v>0</v>
      </c>
      <c r="L808" t="n">
        <v>0</v>
      </c>
      <c r="M808" t="n">
        <v>0</v>
      </c>
      <c r="N808" t="n">
        <v>0</v>
      </c>
      <c r="O808" t="n">
        <v>0</v>
      </c>
      <c r="P808" t="n">
        <v>0</v>
      </c>
      <c r="Q808" t="n">
        <v>0</v>
      </c>
      <c r="R808" s="2" t="inlineStr"/>
    </row>
    <row r="809" ht="15" customHeight="1">
      <c r="A809" t="inlineStr">
        <is>
          <t>A 62287-2025</t>
        </is>
      </c>
      <c r="B809" s="1" t="n">
        <v>46006</v>
      </c>
      <c r="C809" s="1" t="n">
        <v>46074</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62288-2025</t>
        </is>
      </c>
      <c r="B810" s="1" t="n">
        <v>46006</v>
      </c>
      <c r="C810" s="1" t="n">
        <v>46074</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4845-2026</t>
        </is>
      </c>
      <c r="B811" s="1" t="n">
        <v>46048.61850694445</v>
      </c>
      <c r="C811" s="1" t="n">
        <v>46074</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46074</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46074</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4806-2026</t>
        </is>
      </c>
      <c r="B814" s="1" t="n">
        <v>46048.57982638889</v>
      </c>
      <c r="C814" s="1" t="n">
        <v>46074</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4854-2026</t>
        </is>
      </c>
      <c r="B815" s="1" t="n">
        <v>46048.63378472222</v>
      </c>
      <c r="C815" s="1" t="n">
        <v>46074</v>
      </c>
      <c r="D815" t="inlineStr">
        <is>
          <t>NORRBOTTENS LÄN</t>
        </is>
      </c>
      <c r="E815" t="inlineStr">
        <is>
          <t>PITEÅ</t>
        </is>
      </c>
      <c r="G815" t="n">
        <v>4.4</v>
      </c>
      <c r="H815" t="n">
        <v>0</v>
      </c>
      <c r="I815" t="n">
        <v>0</v>
      </c>
      <c r="J815" t="n">
        <v>0</v>
      </c>
      <c r="K815" t="n">
        <v>0</v>
      </c>
      <c r="L815" t="n">
        <v>0</v>
      </c>
      <c r="M815" t="n">
        <v>0</v>
      </c>
      <c r="N815" t="n">
        <v>0</v>
      </c>
      <c r="O815" t="n">
        <v>0</v>
      </c>
      <c r="P815" t="n">
        <v>0</v>
      </c>
      <c r="Q815" t="n">
        <v>0</v>
      </c>
      <c r="R815" s="2" t="inlineStr"/>
    </row>
    <row r="816" ht="15" customHeight="1">
      <c r="A816" t="inlineStr">
        <is>
          <t>A 62300-2025</t>
        </is>
      </c>
      <c r="B816" s="1" t="n">
        <v>46006.65425925926</v>
      </c>
      <c r="C816" s="1" t="n">
        <v>46074</v>
      </c>
      <c r="D816" t="inlineStr">
        <is>
          <t>NORRBOTTENS LÄN</t>
        </is>
      </c>
      <c r="E816" t="inlineStr">
        <is>
          <t>PITEÅ</t>
        </is>
      </c>
      <c r="G816" t="n">
        <v>9</v>
      </c>
      <c r="H816" t="n">
        <v>0</v>
      </c>
      <c r="I816" t="n">
        <v>0</v>
      </c>
      <c r="J816" t="n">
        <v>0</v>
      </c>
      <c r="K816" t="n">
        <v>0</v>
      </c>
      <c r="L816" t="n">
        <v>0</v>
      </c>
      <c r="M816" t="n">
        <v>0</v>
      </c>
      <c r="N816" t="n">
        <v>0</v>
      </c>
      <c r="O816" t="n">
        <v>0</v>
      </c>
      <c r="P816" t="n">
        <v>0</v>
      </c>
      <c r="Q816" t="n">
        <v>0</v>
      </c>
      <c r="R816" s="2" t="inlineStr"/>
    </row>
    <row r="817" ht="15" customHeight="1">
      <c r="A817" t="inlineStr">
        <is>
          <t>A 62214-2025</t>
        </is>
      </c>
      <c r="B817" s="1" t="n">
        <v>46006</v>
      </c>
      <c r="C817" s="1" t="n">
        <v>46074</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62198-2025</t>
        </is>
      </c>
      <c r="B818" s="1" t="n">
        <v>46006</v>
      </c>
      <c r="C818" s="1" t="n">
        <v>46074</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61376-2023</t>
        </is>
      </c>
      <c r="B819" s="1" t="n">
        <v>45264</v>
      </c>
      <c r="C819" s="1" t="n">
        <v>46074</v>
      </c>
      <c r="D819" t="inlineStr">
        <is>
          <t>NORRBOTTENS LÄN</t>
        </is>
      </c>
      <c r="E819" t="inlineStr">
        <is>
          <t>PITEÅ</t>
        </is>
      </c>
      <c r="G819" t="n">
        <v>1.6</v>
      </c>
      <c r="H819" t="n">
        <v>0</v>
      </c>
      <c r="I819" t="n">
        <v>0</v>
      </c>
      <c r="J819" t="n">
        <v>0</v>
      </c>
      <c r="K819" t="n">
        <v>0</v>
      </c>
      <c r="L819" t="n">
        <v>0</v>
      </c>
      <c r="M819" t="n">
        <v>0</v>
      </c>
      <c r="N819" t="n">
        <v>0</v>
      </c>
      <c r="O819" t="n">
        <v>0</v>
      </c>
      <c r="P819" t="n">
        <v>0</v>
      </c>
      <c r="Q819" t="n">
        <v>0</v>
      </c>
      <c r="R819" s="2" t="inlineStr"/>
    </row>
    <row r="820" ht="15" customHeight="1">
      <c r="A820" t="inlineStr">
        <is>
          <t>A 69078-2021</t>
        </is>
      </c>
      <c r="B820" s="1" t="n">
        <v>44529</v>
      </c>
      <c r="C820" s="1" t="n">
        <v>46074</v>
      </c>
      <c r="D820" t="inlineStr">
        <is>
          <t>NORRBOTTENS LÄN</t>
        </is>
      </c>
      <c r="E820" t="inlineStr">
        <is>
          <t>PITEÅ</t>
        </is>
      </c>
      <c r="G820" t="n">
        <v>0.9</v>
      </c>
      <c r="H820" t="n">
        <v>0</v>
      </c>
      <c r="I820" t="n">
        <v>0</v>
      </c>
      <c r="J820" t="n">
        <v>0</v>
      </c>
      <c r="K820" t="n">
        <v>0</v>
      </c>
      <c r="L820" t="n">
        <v>0</v>
      </c>
      <c r="M820" t="n">
        <v>0</v>
      </c>
      <c r="N820" t="n">
        <v>0</v>
      </c>
      <c r="O820" t="n">
        <v>0</v>
      </c>
      <c r="P820" t="n">
        <v>0</v>
      </c>
      <c r="Q820" t="n">
        <v>0</v>
      </c>
      <c r="R820" s="2" t="inlineStr"/>
    </row>
    <row r="821" ht="15" customHeight="1">
      <c r="A821" t="inlineStr">
        <is>
          <t>A 51569-2023</t>
        </is>
      </c>
      <c r="B821" s="1" t="n">
        <v>45215</v>
      </c>
      <c r="C821" s="1" t="n">
        <v>46074</v>
      </c>
      <c r="D821" t="inlineStr">
        <is>
          <t>NORRBOTTENS LÄN</t>
        </is>
      </c>
      <c r="E821" t="inlineStr">
        <is>
          <t>PITEÅ</t>
        </is>
      </c>
      <c r="G821" t="n">
        <v>3.1</v>
      </c>
      <c r="H821" t="n">
        <v>0</v>
      </c>
      <c r="I821" t="n">
        <v>0</v>
      </c>
      <c r="J821" t="n">
        <v>0</v>
      </c>
      <c r="K821" t="n">
        <v>0</v>
      </c>
      <c r="L821" t="n">
        <v>0</v>
      </c>
      <c r="M821" t="n">
        <v>0</v>
      </c>
      <c r="N821" t="n">
        <v>0</v>
      </c>
      <c r="O821" t="n">
        <v>0</v>
      </c>
      <c r="P821" t="n">
        <v>0</v>
      </c>
      <c r="Q821" t="n">
        <v>0</v>
      </c>
      <c r="R821" s="2" t="inlineStr"/>
    </row>
    <row r="822" ht="15" customHeight="1">
      <c r="A822" t="inlineStr">
        <is>
          <t>A 7769-2025</t>
        </is>
      </c>
      <c r="B822" s="1" t="n">
        <v>45706.56214120371</v>
      </c>
      <c r="C822" s="1" t="n">
        <v>46074</v>
      </c>
      <c r="D822" t="inlineStr">
        <is>
          <t>NORRBOTTENS LÄN</t>
        </is>
      </c>
      <c r="E822" t="inlineStr">
        <is>
          <t>PITEÅ</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18904-2024</t>
        </is>
      </c>
      <c r="B823" s="1" t="n">
        <v>45427.36417824074</v>
      </c>
      <c r="C823" s="1" t="n">
        <v>46074</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14556-2025</t>
        </is>
      </c>
      <c r="B824" s="1" t="n">
        <v>45741.74234953704</v>
      </c>
      <c r="C824" s="1" t="n">
        <v>46074</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46074</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47323-2025</t>
        </is>
      </c>
      <c r="B826" s="1" t="n">
        <v>45930.55295138889</v>
      </c>
      <c r="C826" s="1" t="n">
        <v>46074</v>
      </c>
      <c r="D826" t="inlineStr">
        <is>
          <t>NORRBOTTENS LÄN</t>
        </is>
      </c>
      <c r="E826" t="inlineStr">
        <is>
          <t>PITEÅ</t>
        </is>
      </c>
      <c r="G826" t="n">
        <v>4.6</v>
      </c>
      <c r="H826" t="n">
        <v>0</v>
      </c>
      <c r="I826" t="n">
        <v>0</v>
      </c>
      <c r="J826" t="n">
        <v>0</v>
      </c>
      <c r="K826" t="n">
        <v>0</v>
      </c>
      <c r="L826" t="n">
        <v>0</v>
      </c>
      <c r="M826" t="n">
        <v>0</v>
      </c>
      <c r="N826" t="n">
        <v>0</v>
      </c>
      <c r="O826" t="n">
        <v>0</v>
      </c>
      <c r="P826" t="n">
        <v>0</v>
      </c>
      <c r="Q826" t="n">
        <v>0</v>
      </c>
      <c r="R826" s="2" t="inlineStr"/>
    </row>
    <row r="827" ht="15" customHeight="1">
      <c r="A827" t="inlineStr">
        <is>
          <t>A 472-2023</t>
        </is>
      </c>
      <c r="B827" s="1" t="n">
        <v>44929.92539351852</v>
      </c>
      <c r="C827" s="1" t="n">
        <v>46074</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473-2023</t>
        </is>
      </c>
      <c r="B828" s="1" t="n">
        <v>44929.92534722222</v>
      </c>
      <c r="C828" s="1" t="n">
        <v>46074</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36515-2024</t>
        </is>
      </c>
      <c r="B829" s="1" t="n">
        <v>45537</v>
      </c>
      <c r="C829" s="1" t="n">
        <v>46074</v>
      </c>
      <c r="D829" t="inlineStr">
        <is>
          <t>NORRBOTTENS LÄN</t>
        </is>
      </c>
      <c r="E829" t="inlineStr">
        <is>
          <t>PITEÅ</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60739-2024</t>
        </is>
      </c>
      <c r="B830" s="1" t="n">
        <v>45644.54944444444</v>
      </c>
      <c r="C830" s="1" t="n">
        <v>46074</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5633-2026</t>
        </is>
      </c>
      <c r="B831" s="1" t="n">
        <v>46051.40046296296</v>
      </c>
      <c r="C831" s="1" t="n">
        <v>46074</v>
      </c>
      <c r="D831" t="inlineStr">
        <is>
          <t>NORRBOTTENS LÄN</t>
        </is>
      </c>
      <c r="E831" t="inlineStr">
        <is>
          <t>PITEÅ</t>
        </is>
      </c>
      <c r="G831" t="n">
        <v>6.9</v>
      </c>
      <c r="H831" t="n">
        <v>0</v>
      </c>
      <c r="I831" t="n">
        <v>0</v>
      </c>
      <c r="J831" t="n">
        <v>0</v>
      </c>
      <c r="K831" t="n">
        <v>0</v>
      </c>
      <c r="L831" t="n">
        <v>0</v>
      </c>
      <c r="M831" t="n">
        <v>0</v>
      </c>
      <c r="N831" t="n">
        <v>0</v>
      </c>
      <c r="O831" t="n">
        <v>0</v>
      </c>
      <c r="P831" t="n">
        <v>0</v>
      </c>
      <c r="Q831" t="n">
        <v>0</v>
      </c>
      <c r="R831" s="2" t="inlineStr"/>
    </row>
    <row r="832" ht="15" customHeight="1">
      <c r="A832" t="inlineStr">
        <is>
          <t>A 15513-2021</t>
        </is>
      </c>
      <c r="B832" s="1" t="n">
        <v>44285</v>
      </c>
      <c r="C832" s="1" t="n">
        <v>46074</v>
      </c>
      <c r="D832" t="inlineStr">
        <is>
          <t>NORRBOTTENS LÄN</t>
        </is>
      </c>
      <c r="E832" t="inlineStr">
        <is>
          <t>PITEÅ</t>
        </is>
      </c>
      <c r="F832" t="inlineStr">
        <is>
          <t>Sveaskog</t>
        </is>
      </c>
      <c r="G832" t="n">
        <v>40.1</v>
      </c>
      <c r="H832" t="n">
        <v>0</v>
      </c>
      <c r="I832" t="n">
        <v>0</v>
      </c>
      <c r="J832" t="n">
        <v>0</v>
      </c>
      <c r="K832" t="n">
        <v>0</v>
      </c>
      <c r="L832" t="n">
        <v>0</v>
      </c>
      <c r="M832" t="n">
        <v>0</v>
      </c>
      <c r="N832" t="n">
        <v>0</v>
      </c>
      <c r="O832" t="n">
        <v>0</v>
      </c>
      <c r="P832" t="n">
        <v>0</v>
      </c>
      <c r="Q832" t="n">
        <v>0</v>
      </c>
      <c r="R832" s="2" t="inlineStr"/>
    </row>
    <row r="833" ht="15" customHeight="1">
      <c r="A833" t="inlineStr">
        <is>
          <t>A 5748-2026</t>
        </is>
      </c>
      <c r="B833" s="1" t="n">
        <v>46051.5984375</v>
      </c>
      <c r="C833" s="1" t="n">
        <v>46074</v>
      </c>
      <c r="D833" t="inlineStr">
        <is>
          <t>NORRBOTTENS LÄN</t>
        </is>
      </c>
      <c r="E833" t="inlineStr">
        <is>
          <t>PITEÅ</t>
        </is>
      </c>
      <c r="G833" t="n">
        <v>1.6</v>
      </c>
      <c r="H833" t="n">
        <v>0</v>
      </c>
      <c r="I833" t="n">
        <v>0</v>
      </c>
      <c r="J833" t="n">
        <v>0</v>
      </c>
      <c r="K833" t="n">
        <v>0</v>
      </c>
      <c r="L833" t="n">
        <v>0</v>
      </c>
      <c r="M833" t="n">
        <v>0</v>
      </c>
      <c r="N833" t="n">
        <v>0</v>
      </c>
      <c r="O833" t="n">
        <v>0</v>
      </c>
      <c r="P833" t="n">
        <v>0</v>
      </c>
      <c r="Q833" t="n">
        <v>0</v>
      </c>
      <c r="R833" s="2" t="inlineStr"/>
    </row>
    <row r="834" ht="15" customHeight="1">
      <c r="A834" t="inlineStr">
        <is>
          <t>A 46931-2024</t>
        </is>
      </c>
      <c r="B834" s="1" t="n">
        <v>45584.99240740741</v>
      </c>
      <c r="C834" s="1" t="n">
        <v>46074</v>
      </c>
      <c r="D834" t="inlineStr">
        <is>
          <t>NORRBOTTENS LÄN</t>
        </is>
      </c>
      <c r="E834" t="inlineStr">
        <is>
          <t>PITEÅ</t>
        </is>
      </c>
      <c r="G834" t="n">
        <v>1</v>
      </c>
      <c r="H834" t="n">
        <v>0</v>
      </c>
      <c r="I834" t="n">
        <v>0</v>
      </c>
      <c r="J834" t="n">
        <v>0</v>
      </c>
      <c r="K834" t="n">
        <v>0</v>
      </c>
      <c r="L834" t="n">
        <v>0</v>
      </c>
      <c r="M834" t="n">
        <v>0</v>
      </c>
      <c r="N834" t="n">
        <v>0</v>
      </c>
      <c r="O834" t="n">
        <v>0</v>
      </c>
      <c r="P834" t="n">
        <v>0</v>
      </c>
      <c r="Q834" t="n">
        <v>0</v>
      </c>
      <c r="R834" s="2" t="inlineStr"/>
    </row>
    <row r="835" ht="15" customHeight="1">
      <c r="A835" t="inlineStr">
        <is>
          <t>A 46932-2024</t>
        </is>
      </c>
      <c r="B835" s="1" t="n">
        <v>45585.00625</v>
      </c>
      <c r="C835" s="1" t="n">
        <v>46074</v>
      </c>
      <c r="D835" t="inlineStr">
        <is>
          <t>NORRBOTTENS LÄN</t>
        </is>
      </c>
      <c r="E835" t="inlineStr">
        <is>
          <t>PITEÅ</t>
        </is>
      </c>
      <c r="G835" t="n">
        <v>7.5</v>
      </c>
      <c r="H835" t="n">
        <v>0</v>
      </c>
      <c r="I835" t="n">
        <v>0</v>
      </c>
      <c r="J835" t="n">
        <v>0</v>
      </c>
      <c r="K835" t="n">
        <v>0</v>
      </c>
      <c r="L835" t="n">
        <v>0</v>
      </c>
      <c r="M835" t="n">
        <v>0</v>
      </c>
      <c r="N835" t="n">
        <v>0</v>
      </c>
      <c r="O835" t="n">
        <v>0</v>
      </c>
      <c r="P835" t="n">
        <v>0</v>
      </c>
      <c r="Q835" t="n">
        <v>0</v>
      </c>
      <c r="R835" s="2" t="inlineStr"/>
    </row>
    <row r="836" ht="15" customHeight="1">
      <c r="A836" t="inlineStr">
        <is>
          <t>A 47017-2024</t>
        </is>
      </c>
      <c r="B836" s="1" t="n">
        <v>45586.39534722222</v>
      </c>
      <c r="C836" s="1" t="n">
        <v>46074</v>
      </c>
      <c r="D836" t="inlineStr">
        <is>
          <t>NORRBOTTENS LÄN</t>
        </is>
      </c>
      <c r="E836" t="inlineStr">
        <is>
          <t>PITEÅ</t>
        </is>
      </c>
      <c r="G836" t="n">
        <v>4.1</v>
      </c>
      <c r="H836" t="n">
        <v>0</v>
      </c>
      <c r="I836" t="n">
        <v>0</v>
      </c>
      <c r="J836" t="n">
        <v>0</v>
      </c>
      <c r="K836" t="n">
        <v>0</v>
      </c>
      <c r="L836" t="n">
        <v>0</v>
      </c>
      <c r="M836" t="n">
        <v>0</v>
      </c>
      <c r="N836" t="n">
        <v>0</v>
      </c>
      <c r="O836" t="n">
        <v>0</v>
      </c>
      <c r="P836" t="n">
        <v>0</v>
      </c>
      <c r="Q836" t="n">
        <v>0</v>
      </c>
      <c r="R836" s="2" t="inlineStr"/>
    </row>
    <row r="837" ht="15" customHeight="1">
      <c r="A837" t="inlineStr">
        <is>
          <t>A 62680-2025</t>
        </is>
      </c>
      <c r="B837" s="1" t="n">
        <v>46008.45466435186</v>
      </c>
      <c r="C837" s="1" t="n">
        <v>46074</v>
      </c>
      <c r="D837" t="inlineStr">
        <is>
          <t>NORRBOTTENS LÄN</t>
        </is>
      </c>
      <c r="E837" t="inlineStr">
        <is>
          <t>PITEÅ</t>
        </is>
      </c>
      <c r="G837" t="n">
        <v>1</v>
      </c>
      <c r="H837" t="n">
        <v>0</v>
      </c>
      <c r="I837" t="n">
        <v>0</v>
      </c>
      <c r="J837" t="n">
        <v>0</v>
      </c>
      <c r="K837" t="n">
        <v>0</v>
      </c>
      <c r="L837" t="n">
        <v>0</v>
      </c>
      <c r="M837" t="n">
        <v>0</v>
      </c>
      <c r="N837" t="n">
        <v>0</v>
      </c>
      <c r="O837" t="n">
        <v>0</v>
      </c>
      <c r="P837" t="n">
        <v>0</v>
      </c>
      <c r="Q837" t="n">
        <v>0</v>
      </c>
      <c r="R837" s="2" t="inlineStr"/>
    </row>
    <row r="838" ht="15" customHeight="1">
      <c r="A838" t="inlineStr">
        <is>
          <t>A 5453-2026</t>
        </is>
      </c>
      <c r="B838" s="1" t="n">
        <v>46050.58539351852</v>
      </c>
      <c r="C838" s="1" t="n">
        <v>46074</v>
      </c>
      <c r="D838" t="inlineStr">
        <is>
          <t>NORRBOTTENS LÄN</t>
        </is>
      </c>
      <c r="E838" t="inlineStr">
        <is>
          <t>PITEÅ</t>
        </is>
      </c>
      <c r="G838" t="n">
        <v>4.4</v>
      </c>
      <c r="H838" t="n">
        <v>0</v>
      </c>
      <c r="I838" t="n">
        <v>0</v>
      </c>
      <c r="J838" t="n">
        <v>0</v>
      </c>
      <c r="K838" t="n">
        <v>0</v>
      </c>
      <c r="L838" t="n">
        <v>0</v>
      </c>
      <c r="M838" t="n">
        <v>0</v>
      </c>
      <c r="N838" t="n">
        <v>0</v>
      </c>
      <c r="O838" t="n">
        <v>0</v>
      </c>
      <c r="P838" t="n">
        <v>0</v>
      </c>
      <c r="Q838" t="n">
        <v>0</v>
      </c>
      <c r="R838" s="2" t="inlineStr"/>
    </row>
    <row r="839" ht="15" customHeight="1">
      <c r="A839" t="inlineStr">
        <is>
          <t>A 60840-2023</t>
        </is>
      </c>
      <c r="B839" s="1" t="n">
        <v>45260</v>
      </c>
      <c r="C839" s="1" t="n">
        <v>46074</v>
      </c>
      <c r="D839" t="inlineStr">
        <is>
          <t>NORRBOTTENS LÄN</t>
        </is>
      </c>
      <c r="E839" t="inlineStr">
        <is>
          <t>PITEÅ</t>
        </is>
      </c>
      <c r="G839" t="n">
        <v>2.7</v>
      </c>
      <c r="H839" t="n">
        <v>0</v>
      </c>
      <c r="I839" t="n">
        <v>0</v>
      </c>
      <c r="J839" t="n">
        <v>0</v>
      </c>
      <c r="K839" t="n">
        <v>0</v>
      </c>
      <c r="L839" t="n">
        <v>0</v>
      </c>
      <c r="M839" t="n">
        <v>0</v>
      </c>
      <c r="N839" t="n">
        <v>0</v>
      </c>
      <c r="O839" t="n">
        <v>0</v>
      </c>
      <c r="P839" t="n">
        <v>0</v>
      </c>
      <c r="Q839" t="n">
        <v>0</v>
      </c>
      <c r="R839" s="2" t="inlineStr"/>
    </row>
    <row r="840" ht="15" customHeight="1">
      <c r="A840" t="inlineStr">
        <is>
          <t>A 62719-2025</t>
        </is>
      </c>
      <c r="B840" s="1" t="n">
        <v>46008</v>
      </c>
      <c r="C840" s="1" t="n">
        <v>46074</v>
      </c>
      <c r="D840" t="inlineStr">
        <is>
          <t>NORRBOTTENS LÄN</t>
        </is>
      </c>
      <c r="E840" t="inlineStr">
        <is>
          <t>PITEÅ</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62727-2025</t>
        </is>
      </c>
      <c r="B841" s="1" t="n">
        <v>46008.55251157407</v>
      </c>
      <c r="C841" s="1" t="n">
        <v>46074</v>
      </c>
      <c r="D841" t="inlineStr">
        <is>
          <t>NORRBOTTENS LÄN</t>
        </is>
      </c>
      <c r="E841" t="inlineStr">
        <is>
          <t>PITEÅ</t>
        </is>
      </c>
      <c r="G841" t="n">
        <v>2.2</v>
      </c>
      <c r="H841" t="n">
        <v>0</v>
      </c>
      <c r="I841" t="n">
        <v>0</v>
      </c>
      <c r="J841" t="n">
        <v>0</v>
      </c>
      <c r="K841" t="n">
        <v>0</v>
      </c>
      <c r="L841" t="n">
        <v>0</v>
      </c>
      <c r="M841" t="n">
        <v>0</v>
      </c>
      <c r="N841" t="n">
        <v>0</v>
      </c>
      <c r="O841" t="n">
        <v>0</v>
      </c>
      <c r="P841" t="n">
        <v>0</v>
      </c>
      <c r="Q841" t="n">
        <v>0</v>
      </c>
      <c r="R841" s="2" t="inlineStr"/>
    </row>
    <row r="842" ht="15" customHeight="1">
      <c r="A842" t="inlineStr">
        <is>
          <t>A 5630-2026</t>
        </is>
      </c>
      <c r="B842" s="1" t="n">
        <v>46051.39359953703</v>
      </c>
      <c r="C842" s="1" t="n">
        <v>46074</v>
      </c>
      <c r="D842" t="inlineStr">
        <is>
          <t>NORRBOTTENS LÄN</t>
        </is>
      </c>
      <c r="E842" t="inlineStr">
        <is>
          <t>PITEÅ</t>
        </is>
      </c>
      <c r="G842" t="n">
        <v>6.7</v>
      </c>
      <c r="H842" t="n">
        <v>0</v>
      </c>
      <c r="I842" t="n">
        <v>0</v>
      </c>
      <c r="J842" t="n">
        <v>0</v>
      </c>
      <c r="K842" t="n">
        <v>0</v>
      </c>
      <c r="L842" t="n">
        <v>0</v>
      </c>
      <c r="M842" t="n">
        <v>0</v>
      </c>
      <c r="N842" t="n">
        <v>0</v>
      </c>
      <c r="O842" t="n">
        <v>0</v>
      </c>
      <c r="P842" t="n">
        <v>0</v>
      </c>
      <c r="Q842" t="n">
        <v>0</v>
      </c>
      <c r="R842" s="2" t="inlineStr"/>
    </row>
    <row r="843" ht="15" customHeight="1">
      <c r="A843" t="inlineStr">
        <is>
          <t>A 54331-2024</t>
        </is>
      </c>
      <c r="B843" s="1" t="n">
        <v>45617.37787037037</v>
      </c>
      <c r="C843" s="1" t="n">
        <v>46074</v>
      </c>
      <c r="D843" t="inlineStr">
        <is>
          <t>NORRBOTTENS LÄN</t>
        </is>
      </c>
      <c r="E843" t="inlineStr">
        <is>
          <t>PITEÅ</t>
        </is>
      </c>
      <c r="G843" t="n">
        <v>5.9</v>
      </c>
      <c r="H843" t="n">
        <v>0</v>
      </c>
      <c r="I843" t="n">
        <v>0</v>
      </c>
      <c r="J843" t="n">
        <v>0</v>
      </c>
      <c r="K843" t="n">
        <v>0</v>
      </c>
      <c r="L843" t="n">
        <v>0</v>
      </c>
      <c r="M843" t="n">
        <v>0</v>
      </c>
      <c r="N843" t="n">
        <v>0</v>
      </c>
      <c r="O843" t="n">
        <v>0</v>
      </c>
      <c r="P843" t="n">
        <v>0</v>
      </c>
      <c r="Q843" t="n">
        <v>0</v>
      </c>
      <c r="R843" s="2" t="inlineStr"/>
    </row>
    <row r="844" ht="15" customHeight="1">
      <c r="A844" t="inlineStr">
        <is>
          <t>A 34724-2024</t>
        </is>
      </c>
      <c r="B844" s="1" t="n">
        <v>45526.5687962963</v>
      </c>
      <c r="C844" s="1" t="n">
        <v>46074</v>
      </c>
      <c r="D844" t="inlineStr">
        <is>
          <t>NORRBOTTENS LÄN</t>
        </is>
      </c>
      <c r="E844" t="inlineStr">
        <is>
          <t>PITEÅ</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48688-2023</t>
        </is>
      </c>
      <c r="B845" s="1" t="n">
        <v>45202</v>
      </c>
      <c r="C845" s="1" t="n">
        <v>46074</v>
      </c>
      <c r="D845" t="inlineStr">
        <is>
          <t>NORRBOTTENS LÄN</t>
        </is>
      </c>
      <c r="E845" t="inlineStr">
        <is>
          <t>PITEÅ</t>
        </is>
      </c>
      <c r="G845" t="n">
        <v>2.6</v>
      </c>
      <c r="H845" t="n">
        <v>0</v>
      </c>
      <c r="I845" t="n">
        <v>0</v>
      </c>
      <c r="J845" t="n">
        <v>0</v>
      </c>
      <c r="K845" t="n">
        <v>0</v>
      </c>
      <c r="L845" t="n">
        <v>0</v>
      </c>
      <c r="M845" t="n">
        <v>0</v>
      </c>
      <c r="N845" t="n">
        <v>0</v>
      </c>
      <c r="O845" t="n">
        <v>0</v>
      </c>
      <c r="P845" t="n">
        <v>0</v>
      </c>
      <c r="Q845" t="n">
        <v>0</v>
      </c>
      <c r="R845" s="2" t="inlineStr"/>
    </row>
    <row r="846" ht="15" customHeight="1">
      <c r="A846" t="inlineStr">
        <is>
          <t>A 50559-2024</t>
        </is>
      </c>
      <c r="B846" s="1" t="n">
        <v>45601.59634259259</v>
      </c>
      <c r="C846" s="1" t="n">
        <v>46074</v>
      </c>
      <c r="D846" t="inlineStr">
        <is>
          <t>NORRBOTTENS LÄN</t>
        </is>
      </c>
      <c r="E846" t="inlineStr">
        <is>
          <t>PITEÅ</t>
        </is>
      </c>
      <c r="G846" t="n">
        <v>2.4</v>
      </c>
      <c r="H846" t="n">
        <v>0</v>
      </c>
      <c r="I846" t="n">
        <v>0</v>
      </c>
      <c r="J846" t="n">
        <v>0</v>
      </c>
      <c r="K846" t="n">
        <v>0</v>
      </c>
      <c r="L846" t="n">
        <v>0</v>
      </c>
      <c r="M846" t="n">
        <v>0</v>
      </c>
      <c r="N846" t="n">
        <v>0</v>
      </c>
      <c r="O846" t="n">
        <v>0</v>
      </c>
      <c r="P846" t="n">
        <v>0</v>
      </c>
      <c r="Q846" t="n">
        <v>0</v>
      </c>
      <c r="R846" s="2" t="inlineStr"/>
    </row>
    <row r="847" ht="15" customHeight="1">
      <c r="A847" t="inlineStr">
        <is>
          <t>A 46803-2025</t>
        </is>
      </c>
      <c r="B847" s="1" t="n">
        <v>45926</v>
      </c>
      <c r="C847" s="1" t="n">
        <v>46074</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46806-2025</t>
        </is>
      </c>
      <c r="B848" s="1" t="n">
        <v>45926</v>
      </c>
      <c r="C848" s="1" t="n">
        <v>46074</v>
      </c>
      <c r="D848" t="inlineStr">
        <is>
          <t>NORRBOTTENS LÄN</t>
        </is>
      </c>
      <c r="E848" t="inlineStr">
        <is>
          <t>PITEÅ</t>
        </is>
      </c>
      <c r="G848" t="n">
        <v>3</v>
      </c>
      <c r="H848" t="n">
        <v>0</v>
      </c>
      <c r="I848" t="n">
        <v>0</v>
      </c>
      <c r="J848" t="n">
        <v>0</v>
      </c>
      <c r="K848" t="n">
        <v>0</v>
      </c>
      <c r="L848" t="n">
        <v>0</v>
      </c>
      <c r="M848" t="n">
        <v>0</v>
      </c>
      <c r="N848" t="n">
        <v>0</v>
      </c>
      <c r="O848" t="n">
        <v>0</v>
      </c>
      <c r="P848" t="n">
        <v>0</v>
      </c>
      <c r="Q848" t="n">
        <v>0</v>
      </c>
      <c r="R848" s="2" t="inlineStr"/>
    </row>
    <row r="849" ht="15" customHeight="1">
      <c r="A849" t="inlineStr">
        <is>
          <t>A 63167-2025</t>
        </is>
      </c>
      <c r="B849" s="1" t="n">
        <v>46010.39222222222</v>
      </c>
      <c r="C849" s="1" t="n">
        <v>46074</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63566-2025</t>
        </is>
      </c>
      <c r="B850" s="1" t="n">
        <v>46013.63587962963</v>
      </c>
      <c r="C850" s="1" t="n">
        <v>46074</v>
      </c>
      <c r="D850" t="inlineStr">
        <is>
          <t>NORRBOTTENS LÄN</t>
        </is>
      </c>
      <c r="E850" t="inlineStr">
        <is>
          <t>PITEÅ</t>
        </is>
      </c>
      <c r="G850" t="n">
        <v>4.3</v>
      </c>
      <c r="H850" t="n">
        <v>0</v>
      </c>
      <c r="I850" t="n">
        <v>0</v>
      </c>
      <c r="J850" t="n">
        <v>0</v>
      </c>
      <c r="K850" t="n">
        <v>0</v>
      </c>
      <c r="L850" t="n">
        <v>0</v>
      </c>
      <c r="M850" t="n">
        <v>0</v>
      </c>
      <c r="N850" t="n">
        <v>0</v>
      </c>
      <c r="O850" t="n">
        <v>0</v>
      </c>
      <c r="P850" t="n">
        <v>0</v>
      </c>
      <c r="Q850" t="n">
        <v>0</v>
      </c>
      <c r="R850" s="2" t="inlineStr"/>
    </row>
    <row r="851" ht="15" customHeight="1">
      <c r="A851" t="inlineStr">
        <is>
          <t>A 63175-2025</t>
        </is>
      </c>
      <c r="B851" s="1" t="n">
        <v>46010.40876157407</v>
      </c>
      <c r="C851" s="1" t="n">
        <v>46074</v>
      </c>
      <c r="D851" t="inlineStr">
        <is>
          <t>NORRBOTTENS LÄN</t>
        </is>
      </c>
      <c r="E851" t="inlineStr">
        <is>
          <t>PITEÅ</t>
        </is>
      </c>
      <c r="G851" t="n">
        <v>6.5</v>
      </c>
      <c r="H851" t="n">
        <v>0</v>
      </c>
      <c r="I851" t="n">
        <v>0</v>
      </c>
      <c r="J851" t="n">
        <v>0</v>
      </c>
      <c r="K851" t="n">
        <v>0</v>
      </c>
      <c r="L851" t="n">
        <v>0</v>
      </c>
      <c r="M851" t="n">
        <v>0</v>
      </c>
      <c r="N851" t="n">
        <v>0</v>
      </c>
      <c r="O851" t="n">
        <v>0</v>
      </c>
      <c r="P851" t="n">
        <v>0</v>
      </c>
      <c r="Q851" t="n">
        <v>0</v>
      </c>
      <c r="R851" s="2" t="inlineStr"/>
    </row>
    <row r="852" ht="15" customHeight="1">
      <c r="A852" t="inlineStr">
        <is>
          <t>A 6217-2026</t>
        </is>
      </c>
      <c r="B852" s="1" t="n">
        <v>46055.42761574074</v>
      </c>
      <c r="C852" s="1" t="n">
        <v>46074</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4678-2025</t>
        </is>
      </c>
      <c r="B853" s="1" t="n">
        <v>45687.83862268519</v>
      </c>
      <c r="C853" s="1" t="n">
        <v>46074</v>
      </c>
      <c r="D853" t="inlineStr">
        <is>
          <t>NORRBOTTENS LÄN</t>
        </is>
      </c>
      <c r="E853" t="inlineStr">
        <is>
          <t>PITEÅ</t>
        </is>
      </c>
      <c r="G853" t="n">
        <v>3.3</v>
      </c>
      <c r="H853" t="n">
        <v>0</v>
      </c>
      <c r="I853" t="n">
        <v>0</v>
      </c>
      <c r="J853" t="n">
        <v>0</v>
      </c>
      <c r="K853" t="n">
        <v>0</v>
      </c>
      <c r="L853" t="n">
        <v>0</v>
      </c>
      <c r="M853" t="n">
        <v>0</v>
      </c>
      <c r="N853" t="n">
        <v>0</v>
      </c>
      <c r="O853" t="n">
        <v>0</v>
      </c>
      <c r="P853" t="n">
        <v>0</v>
      </c>
      <c r="Q853" t="n">
        <v>0</v>
      </c>
      <c r="R853" s="2" t="inlineStr"/>
    </row>
    <row r="854" ht="15" customHeight="1">
      <c r="A854" t="inlineStr">
        <is>
          <t>A 46808-2025</t>
        </is>
      </c>
      <c r="B854" s="1" t="n">
        <v>45926</v>
      </c>
      <c r="C854" s="1" t="n">
        <v>46074</v>
      </c>
      <c r="D854" t="inlineStr">
        <is>
          <t>NORRBOTTENS LÄN</t>
        </is>
      </c>
      <c r="E854" t="inlineStr">
        <is>
          <t>PITEÅ</t>
        </is>
      </c>
      <c r="G854" t="n">
        <v>4.2</v>
      </c>
      <c r="H854" t="n">
        <v>0</v>
      </c>
      <c r="I854" t="n">
        <v>0</v>
      </c>
      <c r="J854" t="n">
        <v>0</v>
      </c>
      <c r="K854" t="n">
        <v>0</v>
      </c>
      <c r="L854" t="n">
        <v>0</v>
      </c>
      <c r="M854" t="n">
        <v>0</v>
      </c>
      <c r="N854" t="n">
        <v>0</v>
      </c>
      <c r="O854" t="n">
        <v>0</v>
      </c>
      <c r="P854" t="n">
        <v>0</v>
      </c>
      <c r="Q854" t="n">
        <v>0</v>
      </c>
      <c r="R854" s="2" t="inlineStr"/>
    </row>
    <row r="855" ht="15" customHeight="1">
      <c r="A855" t="inlineStr">
        <is>
          <t>A 29678-2024</t>
        </is>
      </c>
      <c r="B855" s="1" t="n">
        <v>45484.94283564815</v>
      </c>
      <c r="C855" s="1" t="n">
        <v>46074</v>
      </c>
      <c r="D855" t="inlineStr">
        <is>
          <t>NORRBOTTENS LÄN</t>
        </is>
      </c>
      <c r="E855" t="inlineStr">
        <is>
          <t>PITEÅ</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6192-2026</t>
        </is>
      </c>
      <c r="B856" s="1" t="n">
        <v>46055.38869212963</v>
      </c>
      <c r="C856" s="1" t="n">
        <v>46074</v>
      </c>
      <c r="D856" t="inlineStr">
        <is>
          <t>NORRBOTTENS LÄN</t>
        </is>
      </c>
      <c r="E856" t="inlineStr">
        <is>
          <t>PITEÅ</t>
        </is>
      </c>
      <c r="G856" t="n">
        <v>14.2</v>
      </c>
      <c r="H856" t="n">
        <v>0</v>
      </c>
      <c r="I856" t="n">
        <v>0</v>
      </c>
      <c r="J856" t="n">
        <v>0</v>
      </c>
      <c r="K856" t="n">
        <v>0</v>
      </c>
      <c r="L856" t="n">
        <v>0</v>
      </c>
      <c r="M856" t="n">
        <v>0</v>
      </c>
      <c r="N856" t="n">
        <v>0</v>
      </c>
      <c r="O856" t="n">
        <v>0</v>
      </c>
      <c r="P856" t="n">
        <v>0</v>
      </c>
      <c r="Q856" t="n">
        <v>0</v>
      </c>
      <c r="R856" s="2" t="inlineStr"/>
    </row>
    <row r="857" ht="15" customHeight="1">
      <c r="A857" t="inlineStr">
        <is>
          <t>A 31488-2023</t>
        </is>
      </c>
      <c r="B857" s="1" t="n">
        <v>45114</v>
      </c>
      <c r="C857" s="1" t="n">
        <v>46074</v>
      </c>
      <c r="D857" t="inlineStr">
        <is>
          <t>NORRBOTTENS LÄN</t>
        </is>
      </c>
      <c r="E857" t="inlineStr">
        <is>
          <t>PITEÅ</t>
        </is>
      </c>
      <c r="G857" t="n">
        <v>5.2</v>
      </c>
      <c r="H857" t="n">
        <v>0</v>
      </c>
      <c r="I857" t="n">
        <v>0</v>
      </c>
      <c r="J857" t="n">
        <v>0</v>
      </c>
      <c r="K857" t="n">
        <v>0</v>
      </c>
      <c r="L857" t="n">
        <v>0</v>
      </c>
      <c r="M857" t="n">
        <v>0</v>
      </c>
      <c r="N857" t="n">
        <v>0</v>
      </c>
      <c r="O857" t="n">
        <v>0</v>
      </c>
      <c r="P857" t="n">
        <v>0</v>
      </c>
      <c r="Q857" t="n">
        <v>0</v>
      </c>
      <c r="R857" s="2" t="inlineStr"/>
    </row>
    <row r="858" ht="15" customHeight="1">
      <c r="A858" t="inlineStr">
        <is>
          <t>A 63567-2025</t>
        </is>
      </c>
      <c r="B858" s="1" t="n">
        <v>46013.63590277778</v>
      </c>
      <c r="C858" s="1" t="n">
        <v>46074</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63424-2025</t>
        </is>
      </c>
      <c r="B859" s="1" t="n">
        <v>46013.34729166667</v>
      </c>
      <c r="C859" s="1" t="n">
        <v>46074</v>
      </c>
      <c r="D859" t="inlineStr">
        <is>
          <t>NORRBOTTENS LÄN</t>
        </is>
      </c>
      <c r="E859" t="inlineStr">
        <is>
          <t>PITEÅ</t>
        </is>
      </c>
      <c r="G859" t="n">
        <v>1.3</v>
      </c>
      <c r="H859" t="n">
        <v>0</v>
      </c>
      <c r="I859" t="n">
        <v>0</v>
      </c>
      <c r="J859" t="n">
        <v>0</v>
      </c>
      <c r="K859" t="n">
        <v>0</v>
      </c>
      <c r="L859" t="n">
        <v>0</v>
      </c>
      <c r="M859" t="n">
        <v>0</v>
      </c>
      <c r="N859" t="n">
        <v>0</v>
      </c>
      <c r="O859" t="n">
        <v>0</v>
      </c>
      <c r="P859" t="n">
        <v>0</v>
      </c>
      <c r="Q859" t="n">
        <v>0</v>
      </c>
      <c r="R859" s="2" t="inlineStr"/>
    </row>
    <row r="860" ht="15" customHeight="1">
      <c r="A860" t="inlineStr">
        <is>
          <t>A 6216-2026</t>
        </is>
      </c>
      <c r="B860" s="1" t="n">
        <v>46055.4275462963</v>
      </c>
      <c r="C860" s="1" t="n">
        <v>46074</v>
      </c>
      <c r="D860" t="inlineStr">
        <is>
          <t>NORRBOTTENS LÄN</t>
        </is>
      </c>
      <c r="E860" t="inlineStr">
        <is>
          <t>PITEÅ</t>
        </is>
      </c>
      <c r="G860" t="n">
        <v>1.6</v>
      </c>
      <c r="H860" t="n">
        <v>0</v>
      </c>
      <c r="I860" t="n">
        <v>0</v>
      </c>
      <c r="J860" t="n">
        <v>0</v>
      </c>
      <c r="K860" t="n">
        <v>0</v>
      </c>
      <c r="L860" t="n">
        <v>0</v>
      </c>
      <c r="M860" t="n">
        <v>0</v>
      </c>
      <c r="N860" t="n">
        <v>0</v>
      </c>
      <c r="O860" t="n">
        <v>0</v>
      </c>
      <c r="P860" t="n">
        <v>0</v>
      </c>
      <c r="Q860" t="n">
        <v>0</v>
      </c>
      <c r="R860" s="2" t="inlineStr"/>
    </row>
    <row r="861" ht="15" customHeight="1">
      <c r="A861" t="inlineStr">
        <is>
          <t>A 14862-2023</t>
        </is>
      </c>
      <c r="B861" s="1" t="n">
        <v>45015</v>
      </c>
      <c r="C861" s="1" t="n">
        <v>46074</v>
      </c>
      <c r="D861" t="inlineStr">
        <is>
          <t>NORRBOTTENS LÄN</t>
        </is>
      </c>
      <c r="E861" t="inlineStr">
        <is>
          <t>PITEÅ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39879-2024</t>
        </is>
      </c>
      <c r="B862" s="1" t="n">
        <v>45553.46583333334</v>
      </c>
      <c r="C862" s="1" t="n">
        <v>46074</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64972-2023</t>
        </is>
      </c>
      <c r="B863" s="1" t="n">
        <v>45285.40947916666</v>
      </c>
      <c r="C863" s="1" t="n">
        <v>46074</v>
      </c>
      <c r="D863" t="inlineStr">
        <is>
          <t>NORRBOTTENS LÄN</t>
        </is>
      </c>
      <c r="E863" t="inlineStr">
        <is>
          <t>PITEÅ</t>
        </is>
      </c>
      <c r="G863" t="n">
        <v>2.2</v>
      </c>
      <c r="H863" t="n">
        <v>0</v>
      </c>
      <c r="I863" t="n">
        <v>0</v>
      </c>
      <c r="J863" t="n">
        <v>0</v>
      </c>
      <c r="K863" t="n">
        <v>0</v>
      </c>
      <c r="L863" t="n">
        <v>0</v>
      </c>
      <c r="M863" t="n">
        <v>0</v>
      </c>
      <c r="N863" t="n">
        <v>0</v>
      </c>
      <c r="O863" t="n">
        <v>0</v>
      </c>
      <c r="P863" t="n">
        <v>0</v>
      </c>
      <c r="Q863" t="n">
        <v>0</v>
      </c>
      <c r="R863" s="2" t="inlineStr"/>
    </row>
    <row r="864" ht="15" customHeight="1">
      <c r="A864" t="inlineStr">
        <is>
          <t>A 56505-2023</t>
        </is>
      </c>
      <c r="B864" s="1" t="n">
        <v>45243.54659722222</v>
      </c>
      <c r="C864" s="1" t="n">
        <v>46074</v>
      </c>
      <c r="D864" t="inlineStr">
        <is>
          <t>NORRBOTTENS LÄN</t>
        </is>
      </c>
      <c r="E864" t="inlineStr">
        <is>
          <t>PITEÅ</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56532-2023</t>
        </is>
      </c>
      <c r="B865" s="1" t="n">
        <v>45243.57018518518</v>
      </c>
      <c r="C865" s="1" t="n">
        <v>46074</v>
      </c>
      <c r="D865" t="inlineStr">
        <is>
          <t>NORRBOTTENS LÄN</t>
        </is>
      </c>
      <c r="E865" t="inlineStr">
        <is>
          <t>PITEÅ</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38230-2021</t>
        </is>
      </c>
      <c r="B866" s="1" t="n">
        <v>44405.61335648148</v>
      </c>
      <c r="C866" s="1" t="n">
        <v>46074</v>
      </c>
      <c r="D866" t="inlineStr">
        <is>
          <t>NORRBOTTENS LÄN</t>
        </is>
      </c>
      <c r="E866" t="inlineStr">
        <is>
          <t>PITEÅ</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39346-2022</t>
        </is>
      </c>
      <c r="B867" s="1" t="n">
        <v>44817.83398148148</v>
      </c>
      <c r="C867" s="1" t="n">
        <v>46074</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39347-2022</t>
        </is>
      </c>
      <c r="B868" s="1" t="n">
        <v>44817.83875</v>
      </c>
      <c r="C868" s="1" t="n">
        <v>46074</v>
      </c>
      <c r="D868" t="inlineStr">
        <is>
          <t>NORRBOTTENS LÄN</t>
        </is>
      </c>
      <c r="E868" t="inlineStr">
        <is>
          <t>PITEÅ</t>
        </is>
      </c>
      <c r="G868" t="n">
        <v>3.1</v>
      </c>
      <c r="H868" t="n">
        <v>0</v>
      </c>
      <c r="I868" t="n">
        <v>0</v>
      </c>
      <c r="J868" t="n">
        <v>0</v>
      </c>
      <c r="K868" t="n">
        <v>0</v>
      </c>
      <c r="L868" t="n">
        <v>0</v>
      </c>
      <c r="M868" t="n">
        <v>0</v>
      </c>
      <c r="N868" t="n">
        <v>0</v>
      </c>
      <c r="O868" t="n">
        <v>0</v>
      </c>
      <c r="P868" t="n">
        <v>0</v>
      </c>
      <c r="Q868" t="n">
        <v>0</v>
      </c>
      <c r="R868" s="2" t="inlineStr"/>
    </row>
    <row r="869" ht="15" customHeight="1">
      <c r="A869" t="inlineStr">
        <is>
          <t>A 6906-2026</t>
        </is>
      </c>
      <c r="B869" s="1" t="n">
        <v>46057.49533564815</v>
      </c>
      <c r="C869" s="1" t="n">
        <v>46074</v>
      </c>
      <c r="D869" t="inlineStr">
        <is>
          <t>NORRBOTTENS LÄN</t>
        </is>
      </c>
      <c r="E869" t="inlineStr">
        <is>
          <t>PITEÅ</t>
        </is>
      </c>
      <c r="G869" t="n">
        <v>11.2</v>
      </c>
      <c r="H869" t="n">
        <v>0</v>
      </c>
      <c r="I869" t="n">
        <v>0</v>
      </c>
      <c r="J869" t="n">
        <v>0</v>
      </c>
      <c r="K869" t="n">
        <v>0</v>
      </c>
      <c r="L869" t="n">
        <v>0</v>
      </c>
      <c r="M869" t="n">
        <v>0</v>
      </c>
      <c r="N869" t="n">
        <v>0</v>
      </c>
      <c r="O869" t="n">
        <v>0</v>
      </c>
      <c r="P869" t="n">
        <v>0</v>
      </c>
      <c r="Q869" t="n">
        <v>0</v>
      </c>
      <c r="R869" s="2" t="inlineStr"/>
    </row>
    <row r="870" ht="15" customHeight="1">
      <c r="A870" t="inlineStr">
        <is>
          <t>A 7006-2026</t>
        </is>
      </c>
      <c r="B870" s="1" t="n">
        <v>46057.63611111111</v>
      </c>
      <c r="C870" s="1" t="n">
        <v>46074</v>
      </c>
      <c r="D870" t="inlineStr">
        <is>
          <t>NORRBOTTENS LÄN</t>
        </is>
      </c>
      <c r="E870" t="inlineStr">
        <is>
          <t>PITEÅ</t>
        </is>
      </c>
      <c r="G870" t="n">
        <v>2.9</v>
      </c>
      <c r="H870" t="n">
        <v>0</v>
      </c>
      <c r="I870" t="n">
        <v>0</v>
      </c>
      <c r="J870" t="n">
        <v>0</v>
      </c>
      <c r="K870" t="n">
        <v>0</v>
      </c>
      <c r="L870" t="n">
        <v>0</v>
      </c>
      <c r="M870" t="n">
        <v>0</v>
      </c>
      <c r="N870" t="n">
        <v>0</v>
      </c>
      <c r="O870" t="n">
        <v>0</v>
      </c>
      <c r="P870" t="n">
        <v>0</v>
      </c>
      <c r="Q870" t="n">
        <v>0</v>
      </c>
      <c r="R870" s="2" t="inlineStr"/>
    </row>
    <row r="871" ht="15" customHeight="1">
      <c r="A871" t="inlineStr">
        <is>
          <t>A 48568-2025</t>
        </is>
      </c>
      <c r="B871" s="1" t="n">
        <v>45936.44825231482</v>
      </c>
      <c r="C871" s="1" t="n">
        <v>46074</v>
      </c>
      <c r="D871" t="inlineStr">
        <is>
          <t>NORRBOTTENS LÄN</t>
        </is>
      </c>
      <c r="E871" t="inlineStr">
        <is>
          <t>PITEÅ</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39510-2025</t>
        </is>
      </c>
      <c r="B872" s="1" t="n">
        <v>45890</v>
      </c>
      <c r="C872" s="1" t="n">
        <v>46074</v>
      </c>
      <c r="D872" t="inlineStr">
        <is>
          <t>NORRBOTTENS LÄN</t>
        </is>
      </c>
      <c r="E872" t="inlineStr">
        <is>
          <t>PITEÅ</t>
        </is>
      </c>
      <c r="G872" t="n">
        <v>19.7</v>
      </c>
      <c r="H872" t="n">
        <v>0</v>
      </c>
      <c r="I872" t="n">
        <v>0</v>
      </c>
      <c r="J872" t="n">
        <v>0</v>
      </c>
      <c r="K872" t="n">
        <v>0</v>
      </c>
      <c r="L872" t="n">
        <v>0</v>
      </c>
      <c r="M872" t="n">
        <v>0</v>
      </c>
      <c r="N872" t="n">
        <v>0</v>
      </c>
      <c r="O872" t="n">
        <v>0</v>
      </c>
      <c r="P872" t="n">
        <v>0</v>
      </c>
      <c r="Q872" t="n">
        <v>0</v>
      </c>
      <c r="R872" s="2" t="inlineStr"/>
    </row>
    <row r="873" ht="15" customHeight="1">
      <c r="A873" t="inlineStr">
        <is>
          <t>A 45480-2025</t>
        </is>
      </c>
      <c r="B873" s="1" t="n">
        <v>45922.53164351852</v>
      </c>
      <c r="C873" s="1" t="n">
        <v>46074</v>
      </c>
      <c r="D873" t="inlineStr">
        <is>
          <t>NORRBOTTENS LÄN</t>
        </is>
      </c>
      <c r="E873" t="inlineStr">
        <is>
          <t>PITEÅ</t>
        </is>
      </c>
      <c r="G873" t="n">
        <v>7.7</v>
      </c>
      <c r="H873" t="n">
        <v>0</v>
      </c>
      <c r="I873" t="n">
        <v>0</v>
      </c>
      <c r="J873" t="n">
        <v>0</v>
      </c>
      <c r="K873" t="n">
        <v>0</v>
      </c>
      <c r="L873" t="n">
        <v>0</v>
      </c>
      <c r="M873" t="n">
        <v>0</v>
      </c>
      <c r="N873" t="n">
        <v>0</v>
      </c>
      <c r="O873" t="n">
        <v>0</v>
      </c>
      <c r="P873" t="n">
        <v>0</v>
      </c>
      <c r="Q873" t="n">
        <v>0</v>
      </c>
      <c r="R873" s="2" t="inlineStr"/>
    </row>
    <row r="874" ht="15" customHeight="1">
      <c r="A874" t="inlineStr">
        <is>
          <t>A 44285-2025</t>
        </is>
      </c>
      <c r="B874" s="1" t="n">
        <v>45916.34553240741</v>
      </c>
      <c r="C874" s="1" t="n">
        <v>46074</v>
      </c>
      <c r="D874" t="inlineStr">
        <is>
          <t>NORRBOTTENS LÄN</t>
        </is>
      </c>
      <c r="E874" t="inlineStr">
        <is>
          <t>PITEÅ</t>
        </is>
      </c>
      <c r="G874" t="n">
        <v>2.1</v>
      </c>
      <c r="H874" t="n">
        <v>0</v>
      </c>
      <c r="I874" t="n">
        <v>0</v>
      </c>
      <c r="J874" t="n">
        <v>0</v>
      </c>
      <c r="K874" t="n">
        <v>0</v>
      </c>
      <c r="L874" t="n">
        <v>0</v>
      </c>
      <c r="M874" t="n">
        <v>0</v>
      </c>
      <c r="N874" t="n">
        <v>0</v>
      </c>
      <c r="O874" t="n">
        <v>0</v>
      </c>
      <c r="P874" t="n">
        <v>0</v>
      </c>
      <c r="Q874" t="n">
        <v>0</v>
      </c>
      <c r="R874" s="2" t="inlineStr"/>
    </row>
    <row r="875" ht="15" customHeight="1">
      <c r="A875" t="inlineStr">
        <is>
          <t>A 49340-2025</t>
        </is>
      </c>
      <c r="B875" s="1" t="n">
        <v>45938.59431712963</v>
      </c>
      <c r="C875" s="1" t="n">
        <v>46074</v>
      </c>
      <c r="D875" t="inlineStr">
        <is>
          <t>NORRBOTTENS LÄN</t>
        </is>
      </c>
      <c r="E875" t="inlineStr">
        <is>
          <t>PITEÅ</t>
        </is>
      </c>
      <c r="G875" t="n">
        <v>1.9</v>
      </c>
      <c r="H875" t="n">
        <v>0</v>
      </c>
      <c r="I875" t="n">
        <v>0</v>
      </c>
      <c r="J875" t="n">
        <v>0</v>
      </c>
      <c r="K875" t="n">
        <v>0</v>
      </c>
      <c r="L875" t="n">
        <v>0</v>
      </c>
      <c r="M875" t="n">
        <v>0</v>
      </c>
      <c r="N875" t="n">
        <v>0</v>
      </c>
      <c r="O875" t="n">
        <v>0</v>
      </c>
      <c r="P875" t="n">
        <v>0</v>
      </c>
      <c r="Q875" t="n">
        <v>0</v>
      </c>
      <c r="R875" s="2" t="inlineStr"/>
    </row>
    <row r="876" ht="15" customHeight="1">
      <c r="A876" t="inlineStr">
        <is>
          <t>A 7105-2026</t>
        </is>
      </c>
      <c r="B876" s="1" t="n">
        <v>46058.3653125</v>
      </c>
      <c r="C876" s="1" t="n">
        <v>46074</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48556-2025</t>
        </is>
      </c>
      <c r="B877" s="1" t="n">
        <v>45936.42798611111</v>
      </c>
      <c r="C877" s="1" t="n">
        <v>46074</v>
      </c>
      <c r="D877" t="inlineStr">
        <is>
          <t>NORRBOTTENS LÄN</t>
        </is>
      </c>
      <c r="E877" t="inlineStr">
        <is>
          <t>PITEÅ</t>
        </is>
      </c>
      <c r="G877" t="n">
        <v>8.1</v>
      </c>
      <c r="H877" t="n">
        <v>0</v>
      </c>
      <c r="I877" t="n">
        <v>0</v>
      </c>
      <c r="J877" t="n">
        <v>0</v>
      </c>
      <c r="K877" t="n">
        <v>0</v>
      </c>
      <c r="L877" t="n">
        <v>0</v>
      </c>
      <c r="M877" t="n">
        <v>0</v>
      </c>
      <c r="N877" t="n">
        <v>0</v>
      </c>
      <c r="O877" t="n">
        <v>0</v>
      </c>
      <c r="P877" t="n">
        <v>0</v>
      </c>
      <c r="Q877" t="n">
        <v>0</v>
      </c>
      <c r="R877" s="2" t="inlineStr"/>
    </row>
    <row r="878" ht="15" customHeight="1">
      <c r="A878" t="inlineStr">
        <is>
          <t>A 48802-2025</t>
        </is>
      </c>
      <c r="B878" s="1" t="n">
        <v>45937.34538194445</v>
      </c>
      <c r="C878" s="1" t="n">
        <v>46074</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51604-2025</t>
        </is>
      </c>
      <c r="B879" s="1" t="n">
        <v>45951.38586805556</v>
      </c>
      <c r="C879" s="1" t="n">
        <v>46074</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51606-2025</t>
        </is>
      </c>
      <c r="B880" s="1" t="n">
        <v>45951.38597222222</v>
      </c>
      <c r="C880" s="1" t="n">
        <v>46074</v>
      </c>
      <c r="D880" t="inlineStr">
        <is>
          <t>NORRBOTTENS LÄN</t>
        </is>
      </c>
      <c r="E880" t="inlineStr">
        <is>
          <t>PITEÅ</t>
        </is>
      </c>
      <c r="G880" t="n">
        <v>1.7</v>
      </c>
      <c r="H880" t="n">
        <v>0</v>
      </c>
      <c r="I880" t="n">
        <v>0</v>
      </c>
      <c r="J880" t="n">
        <v>0</v>
      </c>
      <c r="K880" t="n">
        <v>0</v>
      </c>
      <c r="L880" t="n">
        <v>0</v>
      </c>
      <c r="M880" t="n">
        <v>0</v>
      </c>
      <c r="N880" t="n">
        <v>0</v>
      </c>
      <c r="O880" t="n">
        <v>0</v>
      </c>
      <c r="P880" t="n">
        <v>0</v>
      </c>
      <c r="Q880" t="n">
        <v>0</v>
      </c>
      <c r="R880" s="2" t="inlineStr"/>
    </row>
    <row r="881" ht="15" customHeight="1">
      <c r="A881" t="inlineStr">
        <is>
          <t>A 51607-2025</t>
        </is>
      </c>
      <c r="B881" s="1" t="n">
        <v>45951.3860300926</v>
      </c>
      <c r="C881" s="1" t="n">
        <v>46074</v>
      </c>
      <c r="D881" t="inlineStr">
        <is>
          <t>NORRBOTTENS LÄN</t>
        </is>
      </c>
      <c r="E881" t="inlineStr">
        <is>
          <t>PITEÅ</t>
        </is>
      </c>
      <c r="G881" t="n">
        <v>1.5</v>
      </c>
      <c r="H881" t="n">
        <v>0</v>
      </c>
      <c r="I881" t="n">
        <v>0</v>
      </c>
      <c r="J881" t="n">
        <v>0</v>
      </c>
      <c r="K881" t="n">
        <v>0</v>
      </c>
      <c r="L881" t="n">
        <v>0</v>
      </c>
      <c r="M881" t="n">
        <v>0</v>
      </c>
      <c r="N881" t="n">
        <v>0</v>
      </c>
      <c r="O881" t="n">
        <v>0</v>
      </c>
      <c r="P881" t="n">
        <v>0</v>
      </c>
      <c r="Q881" t="n">
        <v>0</v>
      </c>
      <c r="R881" s="2" t="inlineStr"/>
    </row>
    <row r="882" ht="15" customHeight="1">
      <c r="A882" t="inlineStr">
        <is>
          <t>A 58601-2025</t>
        </is>
      </c>
      <c r="B882" s="1" t="n">
        <v>45986.42760416667</v>
      </c>
      <c r="C882" s="1" t="n">
        <v>46074</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58994-2025</t>
        </is>
      </c>
      <c r="B883" s="1" t="n">
        <v>45987</v>
      </c>
      <c r="C883" s="1" t="n">
        <v>46074</v>
      </c>
      <c r="D883" t="inlineStr">
        <is>
          <t>NORRBOTTENS LÄN</t>
        </is>
      </c>
      <c r="E883" t="inlineStr">
        <is>
          <t>PITEÅ</t>
        </is>
      </c>
      <c r="G883" t="n">
        <v>2.5</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46074</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3181-2026</t>
        </is>
      </c>
      <c r="B885" s="1" t="n">
        <v>46041</v>
      </c>
      <c r="C885" s="1" t="n">
        <v>46074</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48533-2025</t>
        </is>
      </c>
      <c r="B886" s="1" t="n">
        <v>45936.4080787037</v>
      </c>
      <c r="C886" s="1" t="n">
        <v>46074</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71487-2021</t>
        </is>
      </c>
      <c r="B887" s="1" t="n">
        <v>44539</v>
      </c>
      <c r="C887" s="1" t="n">
        <v>46074</v>
      </c>
      <c r="D887" t="inlineStr">
        <is>
          <t>NORRBOTTENS LÄN</t>
        </is>
      </c>
      <c r="E887" t="inlineStr">
        <is>
          <t>PITEÅ</t>
        </is>
      </c>
      <c r="F887" t="inlineStr">
        <is>
          <t>Kommuner</t>
        </is>
      </c>
      <c r="G887" t="n">
        <v>3</v>
      </c>
      <c r="H887" t="n">
        <v>0</v>
      </c>
      <c r="I887" t="n">
        <v>0</v>
      </c>
      <c r="J887" t="n">
        <v>0</v>
      </c>
      <c r="K887" t="n">
        <v>0</v>
      </c>
      <c r="L887" t="n">
        <v>0</v>
      </c>
      <c r="M887" t="n">
        <v>0</v>
      </c>
      <c r="N887" t="n">
        <v>0</v>
      </c>
      <c r="O887" t="n">
        <v>0</v>
      </c>
      <c r="P887" t="n">
        <v>0</v>
      </c>
      <c r="Q887" t="n">
        <v>0</v>
      </c>
      <c r="R887" s="2" t="inlineStr"/>
    </row>
    <row r="888" ht="15" customHeight="1">
      <c r="A888" t="inlineStr">
        <is>
          <t>A 48570-2025</t>
        </is>
      </c>
      <c r="B888" s="1" t="n">
        <v>45936.44833333333</v>
      </c>
      <c r="C888" s="1" t="n">
        <v>46074</v>
      </c>
      <c r="D888" t="inlineStr">
        <is>
          <t>NORRBOTTENS LÄN</t>
        </is>
      </c>
      <c r="E888" t="inlineStr">
        <is>
          <t>PITEÅ</t>
        </is>
      </c>
      <c r="G888" t="n">
        <v>10.6</v>
      </c>
      <c r="H888" t="n">
        <v>0</v>
      </c>
      <c r="I888" t="n">
        <v>0</v>
      </c>
      <c r="J888" t="n">
        <v>0</v>
      </c>
      <c r="K888" t="n">
        <v>0</v>
      </c>
      <c r="L888" t="n">
        <v>0</v>
      </c>
      <c r="M888" t="n">
        <v>0</v>
      </c>
      <c r="N888" t="n">
        <v>0</v>
      </c>
      <c r="O888" t="n">
        <v>0</v>
      </c>
      <c r="P888" t="n">
        <v>0</v>
      </c>
      <c r="Q888" t="n">
        <v>0</v>
      </c>
      <c r="R888" s="2" t="inlineStr"/>
    </row>
    <row r="889" ht="15" customHeight="1">
      <c r="A889" t="inlineStr">
        <is>
          <t>A 46410-2024</t>
        </is>
      </c>
      <c r="B889" s="1" t="n">
        <v>45582.44790509259</v>
      </c>
      <c r="C889" s="1" t="n">
        <v>46074</v>
      </c>
      <c r="D889" t="inlineStr">
        <is>
          <t>NORRBOTTENS LÄN</t>
        </is>
      </c>
      <c r="E889" t="inlineStr">
        <is>
          <t>PITEÅ</t>
        </is>
      </c>
      <c r="F889" t="inlineStr">
        <is>
          <t>Sveaskog</t>
        </is>
      </c>
      <c r="G889" t="n">
        <v>9.5</v>
      </c>
      <c r="H889" t="n">
        <v>0</v>
      </c>
      <c r="I889" t="n">
        <v>0</v>
      </c>
      <c r="J889" t="n">
        <v>0</v>
      </c>
      <c r="K889" t="n">
        <v>0</v>
      </c>
      <c r="L889" t="n">
        <v>0</v>
      </c>
      <c r="M889" t="n">
        <v>0</v>
      </c>
      <c r="N889" t="n">
        <v>0</v>
      </c>
      <c r="O889" t="n">
        <v>0</v>
      </c>
      <c r="P889" t="n">
        <v>0</v>
      </c>
      <c r="Q889" t="n">
        <v>0</v>
      </c>
      <c r="R889" s="2" t="inlineStr"/>
    </row>
    <row r="890" ht="15" customHeight="1">
      <c r="A890" t="inlineStr">
        <is>
          <t>A 44080-2025</t>
        </is>
      </c>
      <c r="B890" s="1" t="n">
        <v>45915.55274305555</v>
      </c>
      <c r="C890" s="1" t="n">
        <v>46074</v>
      </c>
      <c r="D890" t="inlineStr">
        <is>
          <t>NORRBOTTENS LÄN</t>
        </is>
      </c>
      <c r="E890" t="inlineStr">
        <is>
          <t>PITEÅ</t>
        </is>
      </c>
      <c r="G890" t="n">
        <v>7.9</v>
      </c>
      <c r="H890" t="n">
        <v>0</v>
      </c>
      <c r="I890" t="n">
        <v>0</v>
      </c>
      <c r="J890" t="n">
        <v>0</v>
      </c>
      <c r="K890" t="n">
        <v>0</v>
      </c>
      <c r="L890" t="n">
        <v>0</v>
      </c>
      <c r="M890" t="n">
        <v>0</v>
      </c>
      <c r="N890" t="n">
        <v>0</v>
      </c>
      <c r="O890" t="n">
        <v>0</v>
      </c>
      <c r="P890" t="n">
        <v>0</v>
      </c>
      <c r="Q890" t="n">
        <v>0</v>
      </c>
      <c r="R890" s="2" t="inlineStr"/>
    </row>
    <row r="891" ht="15" customHeight="1">
      <c r="A891" t="inlineStr">
        <is>
          <t>A 32432-2023</t>
        </is>
      </c>
      <c r="B891" s="1" t="n">
        <v>45120</v>
      </c>
      <c r="C891" s="1" t="n">
        <v>46074</v>
      </c>
      <c r="D891" t="inlineStr">
        <is>
          <t>NORRBOTTENS LÄN</t>
        </is>
      </c>
      <c r="E891" t="inlineStr">
        <is>
          <t>PITEÅ</t>
        </is>
      </c>
      <c r="G891" t="n">
        <v>2.8</v>
      </c>
      <c r="H891" t="n">
        <v>0</v>
      </c>
      <c r="I891" t="n">
        <v>0</v>
      </c>
      <c r="J891" t="n">
        <v>0</v>
      </c>
      <c r="K891" t="n">
        <v>0</v>
      </c>
      <c r="L891" t="n">
        <v>0</v>
      </c>
      <c r="M891" t="n">
        <v>0</v>
      </c>
      <c r="N891" t="n">
        <v>0</v>
      </c>
      <c r="O891" t="n">
        <v>0</v>
      </c>
      <c r="P891" t="n">
        <v>0</v>
      </c>
      <c r="Q891" t="n">
        <v>0</v>
      </c>
      <c r="R891" s="2" t="inlineStr"/>
    </row>
    <row r="892" ht="15" customHeight="1">
      <c r="A892" t="inlineStr">
        <is>
          <t>A 50745-2025</t>
        </is>
      </c>
      <c r="B892" s="1" t="n">
        <v>45946.38613425926</v>
      </c>
      <c r="C892" s="1" t="n">
        <v>46074</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32438-2023</t>
        </is>
      </c>
      <c r="B893" s="1" t="n">
        <v>45120</v>
      </c>
      <c r="C893" s="1" t="n">
        <v>46074</v>
      </c>
      <c r="D893" t="inlineStr">
        <is>
          <t>NORRBOTTENS LÄN</t>
        </is>
      </c>
      <c r="E893" t="inlineStr">
        <is>
          <t>PITEÅ</t>
        </is>
      </c>
      <c r="G893" t="n">
        <v>1.2</v>
      </c>
      <c r="H893" t="n">
        <v>0</v>
      </c>
      <c r="I893" t="n">
        <v>0</v>
      </c>
      <c r="J893" t="n">
        <v>0</v>
      </c>
      <c r="K893" t="n">
        <v>0</v>
      </c>
      <c r="L893" t="n">
        <v>0</v>
      </c>
      <c r="M893" t="n">
        <v>0</v>
      </c>
      <c r="N893" t="n">
        <v>0</v>
      </c>
      <c r="O893" t="n">
        <v>0</v>
      </c>
      <c r="P893" t="n">
        <v>0</v>
      </c>
      <c r="Q893" t="n">
        <v>0</v>
      </c>
      <c r="R893" s="2" t="inlineStr"/>
    </row>
    <row r="894" ht="15" customHeight="1">
      <c r="A894" t="inlineStr">
        <is>
          <t>A 48532-2025</t>
        </is>
      </c>
      <c r="B894" s="1" t="n">
        <v>45936.40799768519</v>
      </c>
      <c r="C894" s="1" t="n">
        <v>46074</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48554-2025</t>
        </is>
      </c>
      <c r="B895" s="1" t="n">
        <v>45936.4278587963</v>
      </c>
      <c r="C895" s="1" t="n">
        <v>46074</v>
      </c>
      <c r="D895" t="inlineStr">
        <is>
          <t>NORRBOTTENS LÄN</t>
        </is>
      </c>
      <c r="E895" t="inlineStr">
        <is>
          <t>PITEÅ</t>
        </is>
      </c>
      <c r="G895" t="n">
        <v>5.3</v>
      </c>
      <c r="H895" t="n">
        <v>0</v>
      </c>
      <c r="I895" t="n">
        <v>0</v>
      </c>
      <c r="J895" t="n">
        <v>0</v>
      </c>
      <c r="K895" t="n">
        <v>0</v>
      </c>
      <c r="L895" t="n">
        <v>0</v>
      </c>
      <c r="M895" t="n">
        <v>0</v>
      </c>
      <c r="N895" t="n">
        <v>0</v>
      </c>
      <c r="O895" t="n">
        <v>0</v>
      </c>
      <c r="P895" t="n">
        <v>0</v>
      </c>
      <c r="Q895" t="n">
        <v>0</v>
      </c>
      <c r="R895" s="2" t="inlineStr"/>
    </row>
    <row r="896" ht="15" customHeight="1">
      <c r="A896" t="inlineStr">
        <is>
          <t>A 48555-2025</t>
        </is>
      </c>
      <c r="B896" s="1" t="n">
        <v>45936.42791666667</v>
      </c>
      <c r="C896" s="1" t="n">
        <v>46074</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48569-2025</t>
        </is>
      </c>
      <c r="B897" s="1" t="n">
        <v>45936.44826388889</v>
      </c>
      <c r="C897" s="1" t="n">
        <v>46074</v>
      </c>
      <c r="D897" t="inlineStr">
        <is>
          <t>NORRBOTTENS LÄN</t>
        </is>
      </c>
      <c r="E897" t="inlineStr">
        <is>
          <t>PITEÅ</t>
        </is>
      </c>
      <c r="G897" t="n">
        <v>0.2</v>
      </c>
      <c r="H897" t="n">
        <v>0</v>
      </c>
      <c r="I897" t="n">
        <v>0</v>
      </c>
      <c r="J897" t="n">
        <v>0</v>
      </c>
      <c r="K897" t="n">
        <v>0</v>
      </c>
      <c r="L897" t="n">
        <v>0</v>
      </c>
      <c r="M897" t="n">
        <v>0</v>
      </c>
      <c r="N897" t="n">
        <v>0</v>
      </c>
      <c r="O897" t="n">
        <v>0</v>
      </c>
      <c r="P897" t="n">
        <v>0</v>
      </c>
      <c r="Q897" t="n">
        <v>0</v>
      </c>
      <c r="R897" s="2" t="inlineStr"/>
    </row>
    <row r="898" ht="15" customHeight="1">
      <c r="A898" t="inlineStr">
        <is>
          <t>A 53331-2021</t>
        </is>
      </c>
      <c r="B898" s="1" t="n">
        <v>44468</v>
      </c>
      <c r="C898" s="1" t="n">
        <v>46074</v>
      </c>
      <c r="D898" t="inlineStr">
        <is>
          <t>NORRBOTTENS LÄN</t>
        </is>
      </c>
      <c r="E898" t="inlineStr">
        <is>
          <t>PITEÅ</t>
        </is>
      </c>
      <c r="G898" t="n">
        <v>0.3</v>
      </c>
      <c r="H898" t="n">
        <v>0</v>
      </c>
      <c r="I898" t="n">
        <v>0</v>
      </c>
      <c r="J898" t="n">
        <v>0</v>
      </c>
      <c r="K898" t="n">
        <v>0</v>
      </c>
      <c r="L898" t="n">
        <v>0</v>
      </c>
      <c r="M898" t="n">
        <v>0</v>
      </c>
      <c r="N898" t="n">
        <v>0</v>
      </c>
      <c r="O898" t="n">
        <v>0</v>
      </c>
      <c r="P898" t="n">
        <v>0</v>
      </c>
      <c r="Q898" t="n">
        <v>0</v>
      </c>
      <c r="R898" s="2" t="inlineStr"/>
    </row>
    <row r="899" ht="15" customHeight="1">
      <c r="A899" t="inlineStr">
        <is>
          <t>A 45524-2024</t>
        </is>
      </c>
      <c r="B899" s="1" t="n">
        <v>45578</v>
      </c>
      <c r="C899" s="1" t="n">
        <v>46074</v>
      </c>
      <c r="D899" t="inlineStr">
        <is>
          <t>NORRBOTTENS LÄN</t>
        </is>
      </c>
      <c r="E899" t="inlineStr">
        <is>
          <t>PITEÅ</t>
        </is>
      </c>
      <c r="G899" t="n">
        <v>7.7</v>
      </c>
      <c r="H899" t="n">
        <v>0</v>
      </c>
      <c r="I899" t="n">
        <v>0</v>
      </c>
      <c r="J899" t="n">
        <v>0</v>
      </c>
      <c r="K899" t="n">
        <v>0</v>
      </c>
      <c r="L899" t="n">
        <v>0</v>
      </c>
      <c r="M899" t="n">
        <v>0</v>
      </c>
      <c r="N899" t="n">
        <v>0</v>
      </c>
      <c r="O899" t="n">
        <v>0</v>
      </c>
      <c r="P899" t="n">
        <v>0</v>
      </c>
      <c r="Q899" t="n">
        <v>0</v>
      </c>
      <c r="R899" s="2" t="inlineStr"/>
    </row>
    <row r="900" ht="15" customHeight="1">
      <c r="A900" t="inlineStr">
        <is>
          <t>A 50031-2021</t>
        </is>
      </c>
      <c r="B900" s="1" t="n">
        <v>44454</v>
      </c>
      <c r="C900" s="1" t="n">
        <v>46074</v>
      </c>
      <c r="D900" t="inlineStr">
        <is>
          <t>NORRBOTTENS LÄN</t>
        </is>
      </c>
      <c r="E900" t="inlineStr">
        <is>
          <t>PITEÅ</t>
        </is>
      </c>
      <c r="G900" t="n">
        <v>10.5</v>
      </c>
      <c r="H900" t="n">
        <v>0</v>
      </c>
      <c r="I900" t="n">
        <v>0</v>
      </c>
      <c r="J900" t="n">
        <v>0</v>
      </c>
      <c r="K900" t="n">
        <v>0</v>
      </c>
      <c r="L900" t="n">
        <v>0</v>
      </c>
      <c r="M900" t="n">
        <v>0</v>
      </c>
      <c r="N900" t="n">
        <v>0</v>
      </c>
      <c r="O900" t="n">
        <v>0</v>
      </c>
      <c r="P900" t="n">
        <v>0</v>
      </c>
      <c r="Q900" t="n">
        <v>0</v>
      </c>
      <c r="R900" s="2" t="inlineStr"/>
    </row>
    <row r="901" ht="15" customHeight="1">
      <c r="A901" t="inlineStr">
        <is>
          <t>A 47194-2024</t>
        </is>
      </c>
      <c r="B901" s="1" t="n">
        <v>45586.63030092593</v>
      </c>
      <c r="C901" s="1" t="n">
        <v>46074</v>
      </c>
      <c r="D901" t="inlineStr">
        <is>
          <t>NORRBOTTENS LÄN</t>
        </is>
      </c>
      <c r="E901" t="inlineStr">
        <is>
          <t>PITEÅ</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47025-2024</t>
        </is>
      </c>
      <c r="B902" s="1" t="n">
        <v>45586.41365740741</v>
      </c>
      <c r="C902" s="1" t="n">
        <v>46074</v>
      </c>
      <c r="D902" t="inlineStr">
        <is>
          <t>NORRBOTTENS LÄN</t>
        </is>
      </c>
      <c r="E902" t="inlineStr">
        <is>
          <t>PITEÅ</t>
        </is>
      </c>
      <c r="F902" t="inlineStr">
        <is>
          <t>Övriga Aktiebolag</t>
        </is>
      </c>
      <c r="G902" t="n">
        <v>6.7</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46074</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38406-2024</t>
        </is>
      </c>
      <c r="B904" s="1" t="n">
        <v>45546</v>
      </c>
      <c r="C904" s="1" t="n">
        <v>46074</v>
      </c>
      <c r="D904" t="inlineStr">
        <is>
          <t>NORRBOTTENS LÄN</t>
        </is>
      </c>
      <c r="E904" t="inlineStr">
        <is>
          <t>PITEÅ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10713-2023</t>
        </is>
      </c>
      <c r="B905" s="1" t="n">
        <v>44984</v>
      </c>
      <c r="C905" s="1" t="n">
        <v>46074</v>
      </c>
      <c r="D905" t="inlineStr">
        <is>
          <t>NORRBOTTENS LÄN</t>
        </is>
      </c>
      <c r="E905" t="inlineStr">
        <is>
          <t>PITEÅ</t>
        </is>
      </c>
      <c r="G905" t="n">
        <v>3.8</v>
      </c>
      <c r="H905" t="n">
        <v>0</v>
      </c>
      <c r="I905" t="n">
        <v>0</v>
      </c>
      <c r="J905" t="n">
        <v>0</v>
      </c>
      <c r="K905" t="n">
        <v>0</v>
      </c>
      <c r="L905" t="n">
        <v>0</v>
      </c>
      <c r="M905" t="n">
        <v>0</v>
      </c>
      <c r="N905" t="n">
        <v>0</v>
      </c>
      <c r="O905" t="n">
        <v>0</v>
      </c>
      <c r="P905" t="n">
        <v>0</v>
      </c>
      <c r="Q905" t="n">
        <v>0</v>
      </c>
      <c r="R905" s="2" t="inlineStr"/>
    </row>
    <row r="906" ht="15" customHeight="1">
      <c r="A906" t="inlineStr">
        <is>
          <t>A 3677-2025</t>
        </is>
      </c>
      <c r="B906" s="1" t="n">
        <v>45681.44248842593</v>
      </c>
      <c r="C906" s="1" t="n">
        <v>46074</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57811-2024</t>
        </is>
      </c>
      <c r="B907" s="1" t="n">
        <v>45631</v>
      </c>
      <c r="C907" s="1" t="n">
        <v>46074</v>
      </c>
      <c r="D907" t="inlineStr">
        <is>
          <t>NORRBOTTENS LÄN</t>
        </is>
      </c>
      <c r="E907" t="inlineStr">
        <is>
          <t>PITEÅ</t>
        </is>
      </c>
      <c r="G907" t="n">
        <v>3.9</v>
      </c>
      <c r="H907" t="n">
        <v>0</v>
      </c>
      <c r="I907" t="n">
        <v>0</v>
      </c>
      <c r="J907" t="n">
        <v>0</v>
      </c>
      <c r="K907" t="n">
        <v>0</v>
      </c>
      <c r="L907" t="n">
        <v>0</v>
      </c>
      <c r="M907" t="n">
        <v>0</v>
      </c>
      <c r="N907" t="n">
        <v>0</v>
      </c>
      <c r="O907" t="n">
        <v>0</v>
      </c>
      <c r="P907" t="n">
        <v>0</v>
      </c>
      <c r="Q907" t="n">
        <v>0</v>
      </c>
      <c r="R907" s="2" t="inlineStr"/>
    </row>
    <row r="908" ht="15" customHeight="1">
      <c r="A908" t="inlineStr">
        <is>
          <t>A 11413-2025</t>
        </is>
      </c>
      <c r="B908" s="1" t="n">
        <v>45726.5940625</v>
      </c>
      <c r="C908" s="1" t="n">
        <v>46074</v>
      </c>
      <c r="D908" t="inlineStr">
        <is>
          <t>NORRBOTTENS LÄN</t>
        </is>
      </c>
      <c r="E908" t="inlineStr">
        <is>
          <t>PITEÅ</t>
        </is>
      </c>
      <c r="G908" t="n">
        <v>1.5</v>
      </c>
      <c r="H908" t="n">
        <v>0</v>
      </c>
      <c r="I908" t="n">
        <v>0</v>
      </c>
      <c r="J908" t="n">
        <v>0</v>
      </c>
      <c r="K908" t="n">
        <v>0</v>
      </c>
      <c r="L908" t="n">
        <v>0</v>
      </c>
      <c r="M908" t="n">
        <v>0</v>
      </c>
      <c r="N908" t="n">
        <v>0</v>
      </c>
      <c r="O908" t="n">
        <v>0</v>
      </c>
      <c r="P908" t="n">
        <v>0</v>
      </c>
      <c r="Q908" t="n">
        <v>0</v>
      </c>
      <c r="R908" s="2" t="inlineStr"/>
    </row>
    <row r="909" ht="15" customHeight="1">
      <c r="A909" t="inlineStr">
        <is>
          <t>A 44199-2023</t>
        </is>
      </c>
      <c r="B909" s="1" t="n">
        <v>45188</v>
      </c>
      <c r="C909" s="1" t="n">
        <v>46074</v>
      </c>
      <c r="D909" t="inlineStr">
        <is>
          <t>NORRBOTTENS LÄN</t>
        </is>
      </c>
      <c r="E909" t="inlineStr">
        <is>
          <t>PITEÅ</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21188-2024</t>
        </is>
      </c>
      <c r="B910" s="1" t="n">
        <v>45440.48613425926</v>
      </c>
      <c r="C910" s="1" t="n">
        <v>46074</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46074</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5184-2025</t>
        </is>
      </c>
      <c r="B912" s="1" t="n">
        <v>45691.64054398148</v>
      </c>
      <c r="C912" s="1" t="n">
        <v>46074</v>
      </c>
      <c r="D912" t="inlineStr">
        <is>
          <t>NORRBOTTENS LÄN</t>
        </is>
      </c>
      <c r="E912" t="inlineStr">
        <is>
          <t>PITEÅ</t>
        </is>
      </c>
      <c r="F912" t="inlineStr">
        <is>
          <t>Övriga Aktiebolag</t>
        </is>
      </c>
      <c r="G912" t="n">
        <v>6.3</v>
      </c>
      <c r="H912" t="n">
        <v>0</v>
      </c>
      <c r="I912" t="n">
        <v>0</v>
      </c>
      <c r="J912" t="n">
        <v>0</v>
      </c>
      <c r="K912" t="n">
        <v>0</v>
      </c>
      <c r="L912" t="n">
        <v>0</v>
      </c>
      <c r="M912" t="n">
        <v>0</v>
      </c>
      <c r="N912" t="n">
        <v>0</v>
      </c>
      <c r="O912" t="n">
        <v>0</v>
      </c>
      <c r="P912" t="n">
        <v>0</v>
      </c>
      <c r="Q912" t="n">
        <v>0</v>
      </c>
      <c r="R912" s="2" t="inlineStr"/>
    </row>
    <row r="913" ht="15" customHeight="1">
      <c r="A913" t="inlineStr">
        <is>
          <t>A 17860-2024</t>
        </is>
      </c>
      <c r="B913" s="1" t="n">
        <v>45419.43320601852</v>
      </c>
      <c r="C913" s="1" t="n">
        <v>46074</v>
      </c>
      <c r="D913" t="inlineStr">
        <is>
          <t>NORRBOTTENS LÄN</t>
        </is>
      </c>
      <c r="E913" t="inlineStr">
        <is>
          <t>PITEÅ</t>
        </is>
      </c>
      <c r="G913" t="n">
        <v>5</v>
      </c>
      <c r="H913" t="n">
        <v>0</v>
      </c>
      <c r="I913" t="n">
        <v>0</v>
      </c>
      <c r="J913" t="n">
        <v>0</v>
      </c>
      <c r="K913" t="n">
        <v>0</v>
      </c>
      <c r="L913" t="n">
        <v>0</v>
      </c>
      <c r="M913" t="n">
        <v>0</v>
      </c>
      <c r="N913" t="n">
        <v>0</v>
      </c>
      <c r="O913" t="n">
        <v>0</v>
      </c>
      <c r="P913" t="n">
        <v>0</v>
      </c>
      <c r="Q913" t="n">
        <v>0</v>
      </c>
      <c r="R913" s="2" t="inlineStr"/>
    </row>
    <row r="914" ht="15" customHeight="1">
      <c r="A914" t="inlineStr">
        <is>
          <t>A 17866-2024</t>
        </is>
      </c>
      <c r="B914" s="1" t="n">
        <v>45419.43966435185</v>
      </c>
      <c r="C914" s="1" t="n">
        <v>46074</v>
      </c>
      <c r="D914" t="inlineStr">
        <is>
          <t>NORRBOTTENS LÄN</t>
        </is>
      </c>
      <c r="E914" t="inlineStr">
        <is>
          <t>PITEÅ</t>
        </is>
      </c>
      <c r="G914" t="n">
        <v>10.6</v>
      </c>
      <c r="H914" t="n">
        <v>0</v>
      </c>
      <c r="I914" t="n">
        <v>0</v>
      </c>
      <c r="J914" t="n">
        <v>0</v>
      </c>
      <c r="K914" t="n">
        <v>0</v>
      </c>
      <c r="L914" t="n">
        <v>0</v>
      </c>
      <c r="M914" t="n">
        <v>0</v>
      </c>
      <c r="N914" t="n">
        <v>0</v>
      </c>
      <c r="O914" t="n">
        <v>0</v>
      </c>
      <c r="P914" t="n">
        <v>0</v>
      </c>
      <c r="Q914" t="n">
        <v>0</v>
      </c>
      <c r="R914" s="2" t="inlineStr"/>
    </row>
    <row r="915" ht="15" customHeight="1">
      <c r="A915" t="inlineStr">
        <is>
          <t>A 38091-2024</t>
        </is>
      </c>
      <c r="B915" s="1" t="n">
        <v>45545</v>
      </c>
      <c r="C915" s="1" t="n">
        <v>46074</v>
      </c>
      <c r="D915" t="inlineStr">
        <is>
          <t>NORRBOTTENS LÄN</t>
        </is>
      </c>
      <c r="E915" t="inlineStr">
        <is>
          <t>PITEÅ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38094-2024</t>
        </is>
      </c>
      <c r="B916" s="1" t="n">
        <v>45545.34473379629</v>
      </c>
      <c r="C916" s="1" t="n">
        <v>46074</v>
      </c>
      <c r="D916" t="inlineStr">
        <is>
          <t>NORRBOTTENS LÄN</t>
        </is>
      </c>
      <c r="E916" t="inlineStr">
        <is>
          <t>PITEÅ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4924-2025</t>
        </is>
      </c>
      <c r="B917" s="1" t="n">
        <v>45688.68434027778</v>
      </c>
      <c r="C917" s="1" t="n">
        <v>46074</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44526-2024</t>
        </is>
      </c>
      <c r="B918" s="1" t="n">
        <v>45574.44390046296</v>
      </c>
      <c r="C918" s="1" t="n">
        <v>46074</v>
      </c>
      <c r="D918" t="inlineStr">
        <is>
          <t>NORRBOTTENS LÄN</t>
        </is>
      </c>
      <c r="E918" t="inlineStr">
        <is>
          <t>PITEÅ</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44532-2024</t>
        </is>
      </c>
      <c r="B919" s="1" t="n">
        <v>45574.45082175926</v>
      </c>
      <c r="C919" s="1" t="n">
        <v>46074</v>
      </c>
      <c r="D919" t="inlineStr">
        <is>
          <t>NORRBOTTENS LÄN</t>
        </is>
      </c>
      <c r="E919" t="inlineStr">
        <is>
          <t>PITEÅ</t>
        </is>
      </c>
      <c r="F919" t="inlineStr">
        <is>
          <t>Sveaskog</t>
        </is>
      </c>
      <c r="G919" t="n">
        <v>7.3</v>
      </c>
      <c r="H919" t="n">
        <v>0</v>
      </c>
      <c r="I919" t="n">
        <v>0</v>
      </c>
      <c r="J919" t="n">
        <v>0</v>
      </c>
      <c r="K919" t="n">
        <v>0</v>
      </c>
      <c r="L919" t="n">
        <v>0</v>
      </c>
      <c r="M919" t="n">
        <v>0</v>
      </c>
      <c r="N919" t="n">
        <v>0</v>
      </c>
      <c r="O919" t="n">
        <v>0</v>
      </c>
      <c r="P919" t="n">
        <v>0</v>
      </c>
      <c r="Q919" t="n">
        <v>0</v>
      </c>
      <c r="R919" s="2" t="inlineStr"/>
    </row>
    <row r="920" ht="15" customHeight="1">
      <c r="A920" t="inlineStr">
        <is>
          <t>A 44539-2024</t>
        </is>
      </c>
      <c r="B920" s="1" t="n">
        <v>45574.45609953703</v>
      </c>
      <c r="C920" s="1" t="n">
        <v>46074</v>
      </c>
      <c r="D920" t="inlineStr">
        <is>
          <t>NORRBOTTENS LÄN</t>
        </is>
      </c>
      <c r="E920" t="inlineStr">
        <is>
          <t>PITEÅ</t>
        </is>
      </c>
      <c r="F920" t="inlineStr">
        <is>
          <t>Sveaskog</t>
        </is>
      </c>
      <c r="G920" t="n">
        <v>6.7</v>
      </c>
      <c r="H920" t="n">
        <v>0</v>
      </c>
      <c r="I920" t="n">
        <v>0</v>
      </c>
      <c r="J920" t="n">
        <v>0</v>
      </c>
      <c r="K920" t="n">
        <v>0</v>
      </c>
      <c r="L920" t="n">
        <v>0</v>
      </c>
      <c r="M920" t="n">
        <v>0</v>
      </c>
      <c r="N920" t="n">
        <v>0</v>
      </c>
      <c r="O920" t="n">
        <v>0</v>
      </c>
      <c r="P920" t="n">
        <v>0</v>
      </c>
      <c r="Q920" t="n">
        <v>0</v>
      </c>
      <c r="R920" s="2" t="inlineStr"/>
    </row>
    <row r="921" ht="15" customHeight="1">
      <c r="A921" t="inlineStr">
        <is>
          <t>A 45713-2024</t>
        </is>
      </c>
      <c r="B921" s="1" t="n">
        <v>45579.58488425926</v>
      </c>
      <c r="C921" s="1" t="n">
        <v>46074</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45715-2024</t>
        </is>
      </c>
      <c r="B922" s="1" t="n">
        <v>45579</v>
      </c>
      <c r="C922" s="1" t="n">
        <v>46074</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45728-2024</t>
        </is>
      </c>
      <c r="B923" s="1" t="n">
        <v>45579.59833333334</v>
      </c>
      <c r="C923" s="1" t="n">
        <v>46074</v>
      </c>
      <c r="D923" t="inlineStr">
        <is>
          <t>NORRBOTTENS LÄN</t>
        </is>
      </c>
      <c r="E923" t="inlineStr">
        <is>
          <t>PITEÅ</t>
        </is>
      </c>
      <c r="G923" t="n">
        <v>2.7</v>
      </c>
      <c r="H923" t="n">
        <v>0</v>
      </c>
      <c r="I923" t="n">
        <v>0</v>
      </c>
      <c r="J923" t="n">
        <v>0</v>
      </c>
      <c r="K923" t="n">
        <v>0</v>
      </c>
      <c r="L923" t="n">
        <v>0</v>
      </c>
      <c r="M923" t="n">
        <v>0</v>
      </c>
      <c r="N923" t="n">
        <v>0</v>
      </c>
      <c r="O923" t="n">
        <v>0</v>
      </c>
      <c r="P923" t="n">
        <v>0</v>
      </c>
      <c r="Q923" t="n">
        <v>0</v>
      </c>
      <c r="R923" s="2" t="inlineStr"/>
    </row>
    <row r="924" ht="15" customHeight="1">
      <c r="A924" t="inlineStr">
        <is>
          <t>A 45732-2024</t>
        </is>
      </c>
      <c r="B924" s="1" t="n">
        <v>45579.60060185185</v>
      </c>
      <c r="C924" s="1" t="n">
        <v>46074</v>
      </c>
      <c r="D924" t="inlineStr">
        <is>
          <t>NORRBOTTENS LÄN</t>
        </is>
      </c>
      <c r="E924" t="inlineStr">
        <is>
          <t>PITEÅ</t>
        </is>
      </c>
      <c r="G924" t="n">
        <v>1.4</v>
      </c>
      <c r="H924" t="n">
        <v>0</v>
      </c>
      <c r="I924" t="n">
        <v>0</v>
      </c>
      <c r="J924" t="n">
        <v>0</v>
      </c>
      <c r="K924" t="n">
        <v>0</v>
      </c>
      <c r="L924" t="n">
        <v>0</v>
      </c>
      <c r="M924" t="n">
        <v>0</v>
      </c>
      <c r="N924" t="n">
        <v>0</v>
      </c>
      <c r="O924" t="n">
        <v>0</v>
      </c>
      <c r="P924" t="n">
        <v>0</v>
      </c>
      <c r="Q924" t="n">
        <v>0</v>
      </c>
      <c r="R924" s="2" t="inlineStr"/>
    </row>
    <row r="925" ht="15" customHeight="1">
      <c r="A925" t="inlineStr">
        <is>
          <t>A 12849-2025</t>
        </is>
      </c>
      <c r="B925" s="1" t="n">
        <v>45733.65648148148</v>
      </c>
      <c r="C925" s="1" t="n">
        <v>46074</v>
      </c>
      <c r="D925" t="inlineStr">
        <is>
          <t>NORRBOTTENS LÄN</t>
        </is>
      </c>
      <c r="E925" t="inlineStr">
        <is>
          <t>PITEÅ</t>
        </is>
      </c>
      <c r="G925" t="n">
        <v>3.8</v>
      </c>
      <c r="H925" t="n">
        <v>0</v>
      </c>
      <c r="I925" t="n">
        <v>0</v>
      </c>
      <c r="J925" t="n">
        <v>0</v>
      </c>
      <c r="K925" t="n">
        <v>0</v>
      </c>
      <c r="L925" t="n">
        <v>0</v>
      </c>
      <c r="M925" t="n">
        <v>0</v>
      </c>
      <c r="N925" t="n">
        <v>0</v>
      </c>
      <c r="O925" t="n">
        <v>0</v>
      </c>
      <c r="P925" t="n">
        <v>0</v>
      </c>
      <c r="Q925" t="n">
        <v>0</v>
      </c>
      <c r="R925" s="2" t="inlineStr"/>
    </row>
    <row r="926" ht="15" customHeight="1">
      <c r="A926" t="inlineStr">
        <is>
          <t>A 51489-2023</t>
        </is>
      </c>
      <c r="B926" s="1" t="n">
        <v>45222</v>
      </c>
      <c r="C926" s="1" t="n">
        <v>46074</v>
      </c>
      <c r="D926" t="inlineStr">
        <is>
          <t>NORRBOTTENS LÄN</t>
        </is>
      </c>
      <c r="E926" t="inlineStr">
        <is>
          <t>PITEÅ</t>
        </is>
      </c>
      <c r="G926" t="n">
        <v>1.3</v>
      </c>
      <c r="H926" t="n">
        <v>0</v>
      </c>
      <c r="I926" t="n">
        <v>0</v>
      </c>
      <c r="J926" t="n">
        <v>0</v>
      </c>
      <c r="K926" t="n">
        <v>0</v>
      </c>
      <c r="L926" t="n">
        <v>0</v>
      </c>
      <c r="M926" t="n">
        <v>0</v>
      </c>
      <c r="N926" t="n">
        <v>0</v>
      </c>
      <c r="O926" t="n">
        <v>0</v>
      </c>
      <c r="P926" t="n">
        <v>0</v>
      </c>
      <c r="Q926" t="n">
        <v>0</v>
      </c>
      <c r="R926" s="2" t="inlineStr"/>
    </row>
    <row r="927" ht="15" customHeight="1">
      <c r="A927" t="inlineStr">
        <is>
          <t>A 8905-2026</t>
        </is>
      </c>
      <c r="B927" s="1" t="n">
        <v>46068.90989583333</v>
      </c>
      <c r="C927" s="1" t="n">
        <v>46074</v>
      </c>
      <c r="D927" t="inlineStr">
        <is>
          <t>NORRBOTTENS LÄN</t>
        </is>
      </c>
      <c r="E927" t="inlineStr">
        <is>
          <t>PITEÅ</t>
        </is>
      </c>
      <c r="G927" t="n">
        <v>4</v>
      </c>
      <c r="H927" t="n">
        <v>0</v>
      </c>
      <c r="I927" t="n">
        <v>0</v>
      </c>
      <c r="J927" t="n">
        <v>0</v>
      </c>
      <c r="K927" t="n">
        <v>0</v>
      </c>
      <c r="L927" t="n">
        <v>0</v>
      </c>
      <c r="M927" t="n">
        <v>0</v>
      </c>
      <c r="N927" t="n">
        <v>0</v>
      </c>
      <c r="O927" t="n">
        <v>0</v>
      </c>
      <c r="P927" t="n">
        <v>0</v>
      </c>
      <c r="Q927" t="n">
        <v>0</v>
      </c>
      <c r="R927" s="2" t="inlineStr"/>
    </row>
    <row r="928" ht="15" customHeight="1">
      <c r="A928" t="inlineStr">
        <is>
          <t>A 18267-2022</t>
        </is>
      </c>
      <c r="B928" s="1" t="n">
        <v>44685</v>
      </c>
      <c r="C928" s="1" t="n">
        <v>46074</v>
      </c>
      <c r="D928" t="inlineStr">
        <is>
          <t>NORRBOTTENS LÄN</t>
        </is>
      </c>
      <c r="E928" t="inlineStr">
        <is>
          <t>PITEÅ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31552-2024</t>
        </is>
      </c>
      <c r="B929" s="1" t="n">
        <v>45505.96447916667</v>
      </c>
      <c r="C929" s="1" t="n">
        <v>46074</v>
      </c>
      <c r="D929" t="inlineStr">
        <is>
          <t>NORRBOTTENS LÄN</t>
        </is>
      </c>
      <c r="E929" t="inlineStr">
        <is>
          <t>PITEÅ</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2727-2025</t>
        </is>
      </c>
      <c r="B930" s="1" t="n">
        <v>45677</v>
      </c>
      <c r="C930" s="1" t="n">
        <v>46074</v>
      </c>
      <c r="D930" t="inlineStr">
        <is>
          <t>NORRBOTTENS LÄN</t>
        </is>
      </c>
      <c r="E930" t="inlineStr">
        <is>
          <t>PITEÅ</t>
        </is>
      </c>
      <c r="G930" t="n">
        <v>8.4</v>
      </c>
      <c r="H930" t="n">
        <v>0</v>
      </c>
      <c r="I930" t="n">
        <v>0</v>
      </c>
      <c r="J930" t="n">
        <v>0</v>
      </c>
      <c r="K930" t="n">
        <v>0</v>
      </c>
      <c r="L930" t="n">
        <v>0</v>
      </c>
      <c r="M930" t="n">
        <v>0</v>
      </c>
      <c r="N930" t="n">
        <v>0</v>
      </c>
      <c r="O930" t="n">
        <v>0</v>
      </c>
      <c r="P930" t="n">
        <v>0</v>
      </c>
      <c r="Q930" t="n">
        <v>0</v>
      </c>
      <c r="R930" s="2" t="inlineStr"/>
    </row>
    <row r="931" ht="15" customHeight="1">
      <c r="A931" t="inlineStr">
        <is>
          <t>A 11469-2025</t>
        </is>
      </c>
      <c r="B931" s="1" t="n">
        <v>45726.66239583334</v>
      </c>
      <c r="C931" s="1" t="n">
        <v>46074</v>
      </c>
      <c r="D931" t="inlineStr">
        <is>
          <t>NORRBOTTENS LÄN</t>
        </is>
      </c>
      <c r="E931" t="inlineStr">
        <is>
          <t>PITEÅ</t>
        </is>
      </c>
      <c r="G931" t="n">
        <v>2.3</v>
      </c>
      <c r="H931" t="n">
        <v>0</v>
      </c>
      <c r="I931" t="n">
        <v>0</v>
      </c>
      <c r="J931" t="n">
        <v>0</v>
      </c>
      <c r="K931" t="n">
        <v>0</v>
      </c>
      <c r="L931" t="n">
        <v>0</v>
      </c>
      <c r="M931" t="n">
        <v>0</v>
      </c>
      <c r="N931" t="n">
        <v>0</v>
      </c>
      <c r="O931" t="n">
        <v>0</v>
      </c>
      <c r="P931" t="n">
        <v>0</v>
      </c>
      <c r="Q931" t="n">
        <v>0</v>
      </c>
      <c r="R931" s="2" t="inlineStr"/>
    </row>
    <row r="932" ht="15" customHeight="1">
      <c r="A932" t="inlineStr">
        <is>
          <t>A 20402-2024</t>
        </is>
      </c>
      <c r="B932" s="1" t="n">
        <v>45435</v>
      </c>
      <c r="C932" s="1" t="n">
        <v>46074</v>
      </c>
      <c r="D932" t="inlineStr">
        <is>
          <t>NORRBOTTENS LÄN</t>
        </is>
      </c>
      <c r="E932" t="inlineStr">
        <is>
          <t>PITEÅ</t>
        </is>
      </c>
      <c r="G932" t="n">
        <v>6.5</v>
      </c>
      <c r="H932" t="n">
        <v>0</v>
      </c>
      <c r="I932" t="n">
        <v>0</v>
      </c>
      <c r="J932" t="n">
        <v>0</v>
      </c>
      <c r="K932" t="n">
        <v>0</v>
      </c>
      <c r="L932" t="n">
        <v>0</v>
      </c>
      <c r="M932" t="n">
        <v>0</v>
      </c>
      <c r="N932" t="n">
        <v>0</v>
      </c>
      <c r="O932" t="n">
        <v>0</v>
      </c>
      <c r="P932" t="n">
        <v>0</v>
      </c>
      <c r="Q932" t="n">
        <v>0</v>
      </c>
      <c r="R932" s="2" t="inlineStr"/>
    </row>
    <row r="933" ht="15" customHeight="1">
      <c r="A933" t="inlineStr">
        <is>
          <t>A 57694-2024</t>
        </is>
      </c>
      <c r="B933" s="1" t="n">
        <v>45630.66138888889</v>
      </c>
      <c r="C933" s="1" t="n">
        <v>46074</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1301-2026</t>
        </is>
      </c>
      <c r="B934" s="1" t="n">
        <v>46031.5231712963</v>
      </c>
      <c r="C934" s="1" t="n">
        <v>46074</v>
      </c>
      <c r="D934" t="inlineStr">
        <is>
          <t>NORRBOTTENS LÄN</t>
        </is>
      </c>
      <c r="E934" t="inlineStr">
        <is>
          <t>PITEÅ</t>
        </is>
      </c>
      <c r="G934" t="n">
        <v>17.1</v>
      </c>
      <c r="H934" t="n">
        <v>0</v>
      </c>
      <c r="I934" t="n">
        <v>0</v>
      </c>
      <c r="J934" t="n">
        <v>0</v>
      </c>
      <c r="K934" t="n">
        <v>0</v>
      </c>
      <c r="L934" t="n">
        <v>0</v>
      </c>
      <c r="M934" t="n">
        <v>0</v>
      </c>
      <c r="N934" t="n">
        <v>0</v>
      </c>
      <c r="O934" t="n">
        <v>0</v>
      </c>
      <c r="P934" t="n">
        <v>0</v>
      </c>
      <c r="Q934" t="n">
        <v>0</v>
      </c>
      <c r="R934" s="2" t="inlineStr"/>
    </row>
    <row r="935" ht="15" customHeight="1">
      <c r="A935" t="inlineStr">
        <is>
          <t>A 50080-2024</t>
        </is>
      </c>
      <c r="B935" s="1" t="n">
        <v>45600</v>
      </c>
      <c r="C935" s="1" t="n">
        <v>46074</v>
      </c>
      <c r="D935" t="inlineStr">
        <is>
          <t>NORRBOTTENS LÄN</t>
        </is>
      </c>
      <c r="E935" t="inlineStr">
        <is>
          <t>PITEÅ</t>
        </is>
      </c>
      <c r="F935" t="inlineStr">
        <is>
          <t>Sveaskog</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55796-2023</t>
        </is>
      </c>
      <c r="B936" s="1" t="n">
        <v>45239.54928240741</v>
      </c>
      <c r="C936" s="1" t="n">
        <v>46074</v>
      </c>
      <c r="D936" t="inlineStr">
        <is>
          <t>NORRBOTTENS LÄN</t>
        </is>
      </c>
      <c r="E936" t="inlineStr">
        <is>
          <t>PITEÅ</t>
        </is>
      </c>
      <c r="G936" t="n">
        <v>38.2</v>
      </c>
      <c r="H936" t="n">
        <v>0</v>
      </c>
      <c r="I936" t="n">
        <v>0</v>
      </c>
      <c r="J936" t="n">
        <v>0</v>
      </c>
      <c r="K936" t="n">
        <v>0</v>
      </c>
      <c r="L936" t="n">
        <v>0</v>
      </c>
      <c r="M936" t="n">
        <v>0</v>
      </c>
      <c r="N936" t="n">
        <v>0</v>
      </c>
      <c r="O936" t="n">
        <v>0</v>
      </c>
      <c r="P936" t="n">
        <v>0</v>
      </c>
      <c r="Q936" t="n">
        <v>0</v>
      </c>
      <c r="R936" s="2" t="inlineStr"/>
    </row>
    <row r="937" ht="15" customHeight="1">
      <c r="A937" t="inlineStr">
        <is>
          <t>A 15352-2024</t>
        </is>
      </c>
      <c r="B937" s="1" t="n">
        <v>45400.83166666667</v>
      </c>
      <c r="C937" s="1" t="n">
        <v>46074</v>
      </c>
      <c r="D937" t="inlineStr">
        <is>
          <t>NORRBOTTENS LÄN</t>
        </is>
      </c>
      <c r="E937" t="inlineStr">
        <is>
          <t>PITEÅ</t>
        </is>
      </c>
      <c r="G937" t="n">
        <v>4.4</v>
      </c>
      <c r="H937" t="n">
        <v>0</v>
      </c>
      <c r="I937" t="n">
        <v>0</v>
      </c>
      <c r="J937" t="n">
        <v>0</v>
      </c>
      <c r="K937" t="n">
        <v>0</v>
      </c>
      <c r="L937" t="n">
        <v>0</v>
      </c>
      <c r="M937" t="n">
        <v>0</v>
      </c>
      <c r="N937" t="n">
        <v>0</v>
      </c>
      <c r="O937" t="n">
        <v>0</v>
      </c>
      <c r="P937" t="n">
        <v>0</v>
      </c>
      <c r="Q937" t="n">
        <v>0</v>
      </c>
      <c r="R937" s="2" t="inlineStr"/>
    </row>
    <row r="938" ht="15" customHeight="1">
      <c r="A938" t="inlineStr">
        <is>
          <t>A 2627-2023</t>
        </is>
      </c>
      <c r="B938" s="1" t="n">
        <v>44942</v>
      </c>
      <c r="C938" s="1" t="n">
        <v>46074</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2147-2026</t>
        </is>
      </c>
      <c r="B939" s="1" t="n">
        <v>46036</v>
      </c>
      <c r="C939" s="1" t="n">
        <v>46074</v>
      </c>
      <c r="D939" t="inlineStr">
        <is>
          <t>NORRBOTTENS LÄN</t>
        </is>
      </c>
      <c r="E939" t="inlineStr">
        <is>
          <t>PITEÅ</t>
        </is>
      </c>
      <c r="G939" t="n">
        <v>6.4</v>
      </c>
      <c r="H939" t="n">
        <v>0</v>
      </c>
      <c r="I939" t="n">
        <v>0</v>
      </c>
      <c r="J939" t="n">
        <v>0</v>
      </c>
      <c r="K939" t="n">
        <v>0</v>
      </c>
      <c r="L939" t="n">
        <v>0</v>
      </c>
      <c r="M939" t="n">
        <v>0</v>
      </c>
      <c r="N939" t="n">
        <v>0</v>
      </c>
      <c r="O939" t="n">
        <v>0</v>
      </c>
      <c r="P939" t="n">
        <v>0</v>
      </c>
      <c r="Q939" t="n">
        <v>0</v>
      </c>
      <c r="R939" s="2" t="inlineStr"/>
    </row>
    <row r="940" ht="15" customHeight="1">
      <c r="A940" t="inlineStr">
        <is>
          <t>A 38755-2022</t>
        </is>
      </c>
      <c r="B940" s="1" t="n">
        <v>44813</v>
      </c>
      <c r="C940" s="1" t="n">
        <v>46074</v>
      </c>
      <c r="D940" t="inlineStr">
        <is>
          <t>NORRBOTTENS LÄN</t>
        </is>
      </c>
      <c r="E940" t="inlineStr">
        <is>
          <t>PITEÅ</t>
        </is>
      </c>
      <c r="G940" t="n">
        <v>0.9</v>
      </c>
      <c r="H940" t="n">
        <v>0</v>
      </c>
      <c r="I940" t="n">
        <v>0</v>
      </c>
      <c r="J940" t="n">
        <v>0</v>
      </c>
      <c r="K940" t="n">
        <v>0</v>
      </c>
      <c r="L940" t="n">
        <v>0</v>
      </c>
      <c r="M940" t="n">
        <v>0</v>
      </c>
      <c r="N940" t="n">
        <v>0</v>
      </c>
      <c r="O940" t="n">
        <v>0</v>
      </c>
      <c r="P940" t="n">
        <v>0</v>
      </c>
      <c r="Q940" t="n">
        <v>0</v>
      </c>
      <c r="R940" s="2" t="inlineStr"/>
    </row>
    <row r="941" ht="15" customHeight="1">
      <c r="A941" t="inlineStr">
        <is>
          <t>A 31281-2024</t>
        </is>
      </c>
      <c r="B941" s="1" t="n">
        <v>45504.41072916667</v>
      </c>
      <c r="C941" s="1" t="n">
        <v>46074</v>
      </c>
      <c r="D941" t="inlineStr">
        <is>
          <t>NORRBOTTENS LÄN</t>
        </is>
      </c>
      <c r="E941" t="inlineStr">
        <is>
          <t>PITEÅ</t>
        </is>
      </c>
      <c r="G941" t="n">
        <v>3</v>
      </c>
      <c r="H941" t="n">
        <v>0</v>
      </c>
      <c r="I941" t="n">
        <v>0</v>
      </c>
      <c r="J941" t="n">
        <v>0</v>
      </c>
      <c r="K941" t="n">
        <v>0</v>
      </c>
      <c r="L941" t="n">
        <v>0</v>
      </c>
      <c r="M941" t="n">
        <v>0</v>
      </c>
      <c r="N941" t="n">
        <v>0</v>
      </c>
      <c r="O941" t="n">
        <v>0</v>
      </c>
      <c r="P941" t="n">
        <v>0</v>
      </c>
      <c r="Q941" t="n">
        <v>0</v>
      </c>
      <c r="R941" s="2" t="inlineStr"/>
    </row>
    <row r="942" ht="15" customHeight="1">
      <c r="A942" t="inlineStr">
        <is>
          <t>A 2888-2025</t>
        </is>
      </c>
      <c r="B942" s="1" t="n">
        <v>45677.7190625</v>
      </c>
      <c r="C942" s="1" t="n">
        <v>46074</v>
      </c>
      <c r="D942" t="inlineStr">
        <is>
          <t>NORRBOTTENS LÄN</t>
        </is>
      </c>
      <c r="E942" t="inlineStr">
        <is>
          <t>PITEÅ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32153-2023</t>
        </is>
      </c>
      <c r="B943" s="1" t="n">
        <v>45119.70763888889</v>
      </c>
      <c r="C943" s="1" t="n">
        <v>46074</v>
      </c>
      <c r="D943" t="inlineStr">
        <is>
          <t>NORRBOTTENS LÄN</t>
        </is>
      </c>
      <c r="E943" t="inlineStr">
        <is>
          <t>PITEÅ</t>
        </is>
      </c>
      <c r="F943" t="inlineStr">
        <is>
          <t>Sveaskog</t>
        </is>
      </c>
      <c r="G943" t="n">
        <v>18.5</v>
      </c>
      <c r="H943" t="n">
        <v>0</v>
      </c>
      <c r="I943" t="n">
        <v>0</v>
      </c>
      <c r="J943" t="n">
        <v>0</v>
      </c>
      <c r="K943" t="n">
        <v>0</v>
      </c>
      <c r="L943" t="n">
        <v>0</v>
      </c>
      <c r="M943" t="n">
        <v>0</v>
      </c>
      <c r="N943" t="n">
        <v>0</v>
      </c>
      <c r="O943" t="n">
        <v>0</v>
      </c>
      <c r="P943" t="n">
        <v>0</v>
      </c>
      <c r="Q943" t="n">
        <v>0</v>
      </c>
      <c r="R943" s="2" t="inlineStr"/>
    </row>
    <row r="944" ht="15" customHeight="1">
      <c r="A944" t="inlineStr">
        <is>
          <t>A 41173-2024</t>
        </is>
      </c>
      <c r="B944" s="1" t="n">
        <v>45559.4872337963</v>
      </c>
      <c r="C944" s="1" t="n">
        <v>46074</v>
      </c>
      <c r="D944" t="inlineStr">
        <is>
          <t>NORRBOTTENS LÄN</t>
        </is>
      </c>
      <c r="E944" t="inlineStr">
        <is>
          <t>PITEÅ</t>
        </is>
      </c>
      <c r="G944" t="n">
        <v>2.5</v>
      </c>
      <c r="H944" t="n">
        <v>0</v>
      </c>
      <c r="I944" t="n">
        <v>0</v>
      </c>
      <c r="J944" t="n">
        <v>0</v>
      </c>
      <c r="K944" t="n">
        <v>0</v>
      </c>
      <c r="L944" t="n">
        <v>0</v>
      </c>
      <c r="M944" t="n">
        <v>0</v>
      </c>
      <c r="N944" t="n">
        <v>0</v>
      </c>
      <c r="O944" t="n">
        <v>0</v>
      </c>
      <c r="P944" t="n">
        <v>0</v>
      </c>
      <c r="Q944" t="n">
        <v>0</v>
      </c>
      <c r="R944" s="2" t="inlineStr"/>
    </row>
    <row r="945" ht="15" customHeight="1">
      <c r="A945" t="inlineStr">
        <is>
          <t>A 48594-2024</t>
        </is>
      </c>
      <c r="B945" s="1" t="n">
        <v>45593</v>
      </c>
      <c r="C945" s="1" t="n">
        <v>46074</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31729-2023</t>
        </is>
      </c>
      <c r="B946" s="1" t="n">
        <v>45117.95149305555</v>
      </c>
      <c r="C946" s="1" t="n">
        <v>46074</v>
      </c>
      <c r="D946" t="inlineStr">
        <is>
          <t>NORRBOTTENS LÄN</t>
        </is>
      </c>
      <c r="E946" t="inlineStr">
        <is>
          <t>PITEÅ</t>
        </is>
      </c>
      <c r="F946" t="inlineStr">
        <is>
          <t>SCA</t>
        </is>
      </c>
      <c r="G946" t="n">
        <v>33.7</v>
      </c>
      <c r="H946" t="n">
        <v>0</v>
      </c>
      <c r="I946" t="n">
        <v>0</v>
      </c>
      <c r="J946" t="n">
        <v>0</v>
      </c>
      <c r="K946" t="n">
        <v>0</v>
      </c>
      <c r="L946" t="n">
        <v>0</v>
      </c>
      <c r="M946" t="n">
        <v>0</v>
      </c>
      <c r="N946" t="n">
        <v>0</v>
      </c>
      <c r="O946" t="n">
        <v>0</v>
      </c>
      <c r="P946" t="n">
        <v>0</v>
      </c>
      <c r="Q946" t="n">
        <v>0</v>
      </c>
      <c r="R946" s="2" t="inlineStr"/>
    </row>
    <row r="947" ht="15" customHeight="1">
      <c r="A947" t="inlineStr">
        <is>
          <t>A 56312-2022</t>
        </is>
      </c>
      <c r="B947" s="1" t="n">
        <v>44890</v>
      </c>
      <c r="C947" s="1" t="n">
        <v>46074</v>
      </c>
      <c r="D947" t="inlineStr">
        <is>
          <t>NORRBOTTENS LÄN</t>
        </is>
      </c>
      <c r="E947" t="inlineStr">
        <is>
          <t>PITEÅ</t>
        </is>
      </c>
      <c r="G947" t="n">
        <v>4.4</v>
      </c>
      <c r="H947" t="n">
        <v>0</v>
      </c>
      <c r="I947" t="n">
        <v>0</v>
      </c>
      <c r="J947" t="n">
        <v>0</v>
      </c>
      <c r="K947" t="n">
        <v>0</v>
      </c>
      <c r="L947" t="n">
        <v>0</v>
      </c>
      <c r="M947" t="n">
        <v>0</v>
      </c>
      <c r="N947" t="n">
        <v>0</v>
      </c>
      <c r="O947" t="n">
        <v>0</v>
      </c>
      <c r="P947" t="n">
        <v>0</v>
      </c>
      <c r="Q947" t="n">
        <v>0</v>
      </c>
      <c r="R947" s="2" t="inlineStr"/>
    </row>
    <row r="948" ht="15" customHeight="1">
      <c r="A948" t="inlineStr">
        <is>
          <t>A 13624-2025</t>
        </is>
      </c>
      <c r="B948" s="1" t="n">
        <v>45736</v>
      </c>
      <c r="C948" s="1" t="n">
        <v>46074</v>
      </c>
      <c r="D948" t="inlineStr">
        <is>
          <t>NORRBOTTENS LÄN</t>
        </is>
      </c>
      <c r="E948" t="inlineStr">
        <is>
          <t>PITEÅ</t>
        </is>
      </c>
      <c r="G948" t="n">
        <v>5.5</v>
      </c>
      <c r="H948" t="n">
        <v>0</v>
      </c>
      <c r="I948" t="n">
        <v>0</v>
      </c>
      <c r="J948" t="n">
        <v>0</v>
      </c>
      <c r="K948" t="n">
        <v>0</v>
      </c>
      <c r="L948" t="n">
        <v>0</v>
      </c>
      <c r="M948" t="n">
        <v>0</v>
      </c>
      <c r="N948" t="n">
        <v>0</v>
      </c>
      <c r="O948" t="n">
        <v>0</v>
      </c>
      <c r="P948" t="n">
        <v>0</v>
      </c>
      <c r="Q948" t="n">
        <v>0</v>
      </c>
      <c r="R948" s="2" t="inlineStr"/>
    </row>
    <row r="949" ht="15" customHeight="1">
      <c r="A949" t="inlineStr">
        <is>
          <t>A 15607-2024</t>
        </is>
      </c>
      <c r="B949" s="1" t="n">
        <v>45401.92539351852</v>
      </c>
      <c r="C949" s="1" t="n">
        <v>46074</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63179-2023</t>
        </is>
      </c>
      <c r="B950" s="1" t="n">
        <v>45273.58069444444</v>
      </c>
      <c r="C950" s="1" t="n">
        <v>46074</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43885-2023</t>
        </is>
      </c>
      <c r="B951" s="1" t="n">
        <v>45187</v>
      </c>
      <c r="C951" s="1" t="n">
        <v>46074</v>
      </c>
      <c r="D951" t="inlineStr">
        <is>
          <t>NORRBOTTENS LÄN</t>
        </is>
      </c>
      <c r="E951" t="inlineStr">
        <is>
          <t>PITEÅ</t>
        </is>
      </c>
      <c r="G951" t="n">
        <v>2.4</v>
      </c>
      <c r="H951" t="n">
        <v>0</v>
      </c>
      <c r="I951" t="n">
        <v>0</v>
      </c>
      <c r="J951" t="n">
        <v>0</v>
      </c>
      <c r="K951" t="n">
        <v>0</v>
      </c>
      <c r="L951" t="n">
        <v>0</v>
      </c>
      <c r="M951" t="n">
        <v>0</v>
      </c>
      <c r="N951" t="n">
        <v>0</v>
      </c>
      <c r="O951" t="n">
        <v>0</v>
      </c>
      <c r="P951" t="n">
        <v>0</v>
      </c>
      <c r="Q951" t="n">
        <v>0</v>
      </c>
      <c r="R951" s="2" t="inlineStr"/>
    </row>
    <row r="952" ht="15" customHeight="1">
      <c r="A952" t="inlineStr">
        <is>
          <t>A 30452-2024</t>
        </is>
      </c>
      <c r="B952" s="1" t="n">
        <v>45491.92767361111</v>
      </c>
      <c r="C952" s="1" t="n">
        <v>46074</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31754-2021</t>
        </is>
      </c>
      <c r="B953" s="1" t="n">
        <v>44369.93850694445</v>
      </c>
      <c r="C953" s="1" t="n">
        <v>46074</v>
      </c>
      <c r="D953" t="inlineStr">
        <is>
          <t>NORRBOTTENS LÄN</t>
        </is>
      </c>
      <c r="E953" t="inlineStr">
        <is>
          <t>PITEÅ</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57195-2023</t>
        </is>
      </c>
      <c r="B954" s="1" t="n">
        <v>45245</v>
      </c>
      <c r="C954" s="1" t="n">
        <v>46074</v>
      </c>
      <c r="D954" t="inlineStr">
        <is>
          <t>NORRBOTTENS LÄN</t>
        </is>
      </c>
      <c r="E954" t="inlineStr">
        <is>
          <t>PITEÅ</t>
        </is>
      </c>
      <c r="G954" t="n">
        <v>9</v>
      </c>
      <c r="H954" t="n">
        <v>0</v>
      </c>
      <c r="I954" t="n">
        <v>0</v>
      </c>
      <c r="J954" t="n">
        <v>0</v>
      </c>
      <c r="K954" t="n">
        <v>0</v>
      </c>
      <c r="L954" t="n">
        <v>0</v>
      </c>
      <c r="M954" t="n">
        <v>0</v>
      </c>
      <c r="N954" t="n">
        <v>0</v>
      </c>
      <c r="O954" t="n">
        <v>0</v>
      </c>
      <c r="P954" t="n">
        <v>0</v>
      </c>
      <c r="Q954" t="n">
        <v>0</v>
      </c>
      <c r="R954" s="2" t="inlineStr"/>
    </row>
    <row r="955" ht="15" customHeight="1">
      <c r="A955" t="inlineStr">
        <is>
          <t>A 34862-2024</t>
        </is>
      </c>
      <c r="B955" s="1" t="n">
        <v>45527.33951388889</v>
      </c>
      <c r="C955" s="1" t="n">
        <v>46074</v>
      </c>
      <c r="D955" t="inlineStr">
        <is>
          <t>NORRBOTTENS LÄN</t>
        </is>
      </c>
      <c r="E955" t="inlineStr">
        <is>
          <t>PITEÅ</t>
        </is>
      </c>
      <c r="F955" t="inlineStr">
        <is>
          <t>SCA</t>
        </is>
      </c>
      <c r="G955" t="n">
        <v>7.5</v>
      </c>
      <c r="H955" t="n">
        <v>0</v>
      </c>
      <c r="I955" t="n">
        <v>0</v>
      </c>
      <c r="J955" t="n">
        <v>0</v>
      </c>
      <c r="K955" t="n">
        <v>0</v>
      </c>
      <c r="L955" t="n">
        <v>0</v>
      </c>
      <c r="M955" t="n">
        <v>0</v>
      </c>
      <c r="N955" t="n">
        <v>0</v>
      </c>
      <c r="O955" t="n">
        <v>0</v>
      </c>
      <c r="P955" t="n">
        <v>0</v>
      </c>
      <c r="Q955" t="n">
        <v>0</v>
      </c>
      <c r="R955" s="2" t="inlineStr"/>
    </row>
    <row r="956" ht="15" customHeight="1">
      <c r="A956" t="inlineStr">
        <is>
          <t>A 34922-2024</t>
        </is>
      </c>
      <c r="B956" s="1" t="n">
        <v>45527</v>
      </c>
      <c r="C956" s="1" t="n">
        <v>46074</v>
      </c>
      <c r="D956" t="inlineStr">
        <is>
          <t>NORRBOTTENS LÄN</t>
        </is>
      </c>
      <c r="E956" t="inlineStr">
        <is>
          <t>PITEÅ</t>
        </is>
      </c>
      <c r="F956" t="inlineStr">
        <is>
          <t>Sveaskog</t>
        </is>
      </c>
      <c r="G956" t="n">
        <v>18.1</v>
      </c>
      <c r="H956" t="n">
        <v>0</v>
      </c>
      <c r="I956" t="n">
        <v>0</v>
      </c>
      <c r="J956" t="n">
        <v>0</v>
      </c>
      <c r="K956" t="n">
        <v>0</v>
      </c>
      <c r="L956" t="n">
        <v>0</v>
      </c>
      <c r="M956" t="n">
        <v>0</v>
      </c>
      <c r="N956" t="n">
        <v>0</v>
      </c>
      <c r="O956" t="n">
        <v>0</v>
      </c>
      <c r="P956" t="n">
        <v>0</v>
      </c>
      <c r="Q956" t="n">
        <v>0</v>
      </c>
      <c r="R956" s="2" t="inlineStr"/>
    </row>
    <row r="957" ht="15" customHeight="1">
      <c r="A957" t="inlineStr">
        <is>
          <t>A 60571-2023</t>
        </is>
      </c>
      <c r="B957" s="1" t="n">
        <v>45259.92872685185</v>
      </c>
      <c r="C957" s="1" t="n">
        <v>46074</v>
      </c>
      <c r="D957" t="inlineStr">
        <is>
          <t>NORRBOTTENS LÄN</t>
        </is>
      </c>
      <c r="E957" t="inlineStr">
        <is>
          <t>PITEÅ</t>
        </is>
      </c>
      <c r="G957" t="n">
        <v>0.7</v>
      </c>
      <c r="H957" t="n">
        <v>0</v>
      </c>
      <c r="I957" t="n">
        <v>0</v>
      </c>
      <c r="J957" t="n">
        <v>0</v>
      </c>
      <c r="K957" t="n">
        <v>0</v>
      </c>
      <c r="L957" t="n">
        <v>0</v>
      </c>
      <c r="M957" t="n">
        <v>0</v>
      </c>
      <c r="N957" t="n">
        <v>0</v>
      </c>
      <c r="O957" t="n">
        <v>0</v>
      </c>
      <c r="P957" t="n">
        <v>0</v>
      </c>
      <c r="Q957" t="n">
        <v>0</v>
      </c>
      <c r="R957" s="2" t="inlineStr"/>
    </row>
    <row r="958" ht="15" customHeight="1">
      <c r="A958" t="inlineStr">
        <is>
          <t>A 27899-2023</t>
        </is>
      </c>
      <c r="B958" s="1" t="n">
        <v>45098</v>
      </c>
      <c r="C958" s="1" t="n">
        <v>46074</v>
      </c>
      <c r="D958" t="inlineStr">
        <is>
          <t>NORRBOTTENS LÄN</t>
        </is>
      </c>
      <c r="E958" t="inlineStr">
        <is>
          <t>PITEÅ</t>
        </is>
      </c>
      <c r="G958" t="n">
        <v>3.5</v>
      </c>
      <c r="H958" t="n">
        <v>0</v>
      </c>
      <c r="I958" t="n">
        <v>0</v>
      </c>
      <c r="J958" t="n">
        <v>0</v>
      </c>
      <c r="K958" t="n">
        <v>0</v>
      </c>
      <c r="L958" t="n">
        <v>0</v>
      </c>
      <c r="M958" t="n">
        <v>0</v>
      </c>
      <c r="N958" t="n">
        <v>0</v>
      </c>
      <c r="O958" t="n">
        <v>0</v>
      </c>
      <c r="P958" t="n">
        <v>0</v>
      </c>
      <c r="Q958" t="n">
        <v>0</v>
      </c>
      <c r="R958" s="2" t="inlineStr"/>
    </row>
    <row r="959" ht="15" customHeight="1">
      <c r="A959" t="inlineStr">
        <is>
          <t>A 59678-2024</t>
        </is>
      </c>
      <c r="B959" s="1" t="n">
        <v>45639.39559027777</v>
      </c>
      <c r="C959" s="1" t="n">
        <v>46074</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55812-2023</t>
        </is>
      </c>
      <c r="B960" s="1" t="n">
        <v>45239</v>
      </c>
      <c r="C960" s="1" t="n">
        <v>46074</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41157-2024</t>
        </is>
      </c>
      <c r="B961" s="1" t="n">
        <v>45559.4780787037</v>
      </c>
      <c r="C961" s="1" t="n">
        <v>46074</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11018-2024</t>
        </is>
      </c>
      <c r="B962" s="1" t="n">
        <v>45370</v>
      </c>
      <c r="C962" s="1" t="n">
        <v>46074</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588-2025</t>
        </is>
      </c>
      <c r="B963" s="1" t="n">
        <v>45664.58152777778</v>
      </c>
      <c r="C963" s="1" t="n">
        <v>46074</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597-2025</t>
        </is>
      </c>
      <c r="B964" s="1" t="n">
        <v>45664</v>
      </c>
      <c r="C964" s="1" t="n">
        <v>46074</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50977-2024</t>
        </is>
      </c>
      <c r="B965" s="1" t="n">
        <v>45603.35820601852</v>
      </c>
      <c r="C965" s="1" t="n">
        <v>46074</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8198-2025</t>
        </is>
      </c>
      <c r="B966" s="1" t="n">
        <v>45708</v>
      </c>
      <c r="C966" s="1" t="n">
        <v>46074</v>
      </c>
      <c r="D966" t="inlineStr">
        <is>
          <t>NORRBOTTENS LÄN</t>
        </is>
      </c>
      <c r="E966" t="inlineStr">
        <is>
          <t>PITEÅ</t>
        </is>
      </c>
      <c r="G966" t="n">
        <v>0.9</v>
      </c>
      <c r="H966" t="n">
        <v>0</v>
      </c>
      <c r="I966" t="n">
        <v>0</v>
      </c>
      <c r="J966" t="n">
        <v>0</v>
      </c>
      <c r="K966" t="n">
        <v>0</v>
      </c>
      <c r="L966" t="n">
        <v>0</v>
      </c>
      <c r="M966" t="n">
        <v>0</v>
      </c>
      <c r="N966" t="n">
        <v>0</v>
      </c>
      <c r="O966" t="n">
        <v>0</v>
      </c>
      <c r="P966" t="n">
        <v>0</v>
      </c>
      <c r="Q966" t="n">
        <v>0</v>
      </c>
      <c r="R966" s="2" t="inlineStr"/>
    </row>
    <row r="967" ht="15" customHeight="1">
      <c r="A967" t="inlineStr">
        <is>
          <t>A 56073-2022</t>
        </is>
      </c>
      <c r="B967" s="1" t="n">
        <v>44889</v>
      </c>
      <c r="C967" s="1" t="n">
        <v>46074</v>
      </c>
      <c r="D967" t="inlineStr">
        <is>
          <t>NORRBOTTENS LÄN</t>
        </is>
      </c>
      <c r="E967" t="inlineStr">
        <is>
          <t>PITEÅ</t>
        </is>
      </c>
      <c r="F967" t="inlineStr">
        <is>
          <t>Sveaskog</t>
        </is>
      </c>
      <c r="G967" t="n">
        <v>10.4</v>
      </c>
      <c r="H967" t="n">
        <v>0</v>
      </c>
      <c r="I967" t="n">
        <v>0</v>
      </c>
      <c r="J967" t="n">
        <v>0</v>
      </c>
      <c r="K967" t="n">
        <v>0</v>
      </c>
      <c r="L967" t="n">
        <v>0</v>
      </c>
      <c r="M967" t="n">
        <v>0</v>
      </c>
      <c r="N967" t="n">
        <v>0</v>
      </c>
      <c r="O967" t="n">
        <v>0</v>
      </c>
      <c r="P967" t="n">
        <v>0</v>
      </c>
      <c r="Q967" t="n">
        <v>0</v>
      </c>
      <c r="R967" s="2" t="inlineStr"/>
    </row>
    <row r="968" ht="15" customHeight="1">
      <c r="A968" t="inlineStr">
        <is>
          <t>A 33196-2022</t>
        </is>
      </c>
      <c r="B968" s="1" t="n">
        <v>44785</v>
      </c>
      <c r="C968" s="1" t="n">
        <v>46074</v>
      </c>
      <c r="D968" t="inlineStr">
        <is>
          <t>NORRBOTTENS LÄN</t>
        </is>
      </c>
      <c r="E968" t="inlineStr">
        <is>
          <t>PITEÅ</t>
        </is>
      </c>
      <c r="G968" t="n">
        <v>12</v>
      </c>
      <c r="H968" t="n">
        <v>0</v>
      </c>
      <c r="I968" t="n">
        <v>0</v>
      </c>
      <c r="J968" t="n">
        <v>0</v>
      </c>
      <c r="K968" t="n">
        <v>0</v>
      </c>
      <c r="L968" t="n">
        <v>0</v>
      </c>
      <c r="M968" t="n">
        <v>0</v>
      </c>
      <c r="N968" t="n">
        <v>0</v>
      </c>
      <c r="O968" t="n">
        <v>0</v>
      </c>
      <c r="P968" t="n">
        <v>0</v>
      </c>
      <c r="Q968" t="n">
        <v>0</v>
      </c>
      <c r="R968" s="2" t="inlineStr"/>
    </row>
    <row r="969" ht="15" customHeight="1">
      <c r="A969" t="inlineStr">
        <is>
          <t>A 49361-2023</t>
        </is>
      </c>
      <c r="B969" s="1" t="n">
        <v>45211.33572916667</v>
      </c>
      <c r="C969" s="1" t="n">
        <v>46074</v>
      </c>
      <c r="D969" t="inlineStr">
        <is>
          <t>NORRBOTTENS LÄN</t>
        </is>
      </c>
      <c r="E969" t="inlineStr">
        <is>
          <t>PITEÅ</t>
        </is>
      </c>
      <c r="G969" t="n">
        <v>2</v>
      </c>
      <c r="H969" t="n">
        <v>0</v>
      </c>
      <c r="I969" t="n">
        <v>0</v>
      </c>
      <c r="J969" t="n">
        <v>0</v>
      </c>
      <c r="K969" t="n">
        <v>0</v>
      </c>
      <c r="L969" t="n">
        <v>0</v>
      </c>
      <c r="M969" t="n">
        <v>0</v>
      </c>
      <c r="N969" t="n">
        <v>0</v>
      </c>
      <c r="O969" t="n">
        <v>0</v>
      </c>
      <c r="P969" t="n">
        <v>0</v>
      </c>
      <c r="Q969" t="n">
        <v>0</v>
      </c>
      <c r="R969" s="2" t="inlineStr"/>
    </row>
    <row r="970" ht="15" customHeight="1">
      <c r="A970" t="inlineStr">
        <is>
          <t>A 39556-2023</t>
        </is>
      </c>
      <c r="B970" s="1" t="n">
        <v>45167</v>
      </c>
      <c r="C970" s="1" t="n">
        <v>46074</v>
      </c>
      <c r="D970" t="inlineStr">
        <is>
          <t>NORRBOTTENS LÄN</t>
        </is>
      </c>
      <c r="E970" t="inlineStr">
        <is>
          <t>PITEÅ</t>
        </is>
      </c>
      <c r="F970" t="inlineStr">
        <is>
          <t>Sveaskog</t>
        </is>
      </c>
      <c r="G970" t="n">
        <v>9.6</v>
      </c>
      <c r="H970" t="n">
        <v>0</v>
      </c>
      <c r="I970" t="n">
        <v>0</v>
      </c>
      <c r="J970" t="n">
        <v>0</v>
      </c>
      <c r="K970" t="n">
        <v>0</v>
      </c>
      <c r="L970" t="n">
        <v>0</v>
      </c>
      <c r="M970" t="n">
        <v>0</v>
      </c>
      <c r="N970" t="n">
        <v>0</v>
      </c>
      <c r="O970" t="n">
        <v>0</v>
      </c>
      <c r="P970" t="n">
        <v>0</v>
      </c>
      <c r="Q970" t="n">
        <v>0</v>
      </c>
      <c r="R970" s="2" t="inlineStr"/>
    </row>
    <row r="971" ht="15" customHeight="1">
      <c r="A971" t="inlineStr">
        <is>
          <t>A 25989-2023</t>
        </is>
      </c>
      <c r="B971" s="1" t="n">
        <v>45090.92510416666</v>
      </c>
      <c r="C971" s="1" t="n">
        <v>46074</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47198-2024</t>
        </is>
      </c>
      <c r="B972" s="1" t="n">
        <v>45586.63260416667</v>
      </c>
      <c r="C972" s="1" t="n">
        <v>46074</v>
      </c>
      <c r="D972" t="inlineStr">
        <is>
          <t>NORRBOTTENS LÄN</t>
        </is>
      </c>
      <c r="E972" t="inlineStr">
        <is>
          <t>PITEÅ</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18724-2023</t>
        </is>
      </c>
      <c r="B973" s="1" t="n">
        <v>45043.66952546296</v>
      </c>
      <c r="C973" s="1" t="n">
        <v>46074</v>
      </c>
      <c r="D973" t="inlineStr">
        <is>
          <t>NORRBOTTENS LÄN</t>
        </is>
      </c>
      <c r="E973" t="inlineStr">
        <is>
          <t>PITEÅ</t>
        </is>
      </c>
      <c r="G973" t="n">
        <v>3.8</v>
      </c>
      <c r="H973" t="n">
        <v>0</v>
      </c>
      <c r="I973" t="n">
        <v>0</v>
      </c>
      <c r="J973" t="n">
        <v>0</v>
      </c>
      <c r="K973" t="n">
        <v>0</v>
      </c>
      <c r="L973" t="n">
        <v>0</v>
      </c>
      <c r="M973" t="n">
        <v>0</v>
      </c>
      <c r="N973" t="n">
        <v>0</v>
      </c>
      <c r="O973" t="n">
        <v>0</v>
      </c>
      <c r="P973" t="n">
        <v>0</v>
      </c>
      <c r="Q973" t="n">
        <v>0</v>
      </c>
      <c r="R973" s="2" t="inlineStr"/>
    </row>
    <row r="974" ht="15" customHeight="1">
      <c r="A974" t="inlineStr">
        <is>
          <t>A 51705-2024</t>
        </is>
      </c>
      <c r="B974" s="1" t="n">
        <v>45607.3625462963</v>
      </c>
      <c r="C974" s="1" t="n">
        <v>46074</v>
      </c>
      <c r="D974" t="inlineStr">
        <is>
          <t>NORRBOTTENS LÄN</t>
        </is>
      </c>
      <c r="E974" t="inlineStr">
        <is>
          <t>PITEÅ</t>
        </is>
      </c>
      <c r="G974" t="n">
        <v>1.4</v>
      </c>
      <c r="H974" t="n">
        <v>0</v>
      </c>
      <c r="I974" t="n">
        <v>0</v>
      </c>
      <c r="J974" t="n">
        <v>0</v>
      </c>
      <c r="K974" t="n">
        <v>0</v>
      </c>
      <c r="L974" t="n">
        <v>0</v>
      </c>
      <c r="M974" t="n">
        <v>0</v>
      </c>
      <c r="N974" t="n">
        <v>0</v>
      </c>
      <c r="O974" t="n">
        <v>0</v>
      </c>
      <c r="P974" t="n">
        <v>0</v>
      </c>
      <c r="Q974" t="n">
        <v>0</v>
      </c>
      <c r="R974" s="2" t="inlineStr"/>
    </row>
    <row r="975" ht="15" customHeight="1">
      <c r="A975" t="inlineStr">
        <is>
          <t>A 32936-2023</t>
        </is>
      </c>
      <c r="B975" s="1" t="n">
        <v>45125</v>
      </c>
      <c r="C975" s="1" t="n">
        <v>46074</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32939-2023</t>
        </is>
      </c>
      <c r="B976" s="1" t="n">
        <v>45125</v>
      </c>
      <c r="C976" s="1" t="n">
        <v>46074</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4096-2024</t>
        </is>
      </c>
      <c r="B977" s="1" t="n">
        <v>45323</v>
      </c>
      <c r="C977" s="1" t="n">
        <v>46074</v>
      </c>
      <c r="D977" t="inlineStr">
        <is>
          <t>NORRBOTTENS LÄN</t>
        </is>
      </c>
      <c r="E977" t="inlineStr">
        <is>
          <t>PITEÅ</t>
        </is>
      </c>
      <c r="G977" t="n">
        <v>5</v>
      </c>
      <c r="H977" t="n">
        <v>0</v>
      </c>
      <c r="I977" t="n">
        <v>0</v>
      </c>
      <c r="J977" t="n">
        <v>0</v>
      </c>
      <c r="K977" t="n">
        <v>0</v>
      </c>
      <c r="L977" t="n">
        <v>0</v>
      </c>
      <c r="M977" t="n">
        <v>0</v>
      </c>
      <c r="N977" t="n">
        <v>0</v>
      </c>
      <c r="O977" t="n">
        <v>0</v>
      </c>
      <c r="P977" t="n">
        <v>0</v>
      </c>
      <c r="Q977" t="n">
        <v>0</v>
      </c>
      <c r="R977" s="2" t="inlineStr"/>
    </row>
    <row r="978" ht="15" customHeight="1">
      <c r="A978" t="inlineStr">
        <is>
          <t>A 4129-2024</t>
        </is>
      </c>
      <c r="B978" s="1" t="n">
        <v>45323</v>
      </c>
      <c r="C978" s="1" t="n">
        <v>46074</v>
      </c>
      <c r="D978" t="inlineStr">
        <is>
          <t>NORRBOTTENS LÄN</t>
        </is>
      </c>
      <c r="E978" t="inlineStr">
        <is>
          <t>PITEÅ</t>
        </is>
      </c>
      <c r="F978" t="inlineStr">
        <is>
          <t>Sveaskog</t>
        </is>
      </c>
      <c r="G978" t="n">
        <v>37.1</v>
      </c>
      <c r="H978" t="n">
        <v>0</v>
      </c>
      <c r="I978" t="n">
        <v>0</v>
      </c>
      <c r="J978" t="n">
        <v>0</v>
      </c>
      <c r="K978" t="n">
        <v>0</v>
      </c>
      <c r="L978" t="n">
        <v>0</v>
      </c>
      <c r="M978" t="n">
        <v>0</v>
      </c>
      <c r="N978" t="n">
        <v>0</v>
      </c>
      <c r="O978" t="n">
        <v>0</v>
      </c>
      <c r="P978" t="n">
        <v>0</v>
      </c>
      <c r="Q978" t="n">
        <v>0</v>
      </c>
      <c r="R978" s="2" t="inlineStr"/>
    </row>
    <row r="979" ht="15" customHeight="1">
      <c r="A979" t="inlineStr">
        <is>
          <t>A 38969-2024</t>
        </is>
      </c>
      <c r="B979" s="1" t="n">
        <v>45548</v>
      </c>
      <c r="C979" s="1" t="n">
        <v>46074</v>
      </c>
      <c r="D979" t="inlineStr">
        <is>
          <t>NORRBOTTENS LÄN</t>
        </is>
      </c>
      <c r="E979" t="inlineStr">
        <is>
          <t>PITEÅ</t>
        </is>
      </c>
      <c r="G979" t="n">
        <v>3.7</v>
      </c>
      <c r="H979" t="n">
        <v>0</v>
      </c>
      <c r="I979" t="n">
        <v>0</v>
      </c>
      <c r="J979" t="n">
        <v>0</v>
      </c>
      <c r="K979" t="n">
        <v>0</v>
      </c>
      <c r="L979" t="n">
        <v>0</v>
      </c>
      <c r="M979" t="n">
        <v>0</v>
      </c>
      <c r="N979" t="n">
        <v>0</v>
      </c>
      <c r="O979" t="n">
        <v>0</v>
      </c>
      <c r="P979" t="n">
        <v>0</v>
      </c>
      <c r="Q979" t="n">
        <v>0</v>
      </c>
      <c r="R979" s="2" t="inlineStr"/>
    </row>
    <row r="980" ht="15" customHeight="1">
      <c r="A980" t="inlineStr">
        <is>
          <t>A 55845-2022</t>
        </is>
      </c>
      <c r="B980" s="1" t="n">
        <v>44888</v>
      </c>
      <c r="C980" s="1" t="n">
        <v>46074</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28713-2024</t>
        </is>
      </c>
      <c r="B981" s="1" t="n">
        <v>45478.53486111111</v>
      </c>
      <c r="C981" s="1" t="n">
        <v>46074</v>
      </c>
      <c r="D981" t="inlineStr">
        <is>
          <t>NORRBOTTENS LÄN</t>
        </is>
      </c>
      <c r="E981" t="inlineStr">
        <is>
          <t>PITEÅ</t>
        </is>
      </c>
      <c r="G981" t="n">
        <v>1</v>
      </c>
      <c r="H981" t="n">
        <v>0</v>
      </c>
      <c r="I981" t="n">
        <v>0</v>
      </c>
      <c r="J981" t="n">
        <v>0</v>
      </c>
      <c r="K981" t="n">
        <v>0</v>
      </c>
      <c r="L981" t="n">
        <v>0</v>
      </c>
      <c r="M981" t="n">
        <v>0</v>
      </c>
      <c r="N981" t="n">
        <v>0</v>
      </c>
      <c r="O981" t="n">
        <v>0</v>
      </c>
      <c r="P981" t="n">
        <v>0</v>
      </c>
      <c r="Q981" t="n">
        <v>0</v>
      </c>
      <c r="R981" s="2" t="inlineStr"/>
    </row>
    <row r="982" ht="15" customHeight="1">
      <c r="A982" t="inlineStr">
        <is>
          <t>A 28720-2024</t>
        </is>
      </c>
      <c r="B982" s="1" t="n">
        <v>45478.54910879629</v>
      </c>
      <c r="C982" s="1" t="n">
        <v>46074</v>
      </c>
      <c r="D982" t="inlineStr">
        <is>
          <t>NORRBOTTENS LÄN</t>
        </is>
      </c>
      <c r="E982" t="inlineStr">
        <is>
          <t>PITEÅ</t>
        </is>
      </c>
      <c r="G982" t="n">
        <v>15</v>
      </c>
      <c r="H982" t="n">
        <v>0</v>
      </c>
      <c r="I982" t="n">
        <v>0</v>
      </c>
      <c r="J982" t="n">
        <v>0</v>
      </c>
      <c r="K982" t="n">
        <v>0</v>
      </c>
      <c r="L982" t="n">
        <v>0</v>
      </c>
      <c r="M982" t="n">
        <v>0</v>
      </c>
      <c r="N982" t="n">
        <v>0</v>
      </c>
      <c r="O982" t="n">
        <v>0</v>
      </c>
      <c r="P982" t="n">
        <v>0</v>
      </c>
      <c r="Q982" t="n">
        <v>0</v>
      </c>
      <c r="R982" s="2" t="inlineStr"/>
    </row>
    <row r="983" ht="15" customHeight="1">
      <c r="A983" t="inlineStr">
        <is>
          <t>A 10353-2022</t>
        </is>
      </c>
      <c r="B983" s="1" t="n">
        <v>44622</v>
      </c>
      <c r="C983" s="1" t="n">
        <v>46074</v>
      </c>
      <c r="D983" t="inlineStr">
        <is>
          <t>NORRBOTTENS LÄN</t>
        </is>
      </c>
      <c r="E983" t="inlineStr">
        <is>
          <t>PITEÅ</t>
        </is>
      </c>
      <c r="G983" t="n">
        <v>5.5</v>
      </c>
      <c r="H983" t="n">
        <v>0</v>
      </c>
      <c r="I983" t="n">
        <v>0</v>
      </c>
      <c r="J983" t="n">
        <v>0</v>
      </c>
      <c r="K983" t="n">
        <v>0</v>
      </c>
      <c r="L983" t="n">
        <v>0</v>
      </c>
      <c r="M983" t="n">
        <v>0</v>
      </c>
      <c r="N983" t="n">
        <v>0</v>
      </c>
      <c r="O983" t="n">
        <v>0</v>
      </c>
      <c r="P983" t="n">
        <v>0</v>
      </c>
      <c r="Q983" t="n">
        <v>0</v>
      </c>
      <c r="R983" s="2" t="inlineStr"/>
    </row>
    <row r="984" ht="15" customHeight="1">
      <c r="A984" t="inlineStr">
        <is>
          <t>A 40729-2024</t>
        </is>
      </c>
      <c r="B984" s="1" t="n">
        <v>45558</v>
      </c>
      <c r="C984" s="1" t="n">
        <v>46074</v>
      </c>
      <c r="D984" t="inlineStr">
        <is>
          <t>NORRBOTTENS LÄN</t>
        </is>
      </c>
      <c r="E984" t="inlineStr">
        <is>
          <t>PITEÅ</t>
        </is>
      </c>
      <c r="G984" t="n">
        <v>4.8</v>
      </c>
      <c r="H984" t="n">
        <v>0</v>
      </c>
      <c r="I984" t="n">
        <v>0</v>
      </c>
      <c r="J984" t="n">
        <v>0</v>
      </c>
      <c r="K984" t="n">
        <v>0</v>
      </c>
      <c r="L984" t="n">
        <v>0</v>
      </c>
      <c r="M984" t="n">
        <v>0</v>
      </c>
      <c r="N984" t="n">
        <v>0</v>
      </c>
      <c r="O984" t="n">
        <v>0</v>
      </c>
      <c r="P984" t="n">
        <v>0</v>
      </c>
      <c r="Q984" t="n">
        <v>0</v>
      </c>
      <c r="R984" s="2" t="inlineStr"/>
    </row>
    <row r="985" ht="15" customHeight="1">
      <c r="A985" t="inlineStr">
        <is>
          <t>A 42645-2024</t>
        </is>
      </c>
      <c r="B985" s="1" t="n">
        <v>45566.29878472222</v>
      </c>
      <c r="C985" s="1" t="n">
        <v>46074</v>
      </c>
      <c r="D985" t="inlineStr">
        <is>
          <t>NORRBOTTENS LÄN</t>
        </is>
      </c>
      <c r="E985" t="inlineStr">
        <is>
          <t>PITEÅ</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2392-2023</t>
        </is>
      </c>
      <c r="B986" s="1" t="n">
        <v>44942</v>
      </c>
      <c r="C986" s="1" t="n">
        <v>46074</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18057-2024</t>
        </is>
      </c>
      <c r="B987" s="1" t="n">
        <v>45420</v>
      </c>
      <c r="C987" s="1" t="n">
        <v>46074</v>
      </c>
      <c r="D987" t="inlineStr">
        <is>
          <t>NORRBOTTENS LÄN</t>
        </is>
      </c>
      <c r="E987" t="inlineStr">
        <is>
          <t>PITEÅ</t>
        </is>
      </c>
      <c r="G987" t="n">
        <v>1.2</v>
      </c>
      <c r="H987" t="n">
        <v>0</v>
      </c>
      <c r="I987" t="n">
        <v>0</v>
      </c>
      <c r="J987" t="n">
        <v>0</v>
      </c>
      <c r="K987" t="n">
        <v>0</v>
      </c>
      <c r="L987" t="n">
        <v>0</v>
      </c>
      <c r="M987" t="n">
        <v>0</v>
      </c>
      <c r="N987" t="n">
        <v>0</v>
      </c>
      <c r="O987" t="n">
        <v>0</v>
      </c>
      <c r="P987" t="n">
        <v>0</v>
      </c>
      <c r="Q987" t="n">
        <v>0</v>
      </c>
      <c r="R987" s="2" t="inlineStr"/>
    </row>
    <row r="988" ht="15" customHeight="1">
      <c r="A988" t="inlineStr">
        <is>
          <t>A 52908-2024</t>
        </is>
      </c>
      <c r="B988" s="1" t="n">
        <v>45610</v>
      </c>
      <c r="C988" s="1" t="n">
        <v>46074</v>
      </c>
      <c r="D988" t="inlineStr">
        <is>
          <t>NORRBOTTENS LÄN</t>
        </is>
      </c>
      <c r="E988" t="inlineStr">
        <is>
          <t>PITEÅ</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34628-2023</t>
        </is>
      </c>
      <c r="B989" s="1" t="n">
        <v>45140</v>
      </c>
      <c r="C989" s="1" t="n">
        <v>46074</v>
      </c>
      <c r="D989" t="inlineStr">
        <is>
          <t>NORRBOTTENS LÄN</t>
        </is>
      </c>
      <c r="E989" t="inlineStr">
        <is>
          <t>PITEÅ</t>
        </is>
      </c>
      <c r="F989" t="inlineStr">
        <is>
          <t>Sveaskog</t>
        </is>
      </c>
      <c r="G989" t="n">
        <v>4.9</v>
      </c>
      <c r="H989" t="n">
        <v>0</v>
      </c>
      <c r="I989" t="n">
        <v>0</v>
      </c>
      <c r="J989" t="n">
        <v>0</v>
      </c>
      <c r="K989" t="n">
        <v>0</v>
      </c>
      <c r="L989" t="n">
        <v>0</v>
      </c>
      <c r="M989" t="n">
        <v>0</v>
      </c>
      <c r="N989" t="n">
        <v>0</v>
      </c>
      <c r="O989" t="n">
        <v>0</v>
      </c>
      <c r="P989" t="n">
        <v>0</v>
      </c>
      <c r="Q989" t="n">
        <v>0</v>
      </c>
      <c r="R989" s="2" t="inlineStr"/>
    </row>
    <row r="990" ht="15" customHeight="1">
      <c r="A990" t="inlineStr">
        <is>
          <t>A 50978-2023</t>
        </is>
      </c>
      <c r="B990" s="1" t="n">
        <v>45218.52489583333</v>
      </c>
      <c r="C990" s="1" t="n">
        <v>46074</v>
      </c>
      <c r="D990" t="inlineStr">
        <is>
          <t>NORRBOTTENS LÄN</t>
        </is>
      </c>
      <c r="E990" t="inlineStr">
        <is>
          <t>PITEÅ</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56707-2024</t>
        </is>
      </c>
      <c r="B991" s="1" t="n">
        <v>45627.84545138889</v>
      </c>
      <c r="C991" s="1" t="n">
        <v>46074</v>
      </c>
      <c r="D991" t="inlineStr">
        <is>
          <t>NORRBOTTENS LÄN</t>
        </is>
      </c>
      <c r="E991" t="inlineStr">
        <is>
          <t>PITEÅ</t>
        </is>
      </c>
      <c r="G991" t="n">
        <v>0.8</v>
      </c>
      <c r="H991" t="n">
        <v>0</v>
      </c>
      <c r="I991" t="n">
        <v>0</v>
      </c>
      <c r="J991" t="n">
        <v>0</v>
      </c>
      <c r="K991" t="n">
        <v>0</v>
      </c>
      <c r="L991" t="n">
        <v>0</v>
      </c>
      <c r="M991" t="n">
        <v>0</v>
      </c>
      <c r="N991" t="n">
        <v>0</v>
      </c>
      <c r="O991" t="n">
        <v>0</v>
      </c>
      <c r="P991" t="n">
        <v>0</v>
      </c>
      <c r="Q991" t="n">
        <v>0</v>
      </c>
      <c r="R991" s="2" t="inlineStr"/>
    </row>
    <row r="992" ht="15" customHeight="1">
      <c r="A992" t="inlineStr">
        <is>
          <t>A 15199-2022</t>
        </is>
      </c>
      <c r="B992" s="1" t="n">
        <v>44658</v>
      </c>
      <c r="C992" s="1" t="n">
        <v>46074</v>
      </c>
      <c r="D992" t="inlineStr">
        <is>
          <t>NORRBOTTENS LÄN</t>
        </is>
      </c>
      <c r="E992" t="inlineStr">
        <is>
          <t>PITEÅ</t>
        </is>
      </c>
      <c r="G992" t="n">
        <v>3.5</v>
      </c>
      <c r="H992" t="n">
        <v>0</v>
      </c>
      <c r="I992" t="n">
        <v>0</v>
      </c>
      <c r="J992" t="n">
        <v>0</v>
      </c>
      <c r="K992" t="n">
        <v>0</v>
      </c>
      <c r="L992" t="n">
        <v>0</v>
      </c>
      <c r="M992" t="n">
        <v>0</v>
      </c>
      <c r="N992" t="n">
        <v>0</v>
      </c>
      <c r="O992" t="n">
        <v>0</v>
      </c>
      <c r="P992" t="n">
        <v>0</v>
      </c>
      <c r="Q992" t="n">
        <v>0</v>
      </c>
      <c r="R992" s="2" t="inlineStr"/>
    </row>
    <row r="993" ht="15" customHeight="1">
      <c r="A993" t="inlineStr">
        <is>
          <t>A 41760-2023</t>
        </is>
      </c>
      <c r="B993" s="1" t="n">
        <v>45176</v>
      </c>
      <c r="C993" s="1" t="n">
        <v>46074</v>
      </c>
      <c r="D993" t="inlineStr">
        <is>
          <t>NORRBOTTENS LÄN</t>
        </is>
      </c>
      <c r="E993" t="inlineStr">
        <is>
          <t>PITEÅ</t>
        </is>
      </c>
      <c r="G993" t="n">
        <v>5.5</v>
      </c>
      <c r="H993" t="n">
        <v>0</v>
      </c>
      <c r="I993" t="n">
        <v>0</v>
      </c>
      <c r="J993" t="n">
        <v>0</v>
      </c>
      <c r="K993" t="n">
        <v>0</v>
      </c>
      <c r="L993" t="n">
        <v>0</v>
      </c>
      <c r="M993" t="n">
        <v>0</v>
      </c>
      <c r="N993" t="n">
        <v>0</v>
      </c>
      <c r="O993" t="n">
        <v>0</v>
      </c>
      <c r="P993" t="n">
        <v>0</v>
      </c>
      <c r="Q993" t="n">
        <v>0</v>
      </c>
      <c r="R993" s="2" t="inlineStr"/>
    </row>
    <row r="994" ht="15" customHeight="1">
      <c r="A994" t="inlineStr">
        <is>
          <t>A 63224-2023</t>
        </is>
      </c>
      <c r="B994" s="1" t="n">
        <v>45273</v>
      </c>
      <c r="C994" s="1" t="n">
        <v>46074</v>
      </c>
      <c r="D994" t="inlineStr">
        <is>
          <t>NORRBOTTENS LÄN</t>
        </is>
      </c>
      <c r="E994" t="inlineStr">
        <is>
          <t>PITEÅ</t>
        </is>
      </c>
      <c r="G994" t="n">
        <v>3.8</v>
      </c>
      <c r="H994" t="n">
        <v>0</v>
      </c>
      <c r="I994" t="n">
        <v>0</v>
      </c>
      <c r="J994" t="n">
        <v>0</v>
      </c>
      <c r="K994" t="n">
        <v>0</v>
      </c>
      <c r="L994" t="n">
        <v>0</v>
      </c>
      <c r="M994" t="n">
        <v>0</v>
      </c>
      <c r="N994" t="n">
        <v>0</v>
      </c>
      <c r="O994" t="n">
        <v>0</v>
      </c>
      <c r="P994" t="n">
        <v>0</v>
      </c>
      <c r="Q994" t="n">
        <v>0</v>
      </c>
      <c r="R994" s="2" t="inlineStr"/>
    </row>
    <row r="995" ht="15" customHeight="1">
      <c r="A995" t="inlineStr">
        <is>
          <t>A 52411-2022</t>
        </is>
      </c>
      <c r="B995" s="1" t="n">
        <v>44874</v>
      </c>
      <c r="C995" s="1" t="n">
        <v>46074</v>
      </c>
      <c r="D995" t="inlineStr">
        <is>
          <t>NORRBOTTENS LÄN</t>
        </is>
      </c>
      <c r="E995" t="inlineStr">
        <is>
          <t>PITEÅ</t>
        </is>
      </c>
      <c r="F995" t="inlineStr">
        <is>
          <t>Sveaskog</t>
        </is>
      </c>
      <c r="G995" t="n">
        <v>4.2</v>
      </c>
      <c r="H995" t="n">
        <v>0</v>
      </c>
      <c r="I995" t="n">
        <v>0</v>
      </c>
      <c r="J995" t="n">
        <v>0</v>
      </c>
      <c r="K995" t="n">
        <v>0</v>
      </c>
      <c r="L995" t="n">
        <v>0</v>
      </c>
      <c r="M995" t="n">
        <v>0</v>
      </c>
      <c r="N995" t="n">
        <v>0</v>
      </c>
      <c r="O995" t="n">
        <v>0</v>
      </c>
      <c r="P995" t="n">
        <v>0</v>
      </c>
      <c r="Q995" t="n">
        <v>0</v>
      </c>
      <c r="R995" s="2" t="inlineStr"/>
    </row>
    <row r="996" ht="15" customHeight="1">
      <c r="A996" t="inlineStr">
        <is>
          <t>A 55631-2023</t>
        </is>
      </c>
      <c r="B996" s="1" t="n">
        <v>45238.92677083334</v>
      </c>
      <c r="C996" s="1" t="n">
        <v>46074</v>
      </c>
      <c r="D996" t="inlineStr">
        <is>
          <t>NORRBOTTENS LÄN</t>
        </is>
      </c>
      <c r="E996" t="inlineStr">
        <is>
          <t>PITEÅ</t>
        </is>
      </c>
      <c r="G996" t="n">
        <v>1.6</v>
      </c>
      <c r="H996" t="n">
        <v>0</v>
      </c>
      <c r="I996" t="n">
        <v>0</v>
      </c>
      <c r="J996" t="n">
        <v>0</v>
      </c>
      <c r="K996" t="n">
        <v>0</v>
      </c>
      <c r="L996" t="n">
        <v>0</v>
      </c>
      <c r="M996" t="n">
        <v>0</v>
      </c>
      <c r="N996" t="n">
        <v>0</v>
      </c>
      <c r="O996" t="n">
        <v>0</v>
      </c>
      <c r="P996" t="n">
        <v>0</v>
      </c>
      <c r="Q996" t="n">
        <v>0</v>
      </c>
      <c r="R996" s="2" t="inlineStr"/>
    </row>
    <row r="997" ht="15" customHeight="1">
      <c r="A997" t="inlineStr">
        <is>
          <t>A 8267-2023</t>
        </is>
      </c>
      <c r="B997" s="1" t="n">
        <v>44971</v>
      </c>
      <c r="C997" s="1" t="n">
        <v>46074</v>
      </c>
      <c r="D997" t="inlineStr">
        <is>
          <t>NORRBOTTENS LÄN</t>
        </is>
      </c>
      <c r="E997" t="inlineStr">
        <is>
          <t>PITEÅ</t>
        </is>
      </c>
      <c r="G997" t="n">
        <v>0.7</v>
      </c>
      <c r="H997" t="n">
        <v>0</v>
      </c>
      <c r="I997" t="n">
        <v>0</v>
      </c>
      <c r="J997" t="n">
        <v>0</v>
      </c>
      <c r="K997" t="n">
        <v>0</v>
      </c>
      <c r="L997" t="n">
        <v>0</v>
      </c>
      <c r="M997" t="n">
        <v>0</v>
      </c>
      <c r="N997" t="n">
        <v>0</v>
      </c>
      <c r="O997" t="n">
        <v>0</v>
      </c>
      <c r="P997" t="n">
        <v>0</v>
      </c>
      <c r="Q997" t="n">
        <v>0</v>
      </c>
      <c r="R997" s="2" t="inlineStr"/>
    </row>
    <row r="998" ht="15" customHeight="1">
      <c r="A998" t="inlineStr">
        <is>
          <t>A 21851-2022</t>
        </is>
      </c>
      <c r="B998" s="1" t="n">
        <v>44708</v>
      </c>
      <c r="C998" s="1" t="n">
        <v>46074</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49520-2024</t>
        </is>
      </c>
      <c r="B999" s="1" t="n">
        <v>45596</v>
      </c>
      <c r="C999" s="1" t="n">
        <v>46074</v>
      </c>
      <c r="D999" t="inlineStr">
        <is>
          <t>NORRBOTTENS LÄN</t>
        </is>
      </c>
      <c r="E999" t="inlineStr">
        <is>
          <t>PITEÅ</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32466-2024</t>
        </is>
      </c>
      <c r="B1000" s="1" t="n">
        <v>45512.96141203704</v>
      </c>
      <c r="C1000" s="1" t="n">
        <v>46074</v>
      </c>
      <c r="D1000" t="inlineStr">
        <is>
          <t>NORRBOTTENS LÄN</t>
        </is>
      </c>
      <c r="E1000" t="inlineStr">
        <is>
          <t>PITEÅ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47564-2021</t>
        </is>
      </c>
      <c r="B1001" s="1" t="n">
        <v>44447</v>
      </c>
      <c r="C1001" s="1" t="n">
        <v>46074</v>
      </c>
      <c r="D1001" t="inlineStr">
        <is>
          <t>NORRBOTTENS LÄN</t>
        </is>
      </c>
      <c r="E1001" t="inlineStr">
        <is>
          <t>PITEÅ</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44120-2024</t>
        </is>
      </c>
      <c r="B1002" s="1" t="n">
        <v>45572.63810185185</v>
      </c>
      <c r="C1002" s="1" t="n">
        <v>46074</v>
      </c>
      <c r="D1002" t="inlineStr">
        <is>
          <t>NORRBOTTENS LÄN</t>
        </is>
      </c>
      <c r="E1002" t="inlineStr">
        <is>
          <t>PITEÅ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54526-2024</t>
        </is>
      </c>
      <c r="B1003" s="1" t="n">
        <v>45617.60194444445</v>
      </c>
      <c r="C1003" s="1" t="n">
        <v>46074</v>
      </c>
      <c r="D1003" t="inlineStr">
        <is>
          <t>NORRBOTTENS LÄN</t>
        </is>
      </c>
      <c r="E1003" t="inlineStr">
        <is>
          <t>PITEÅ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59516-2022</t>
        </is>
      </c>
      <c r="B1004" s="1" t="n">
        <v>44907.52800925926</v>
      </c>
      <c r="C1004" s="1" t="n">
        <v>46074</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54859-2023</t>
        </is>
      </c>
      <c r="B1005" s="1" t="n">
        <v>45229</v>
      </c>
      <c r="C1005" s="1" t="n">
        <v>46074</v>
      </c>
      <c r="D1005" t="inlineStr">
        <is>
          <t>NORRBOTTENS LÄN</t>
        </is>
      </c>
      <c r="E1005" t="inlineStr">
        <is>
          <t>PITEÅ</t>
        </is>
      </c>
      <c r="F1005" t="inlineStr">
        <is>
          <t>Kommuner</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26119-2023</t>
        </is>
      </c>
      <c r="B1006" s="1" t="n">
        <v>45091.44225694444</v>
      </c>
      <c r="C1006" s="1" t="n">
        <v>46074</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63221-2023</t>
        </is>
      </c>
      <c r="B1007" s="1" t="n">
        <v>45273.63354166667</v>
      </c>
      <c r="C1007" s="1" t="n">
        <v>46074</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54210-2023</t>
        </is>
      </c>
      <c r="B1008" s="1" t="n">
        <v>45232.56853009259</v>
      </c>
      <c r="C1008" s="1" t="n">
        <v>46074</v>
      </c>
      <c r="D1008" t="inlineStr">
        <is>
          <t>NORRBOTTENS LÄN</t>
        </is>
      </c>
      <c r="E1008" t="inlineStr">
        <is>
          <t>PITEÅ</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5502-2024</t>
        </is>
      </c>
      <c r="B1009" s="1" t="n">
        <v>45331</v>
      </c>
      <c r="C1009" s="1" t="n">
        <v>46074</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14558-2025</t>
        </is>
      </c>
      <c r="B1010" s="1" t="n">
        <v>45741.75050925926</v>
      </c>
      <c r="C1010" s="1" t="n">
        <v>46074</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14559-2025</t>
        </is>
      </c>
      <c r="B1011" s="1" t="n">
        <v>45741.76587962963</v>
      </c>
      <c r="C1011" s="1" t="n">
        <v>46074</v>
      </c>
      <c r="D1011" t="inlineStr">
        <is>
          <t>NORRBOTTENS LÄN</t>
        </is>
      </c>
      <c r="E1011" t="inlineStr">
        <is>
          <t>PITEÅ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2452-2024</t>
        </is>
      </c>
      <c r="B1012" s="1" t="n">
        <v>45312</v>
      </c>
      <c r="C1012" s="1" t="n">
        <v>46074</v>
      </c>
      <c r="D1012" t="inlineStr">
        <is>
          <t>NORRBOTTENS LÄN</t>
        </is>
      </c>
      <c r="E1012" t="inlineStr">
        <is>
          <t>PITEÅ</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3220-2024</t>
        </is>
      </c>
      <c r="B1013" s="1" t="n">
        <v>45316</v>
      </c>
      <c r="C1013" s="1" t="n">
        <v>46074</v>
      </c>
      <c r="D1013" t="inlineStr">
        <is>
          <t>NORRBOTTENS LÄN</t>
        </is>
      </c>
      <c r="E1013" t="inlineStr">
        <is>
          <t>PITEÅ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57897-2023</t>
        </is>
      </c>
      <c r="B1014" s="1" t="n">
        <v>45244</v>
      </c>
      <c r="C1014" s="1" t="n">
        <v>46074</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20448-2023</t>
        </is>
      </c>
      <c r="B1015" s="1" t="n">
        <v>45056.93006944445</v>
      </c>
      <c r="C1015" s="1" t="n">
        <v>46074</v>
      </c>
      <c r="D1015" t="inlineStr">
        <is>
          <t>NORRBOTTENS LÄN</t>
        </is>
      </c>
      <c r="E1015" t="inlineStr">
        <is>
          <t>PITEÅ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20449-2023</t>
        </is>
      </c>
      <c r="B1016" s="1" t="n">
        <v>45056</v>
      </c>
      <c r="C1016" s="1" t="n">
        <v>46074</v>
      </c>
      <c r="D1016" t="inlineStr">
        <is>
          <t>NORRBOTTENS LÄN</t>
        </is>
      </c>
      <c r="E1016" t="inlineStr">
        <is>
          <t>PITEÅ</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38751-2022</t>
        </is>
      </c>
      <c r="B1017" s="1" t="n">
        <v>44813</v>
      </c>
      <c r="C1017" s="1" t="n">
        <v>46074</v>
      </c>
      <c r="D1017" t="inlineStr">
        <is>
          <t>NORRBOTTENS LÄN</t>
        </is>
      </c>
      <c r="E1017" t="inlineStr">
        <is>
          <t>PITEÅ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34354-2024</t>
        </is>
      </c>
      <c r="B1018" s="1" t="n">
        <v>45525</v>
      </c>
      <c r="C1018" s="1" t="n">
        <v>46074</v>
      </c>
      <c r="D1018" t="inlineStr">
        <is>
          <t>NORRBOTTENS LÄN</t>
        </is>
      </c>
      <c r="E1018" t="inlineStr">
        <is>
          <t>PITEÅ</t>
        </is>
      </c>
      <c r="F1018" t="inlineStr">
        <is>
          <t>Sveaskog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58537-2023</t>
        </is>
      </c>
      <c r="B1019" s="1" t="n">
        <v>45251</v>
      </c>
      <c r="C1019" s="1" t="n">
        <v>46074</v>
      </c>
      <c r="D1019" t="inlineStr">
        <is>
          <t>NORRBOTTENS LÄN</t>
        </is>
      </c>
      <c r="E1019" t="inlineStr">
        <is>
          <t>PITEÅ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8226-2025</t>
        </is>
      </c>
      <c r="B1020" s="1" t="n">
        <v>45708.46348379629</v>
      </c>
      <c r="C1020" s="1" t="n">
        <v>46074</v>
      </c>
      <c r="D1020" t="inlineStr">
        <is>
          <t>NORRBOTTENS LÄN</t>
        </is>
      </c>
      <c r="E1020" t="inlineStr">
        <is>
          <t>PITEÅ</t>
        </is>
      </c>
      <c r="G1020" t="n">
        <v>11.9</v>
      </c>
      <c r="H1020" t="n">
        <v>0</v>
      </c>
      <c r="I1020" t="n">
        <v>0</v>
      </c>
      <c r="J1020" t="n">
        <v>0</v>
      </c>
      <c r="K1020" t="n">
        <v>0</v>
      </c>
      <c r="L1020" t="n">
        <v>0</v>
      </c>
      <c r="M1020" t="n">
        <v>0</v>
      </c>
      <c r="N1020" t="n">
        <v>0</v>
      </c>
      <c r="O1020" t="n">
        <v>0</v>
      </c>
      <c r="P1020" t="n">
        <v>0</v>
      </c>
      <c r="Q1020" t="n">
        <v>0</v>
      </c>
      <c r="R1020" s="2" t="inlineStr"/>
    </row>
    <row r="1021" ht="15" customHeight="1">
      <c r="A1021" t="inlineStr">
        <is>
          <t>A 59505-2023</t>
        </is>
      </c>
      <c r="B1021" s="1" t="n">
        <v>45254</v>
      </c>
      <c r="C1021" s="1" t="n">
        <v>46074</v>
      </c>
      <c r="D1021" t="inlineStr">
        <is>
          <t>NORRBOTTENS LÄN</t>
        </is>
      </c>
      <c r="E1021" t="inlineStr">
        <is>
          <t>PITEÅ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42590-2024</t>
        </is>
      </c>
      <c r="B1022" s="1" t="n">
        <v>45565.67741898148</v>
      </c>
      <c r="C1022" s="1" t="n">
        <v>46074</v>
      </c>
      <c r="D1022" t="inlineStr">
        <is>
          <t>NORRBOTTENS LÄN</t>
        </is>
      </c>
      <c r="E1022" t="inlineStr">
        <is>
          <t>PITEÅ</t>
        </is>
      </c>
      <c r="F1022" t="inlineStr">
        <is>
          <t>Sveaskog</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50015-2021</t>
        </is>
      </c>
      <c r="B1023" s="1" t="n">
        <v>44454</v>
      </c>
      <c r="C1023" s="1" t="n">
        <v>46074</v>
      </c>
      <c r="D1023" t="inlineStr">
        <is>
          <t>NORRBOTTENS LÄN</t>
        </is>
      </c>
      <c r="E1023" t="inlineStr">
        <is>
          <t>PITEÅ</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61462-2024</t>
        </is>
      </c>
      <c r="B1024" s="1" t="n">
        <v>45646.50115740741</v>
      </c>
      <c r="C1024" s="1" t="n">
        <v>46074</v>
      </c>
      <c r="D1024" t="inlineStr">
        <is>
          <t>NORRBOTTENS LÄN</t>
        </is>
      </c>
      <c r="E1024" t="inlineStr">
        <is>
          <t>PITEÅ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7553-2023</t>
        </is>
      </c>
      <c r="B1025" s="1" t="n">
        <v>44972.32969907407</v>
      </c>
      <c r="C1025" s="1" t="n">
        <v>46074</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4673-2025</t>
        </is>
      </c>
      <c r="B1026" s="1" t="n">
        <v>45687</v>
      </c>
      <c r="C1026" s="1" t="n">
        <v>46074</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4675-2025</t>
        </is>
      </c>
      <c r="B1027" s="1" t="n">
        <v>45687.82303240741</v>
      </c>
      <c r="C1027" s="1" t="n">
        <v>46074</v>
      </c>
      <c r="D1027" t="inlineStr">
        <is>
          <t>NORRBOTTENS LÄN</t>
        </is>
      </c>
      <c r="E1027" t="inlineStr">
        <is>
          <t>PITEÅ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16906-2025</t>
        </is>
      </c>
      <c r="B1028" s="1" t="n">
        <v>45755.34925925926</v>
      </c>
      <c r="C1028" s="1" t="n">
        <v>46074</v>
      </c>
      <c r="D1028" t="inlineStr">
        <is>
          <t>NORRBOTTENS LÄN</t>
        </is>
      </c>
      <c r="E1028" t="inlineStr">
        <is>
          <t>PITEÅ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32924-2021</t>
        </is>
      </c>
      <c r="B1029" s="1" t="n">
        <v>44375.93804398148</v>
      </c>
      <c r="C1029" s="1" t="n">
        <v>46074</v>
      </c>
      <c r="D1029" t="inlineStr">
        <is>
          <t>NORRBOTTENS LÄN</t>
        </is>
      </c>
      <c r="E1029" t="inlineStr">
        <is>
          <t>PITEÅ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33539-2021</t>
        </is>
      </c>
      <c r="B1030" s="1" t="n">
        <v>44377.92153935185</v>
      </c>
      <c r="C1030" s="1" t="n">
        <v>46074</v>
      </c>
      <c r="D1030" t="inlineStr">
        <is>
          <t>NORRBOTTENS LÄN</t>
        </is>
      </c>
      <c r="E1030" t="inlineStr">
        <is>
          <t>PITEÅ</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33207-2024</t>
        </is>
      </c>
      <c r="B1031" s="1" t="n">
        <v>45518</v>
      </c>
      <c r="C1031" s="1" t="n">
        <v>46074</v>
      </c>
      <c r="D1031" t="inlineStr">
        <is>
          <t>NORRBOTTENS LÄN</t>
        </is>
      </c>
      <c r="E1031" t="inlineStr">
        <is>
          <t>PITEÅ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39399-2022</t>
        </is>
      </c>
      <c r="B1032" s="1" t="n">
        <v>44817.94883101852</v>
      </c>
      <c r="C1032" s="1" t="n">
        <v>46074</v>
      </c>
      <c r="D1032" t="inlineStr">
        <is>
          <t>NORRBOTTENS LÄN</t>
        </is>
      </c>
      <c r="E1032" t="inlineStr">
        <is>
          <t>PITEÅ</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34617-2023</t>
        </is>
      </c>
      <c r="B1033" s="1" t="n">
        <v>45138</v>
      </c>
      <c r="C1033" s="1" t="n">
        <v>46074</v>
      </c>
      <c r="D1033" t="inlineStr">
        <is>
          <t>NORRBOTTENS LÄN</t>
        </is>
      </c>
      <c r="E1033" t="inlineStr">
        <is>
          <t>PITEÅ</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16233-2023</t>
        </is>
      </c>
      <c r="B1034" s="1" t="n">
        <v>45028</v>
      </c>
      <c r="C1034" s="1" t="n">
        <v>46074</v>
      </c>
      <c r="D1034" t="inlineStr">
        <is>
          <t>NORRBOTTENS LÄN</t>
        </is>
      </c>
      <c r="E1034" t="inlineStr">
        <is>
          <t>PITEÅ</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41982-2023</t>
        </is>
      </c>
      <c r="B1035" s="1" t="n">
        <v>45177.40446759259</v>
      </c>
      <c r="C1035" s="1" t="n">
        <v>46074</v>
      </c>
      <c r="D1035" t="inlineStr">
        <is>
          <t>NORRBOTTENS LÄN</t>
        </is>
      </c>
      <c r="E1035" t="inlineStr">
        <is>
          <t>PITEÅ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20649-2025</t>
        </is>
      </c>
      <c r="B1036" s="1" t="n">
        <v>45776.3900462963</v>
      </c>
      <c r="C1036" s="1" t="n">
        <v>46074</v>
      </c>
      <c r="D1036" t="inlineStr">
        <is>
          <t>NORRBOTTENS LÄN</t>
        </is>
      </c>
      <c r="E1036" t="inlineStr">
        <is>
          <t>PITEÅ</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20668-2025</t>
        </is>
      </c>
      <c r="B1037" s="1" t="n">
        <v>45776.43038194445</v>
      </c>
      <c r="C1037" s="1" t="n">
        <v>46074</v>
      </c>
      <c r="D1037" t="inlineStr">
        <is>
          <t>NORRBOTTENS LÄN</t>
        </is>
      </c>
      <c r="E1037" t="inlineStr">
        <is>
          <t>PITEÅ</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20646-2025</t>
        </is>
      </c>
      <c r="B1038" s="1" t="n">
        <v>45776.38480324074</v>
      </c>
      <c r="C1038" s="1" t="n">
        <v>46074</v>
      </c>
      <c r="D1038" t="inlineStr">
        <is>
          <t>NORRBOTTENS LÄN</t>
        </is>
      </c>
      <c r="E1038" t="inlineStr">
        <is>
          <t>PITEÅ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16044-2024</t>
        </is>
      </c>
      <c r="B1039" s="1" t="n">
        <v>45405.96737268518</v>
      </c>
      <c r="C1039" s="1" t="n">
        <v>46074</v>
      </c>
      <c r="D1039" t="inlineStr">
        <is>
          <t>NORRBOTTENS LÄN</t>
        </is>
      </c>
      <c r="E1039" t="inlineStr">
        <is>
          <t>PITEÅ</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20082-2024</t>
        </is>
      </c>
      <c r="B1040" s="1" t="n">
        <v>45434.44953703704</v>
      </c>
      <c r="C1040" s="1" t="n">
        <v>46074</v>
      </c>
      <c r="D1040" t="inlineStr">
        <is>
          <t>NORRBOTTENS LÄN</t>
        </is>
      </c>
      <c r="E1040" t="inlineStr">
        <is>
          <t>PITEÅ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9112-2024</t>
        </is>
      </c>
      <c r="B1041" s="1" t="n">
        <v>45357.96129629629</v>
      </c>
      <c r="C1041" s="1" t="n">
        <v>46074</v>
      </c>
      <c r="D1041" t="inlineStr">
        <is>
          <t>NORRBOTTENS LÄN</t>
        </is>
      </c>
      <c r="E1041" t="inlineStr">
        <is>
          <t>PITEÅ</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21444-2025</t>
        </is>
      </c>
      <c r="B1042" s="1" t="n">
        <v>45782.54247685185</v>
      </c>
      <c r="C1042" s="1" t="n">
        <v>46074</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21494-2025</t>
        </is>
      </c>
      <c r="B1043" s="1" t="n">
        <v>45782.5971412037</v>
      </c>
      <c r="C1043" s="1" t="n">
        <v>46074</v>
      </c>
      <c r="D1043" t="inlineStr">
        <is>
          <t>NORRBOTTENS LÄN</t>
        </is>
      </c>
      <c r="E1043" t="inlineStr">
        <is>
          <t>PITEÅ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21498-2025</t>
        </is>
      </c>
      <c r="B1044" s="1" t="n">
        <v>45782.60648148148</v>
      </c>
      <c r="C1044" s="1" t="n">
        <v>46074</v>
      </c>
      <c r="D1044" t="inlineStr">
        <is>
          <t>NORRBOTTENS LÄN</t>
        </is>
      </c>
      <c r="E1044" t="inlineStr">
        <is>
          <t>PITEÅ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21540-2025</t>
        </is>
      </c>
      <c r="B1045" s="1" t="n">
        <v>45782.66539351852</v>
      </c>
      <c r="C1045" s="1" t="n">
        <v>46074</v>
      </c>
      <c r="D1045" t="inlineStr">
        <is>
          <t>NORRBOTTENS LÄN</t>
        </is>
      </c>
      <c r="E1045" t="inlineStr">
        <is>
          <t>PITEÅ</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21593-2025</t>
        </is>
      </c>
      <c r="B1046" s="1" t="n">
        <v>45783.34435185185</v>
      </c>
      <c r="C1046" s="1" t="n">
        <v>46074</v>
      </c>
      <c r="D1046" t="inlineStr">
        <is>
          <t>NORRBOTTENS LÄN</t>
        </is>
      </c>
      <c r="E1046" t="inlineStr">
        <is>
          <t>PITEÅ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25983-2023</t>
        </is>
      </c>
      <c r="B1047" s="1" t="n">
        <v>45090</v>
      </c>
      <c r="C1047" s="1" t="n">
        <v>46074</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25414-2024</t>
        </is>
      </c>
      <c r="B1048" s="1" t="n">
        <v>45462</v>
      </c>
      <c r="C1048" s="1" t="n">
        <v>46074</v>
      </c>
      <c r="D1048" t="inlineStr">
        <is>
          <t>NORRBOTTENS LÄN</t>
        </is>
      </c>
      <c r="E1048" t="inlineStr">
        <is>
          <t>PITEÅ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32377-2023</t>
        </is>
      </c>
      <c r="B1049" s="1" t="n">
        <v>45110</v>
      </c>
      <c r="C1049" s="1" t="n">
        <v>46074</v>
      </c>
      <c r="D1049" t="inlineStr">
        <is>
          <t>NORRBOTTENS LÄN</t>
        </is>
      </c>
      <c r="E1049" t="inlineStr">
        <is>
          <t>PITEÅ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2842-2024</t>
        </is>
      </c>
      <c r="B1050" s="1" t="n">
        <v>45315</v>
      </c>
      <c r="C1050" s="1" t="n">
        <v>46074</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2889-2024</t>
        </is>
      </c>
      <c r="B1051" s="1" t="n">
        <v>45315.49657407407</v>
      </c>
      <c r="C1051" s="1" t="n">
        <v>46074</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22956-2025</t>
        </is>
      </c>
      <c r="B1052" s="1" t="n">
        <v>45789</v>
      </c>
      <c r="C1052" s="1" t="n">
        <v>46074</v>
      </c>
      <c r="D1052" t="inlineStr">
        <is>
          <t>NORRBOTTENS LÄN</t>
        </is>
      </c>
      <c r="E1052" t="inlineStr">
        <is>
          <t>PITEÅ</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30454-2024</t>
        </is>
      </c>
      <c r="B1053" s="1" t="n">
        <v>45491.92782407408</v>
      </c>
      <c r="C1053" s="1" t="n">
        <v>46074</v>
      </c>
      <c r="D1053" t="inlineStr">
        <is>
          <t>NORRBOTTENS LÄN</t>
        </is>
      </c>
      <c r="E1053" t="inlineStr">
        <is>
          <t>PITEÅ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6963-2025</t>
        </is>
      </c>
      <c r="B1054" s="1" t="n">
        <v>45701.4969212963</v>
      </c>
      <c r="C1054" s="1" t="n">
        <v>46074</v>
      </c>
      <c r="D1054" t="inlineStr">
        <is>
          <t>NORRBOTTENS LÄN</t>
        </is>
      </c>
      <c r="E1054" t="inlineStr">
        <is>
          <t>PITEÅ</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22978-2025</t>
        </is>
      </c>
      <c r="B1055" s="1" t="n">
        <v>45790</v>
      </c>
      <c r="C1055" s="1" t="n">
        <v>46074</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22990-2025</t>
        </is>
      </c>
      <c r="B1056" s="1" t="n">
        <v>45790</v>
      </c>
      <c r="C1056" s="1" t="n">
        <v>46074</v>
      </c>
      <c r="D1056" t="inlineStr">
        <is>
          <t>NORRBOTTENS LÄN</t>
        </is>
      </c>
      <c r="E1056" t="inlineStr">
        <is>
          <t>PITEÅ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23128-2025</t>
        </is>
      </c>
      <c r="B1057" s="1" t="n">
        <v>45791</v>
      </c>
      <c r="C1057" s="1" t="n">
        <v>46074</v>
      </c>
      <c r="D1057" t="inlineStr">
        <is>
          <t>NORRBOTTENS LÄN</t>
        </is>
      </c>
      <c r="E1057" t="inlineStr">
        <is>
          <t>PITEÅ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23161-2025</t>
        </is>
      </c>
      <c r="B1058" s="1" t="n">
        <v>45791.40768518519</v>
      </c>
      <c r="C1058" s="1" t="n">
        <v>46074</v>
      </c>
      <c r="D1058" t="inlineStr">
        <is>
          <t>NORRBOTTENS LÄN</t>
        </is>
      </c>
      <c r="E1058" t="inlineStr">
        <is>
          <t>PITEÅ</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34878-2023</t>
        </is>
      </c>
      <c r="B1059" s="1" t="n">
        <v>45141</v>
      </c>
      <c r="C1059" s="1" t="n">
        <v>46074</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23032-2025</t>
        </is>
      </c>
      <c r="B1060" s="1" t="n">
        <v>45790.65756944445</v>
      </c>
      <c r="C1060" s="1" t="n">
        <v>46074</v>
      </c>
      <c r="D1060" t="inlineStr">
        <is>
          <t>NORRBOTTENS LÄN</t>
        </is>
      </c>
      <c r="E1060" t="inlineStr">
        <is>
          <t>PITEÅ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34615-2022</t>
        </is>
      </c>
      <c r="B1061" s="1" t="n">
        <v>44795</v>
      </c>
      <c r="C1061" s="1" t="n">
        <v>46074</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29303-2021</t>
        </is>
      </c>
      <c r="B1062" s="1" t="n">
        <v>44361</v>
      </c>
      <c r="C1062" s="1" t="n">
        <v>46074</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24302-2025</t>
        </is>
      </c>
      <c r="B1063" s="1" t="n">
        <v>45797.48444444445</v>
      </c>
      <c r="C1063" s="1" t="n">
        <v>46074</v>
      </c>
      <c r="D1063" t="inlineStr">
        <is>
          <t>NORRBOTTENS LÄN</t>
        </is>
      </c>
      <c r="E1063" t="inlineStr">
        <is>
          <t>PITEÅ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51285-2023</t>
        </is>
      </c>
      <c r="B1064" s="1" t="n">
        <v>45219</v>
      </c>
      <c r="C1064" s="1" t="n">
        <v>46074</v>
      </c>
      <c r="D1064" t="inlineStr">
        <is>
          <t>NORRBOTTENS LÄN</t>
        </is>
      </c>
      <c r="E1064" t="inlineStr">
        <is>
          <t>PITEÅ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2550-2024</t>
        </is>
      </c>
      <c r="B1065" s="1" t="n">
        <v>45313</v>
      </c>
      <c r="C1065" s="1" t="n">
        <v>46074</v>
      </c>
      <c r="D1065" t="inlineStr">
        <is>
          <t>NORRBOTTENS LÄN</t>
        </is>
      </c>
      <c r="E1065" t="inlineStr">
        <is>
          <t>PITEÅ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58034-2024</t>
        </is>
      </c>
      <c r="B1066" s="1" t="n">
        <v>45631.71248842592</v>
      </c>
      <c r="C1066" s="1" t="n">
        <v>46074</v>
      </c>
      <c r="D1066" t="inlineStr">
        <is>
          <t>NORRBOTTENS LÄN</t>
        </is>
      </c>
      <c r="E1066" t="inlineStr">
        <is>
          <t>PITEÅ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53752-2023</t>
        </is>
      </c>
      <c r="B1067" s="1" t="n">
        <v>45230</v>
      </c>
      <c r="C1067" s="1" t="n">
        <v>46074</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71301-2021</t>
        </is>
      </c>
      <c r="B1068" s="1" t="n">
        <v>44538</v>
      </c>
      <c r="C1068" s="1" t="n">
        <v>46074</v>
      </c>
      <c r="D1068" t="inlineStr">
        <is>
          <t>NORRBOTTENS LÄN</t>
        </is>
      </c>
      <c r="E1068" t="inlineStr">
        <is>
          <t>PITEÅ</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24304-2025</t>
        </is>
      </c>
      <c r="B1069" s="1" t="n">
        <v>45797.48927083334</v>
      </c>
      <c r="C1069" s="1" t="n">
        <v>46074</v>
      </c>
      <c r="D1069" t="inlineStr">
        <is>
          <t>NORRBOTTENS LÄN</t>
        </is>
      </c>
      <c r="E1069" t="inlineStr">
        <is>
          <t>PITEÅ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23949-2025</t>
        </is>
      </c>
      <c r="B1070" s="1" t="n">
        <v>45796.3506712963</v>
      </c>
      <c r="C1070" s="1" t="n">
        <v>46074</v>
      </c>
      <c r="D1070" t="inlineStr">
        <is>
          <t>NORRBOTTENS LÄN</t>
        </is>
      </c>
      <c r="E1070" t="inlineStr">
        <is>
          <t>PITEÅ</t>
        </is>
      </c>
      <c r="G1070" t="n">
        <v>13.4</v>
      </c>
      <c r="H1070" t="n">
        <v>0</v>
      </c>
      <c r="I1070" t="n">
        <v>0</v>
      </c>
      <c r="J1070" t="n">
        <v>0</v>
      </c>
      <c r="K1070" t="n">
        <v>0</v>
      </c>
      <c r="L1070" t="n">
        <v>0</v>
      </c>
      <c r="M1070" t="n">
        <v>0</v>
      </c>
      <c r="N1070" t="n">
        <v>0</v>
      </c>
      <c r="O1070" t="n">
        <v>0</v>
      </c>
      <c r="P1070" t="n">
        <v>0</v>
      </c>
      <c r="Q1070" t="n">
        <v>0</v>
      </c>
      <c r="R1070" s="2" t="inlineStr"/>
    </row>
    <row r="1071" ht="15" customHeight="1">
      <c r="A1071" t="inlineStr">
        <is>
          <t>A 24288-2025</t>
        </is>
      </c>
      <c r="B1071" s="1" t="n">
        <v>45797.46248842592</v>
      </c>
      <c r="C1071" s="1" t="n">
        <v>46074</v>
      </c>
      <c r="D1071" t="inlineStr">
        <is>
          <t>NORRBOTTENS LÄN</t>
        </is>
      </c>
      <c r="E1071" t="inlineStr">
        <is>
          <t>PITEÅ</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24749-2025</t>
        </is>
      </c>
      <c r="B1072" s="1" t="n">
        <v>45799.34695601852</v>
      </c>
      <c r="C1072" s="1" t="n">
        <v>46074</v>
      </c>
      <c r="D1072" t="inlineStr">
        <is>
          <t>NORRBOTTENS LÄN</t>
        </is>
      </c>
      <c r="E1072" t="inlineStr">
        <is>
          <t>PITEÅ</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12573-2024</t>
        </is>
      </c>
      <c r="B1073" s="1" t="n">
        <v>45379</v>
      </c>
      <c r="C1073" s="1" t="n">
        <v>46074</v>
      </c>
      <c r="D1073" t="inlineStr">
        <is>
          <t>NORRBOTTENS LÄN</t>
        </is>
      </c>
      <c r="E1073" t="inlineStr">
        <is>
          <t>PITEÅ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25955-2024</t>
        </is>
      </c>
      <c r="B1074" s="1" t="n">
        <v>45467</v>
      </c>
      <c r="C1074" s="1" t="n">
        <v>46074</v>
      </c>
      <c r="D1074" t="inlineStr">
        <is>
          <t>NORRBOTTENS LÄN</t>
        </is>
      </c>
      <c r="E1074" t="inlineStr">
        <is>
          <t>PITEÅ</t>
        </is>
      </c>
      <c r="F1074" t="inlineStr">
        <is>
          <t>Kommuner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25429-2025</t>
        </is>
      </c>
      <c r="B1075" s="1" t="n">
        <v>45800.71913194445</v>
      </c>
      <c r="C1075" s="1" t="n">
        <v>46074</v>
      </c>
      <c r="D1075" t="inlineStr">
        <is>
          <t>NORRBOTTENS LÄN</t>
        </is>
      </c>
      <c r="E1075" t="inlineStr">
        <is>
          <t>PITEÅ</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25934-2025</t>
        </is>
      </c>
      <c r="B1076" s="1" t="n">
        <v>45804.59178240741</v>
      </c>
      <c r="C1076" s="1" t="n">
        <v>46074</v>
      </c>
      <c r="D1076" t="inlineStr">
        <is>
          <t>NORRBOTTENS LÄN</t>
        </is>
      </c>
      <c r="E1076" t="inlineStr">
        <is>
          <t>PITEÅ</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7504-2024</t>
        </is>
      </c>
      <c r="B1077" s="1" t="n">
        <v>45347</v>
      </c>
      <c r="C1077" s="1" t="n">
        <v>46074</v>
      </c>
      <c r="D1077" t="inlineStr">
        <is>
          <t>NORRBOTTENS LÄN</t>
        </is>
      </c>
      <c r="E1077" t="inlineStr">
        <is>
          <t>PITEÅ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25768-2025</t>
        </is>
      </c>
      <c r="B1078" s="1" t="n">
        <v>45804.34453703704</v>
      </c>
      <c r="C1078" s="1" t="n">
        <v>46074</v>
      </c>
      <c r="D1078" t="inlineStr">
        <is>
          <t>NORRBOTTENS LÄN</t>
        </is>
      </c>
      <c r="E1078" t="inlineStr">
        <is>
          <t>PITEÅ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26482-2025</t>
        </is>
      </c>
      <c r="B1079" s="1" t="n">
        <v>45807.4705787037</v>
      </c>
      <c r="C1079" s="1" t="n">
        <v>46074</v>
      </c>
      <c r="D1079" t="inlineStr">
        <is>
          <t>NORRBOTTENS LÄN</t>
        </is>
      </c>
      <c r="E1079" t="inlineStr">
        <is>
          <t>PITEÅ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39782-2024</t>
        </is>
      </c>
      <c r="B1080" s="1" t="n">
        <v>45553</v>
      </c>
      <c r="C1080" s="1" t="n">
        <v>46074</v>
      </c>
      <c r="D1080" t="inlineStr">
        <is>
          <t>NORRBOTTENS LÄN</t>
        </is>
      </c>
      <c r="E1080" t="inlineStr">
        <is>
          <t>PITEÅ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46944-2024</t>
        </is>
      </c>
      <c r="B1081" s="1" t="n">
        <v>45585.7653587963</v>
      </c>
      <c r="C1081" s="1" t="n">
        <v>46074</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69537-2021</t>
        </is>
      </c>
      <c r="B1082" s="1" t="n">
        <v>44531.92215277778</v>
      </c>
      <c r="C1082" s="1" t="n">
        <v>46074</v>
      </c>
      <c r="D1082" t="inlineStr">
        <is>
          <t>NORRBOTTENS LÄN</t>
        </is>
      </c>
      <c r="E1082" t="inlineStr">
        <is>
          <t>PITEÅ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27069-2025</t>
        </is>
      </c>
      <c r="B1083" s="1" t="n">
        <v>45811.63673611111</v>
      </c>
      <c r="C1083" s="1" t="n">
        <v>46074</v>
      </c>
      <c r="D1083" t="inlineStr">
        <is>
          <t>NORRBOTTENS LÄN</t>
        </is>
      </c>
      <c r="E1083" t="inlineStr">
        <is>
          <t>PITEÅ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43383-2024</t>
        </is>
      </c>
      <c r="B1084" s="1" t="n">
        <v>45568.59442129629</v>
      </c>
      <c r="C1084" s="1" t="n">
        <v>46074</v>
      </c>
      <c r="D1084" t="inlineStr">
        <is>
          <t>NORRBOTTENS LÄN</t>
        </is>
      </c>
      <c r="E1084" t="inlineStr">
        <is>
          <t>PITEÅ</t>
        </is>
      </c>
      <c r="G1084" t="n">
        <v>2.7</v>
      </c>
      <c r="H1084" t="n">
        <v>0</v>
      </c>
      <c r="I1084" t="n">
        <v>0</v>
      </c>
      <c r="J1084" t="n">
        <v>0</v>
      </c>
      <c r="K1084" t="n">
        <v>0</v>
      </c>
      <c r="L1084" t="n">
        <v>0</v>
      </c>
      <c r="M1084" t="n">
        <v>0</v>
      </c>
      <c r="N1084" t="n">
        <v>0</v>
      </c>
      <c r="O1084" t="n">
        <v>0</v>
      </c>
      <c r="P1084" t="n">
        <v>0</v>
      </c>
      <c r="Q1084" t="n">
        <v>0</v>
      </c>
      <c r="R1084" s="2" t="inlineStr"/>
    </row>
    <row r="1085">
      <c r="A1085" t="inlineStr">
        <is>
          <t>A 27686-2025</t>
        </is>
      </c>
      <c r="B1085" s="1" t="n">
        <v>45813.65408564815</v>
      </c>
      <c r="C1085" s="1" t="n">
        <v>46074</v>
      </c>
      <c r="D1085" t="inlineStr">
        <is>
          <t>NORRBOTTENS LÄN</t>
        </is>
      </c>
      <c r="E1085" t="inlineStr">
        <is>
          <t>PITEÅ</t>
        </is>
      </c>
      <c r="G1085" t="n">
        <v>4.4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2026-02-21T11:00:47Z</dcterms:created>
  <dcterms:modified xmlns:dcterms="http://purl.org/dc/terms/" xmlns:xsi="http://www.w3.org/2001/XMLSchema-instance" xsi:type="dcterms:W3CDTF">2026-02-21T11:00:48Z</dcterms:modified>
</cp:coreProperties>
</file>