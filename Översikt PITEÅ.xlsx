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45969</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45969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45969</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45969</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45969</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45969</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45969</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45969</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45969</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45969</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45969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45969</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45969</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45969</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45969</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45969</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45969</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45969</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45969</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45969</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45969</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17190-2021</t>
        </is>
      </c>
      <c r="B26" s="1" t="n">
        <v>44298</v>
      </c>
      <c r="C26" s="1" t="n">
        <v>45969</v>
      </c>
      <c r="D26" t="inlineStr">
        <is>
          <t>NORRBOTTENS LÄN</t>
        </is>
      </c>
      <c r="E26" t="inlineStr">
        <is>
          <t>PITEÅ</t>
        </is>
      </c>
      <c r="G26" t="n">
        <v>18.4</v>
      </c>
      <c r="H26" t="n">
        <v>0</v>
      </c>
      <c r="I26" t="n">
        <v>0</v>
      </c>
      <c r="J26" t="n">
        <v>1</v>
      </c>
      <c r="K26" t="n">
        <v>1</v>
      </c>
      <c r="L26" t="n">
        <v>0</v>
      </c>
      <c r="M26" t="n">
        <v>0</v>
      </c>
      <c r="N26" t="n">
        <v>0</v>
      </c>
      <c r="O26" t="n">
        <v>2</v>
      </c>
      <c r="P26" t="n">
        <v>1</v>
      </c>
      <c r="Q26" t="n">
        <v>2</v>
      </c>
      <c r="R26" s="2" t="inlineStr">
        <is>
          <t>Goliatmusseron
Skrovlig taggsvamp</t>
        </is>
      </c>
      <c r="S26">
        <f>HYPERLINK("https://klasma.github.io/Logging_2581/artfynd/A 17190-2021 artfynd.xlsx", "A 17190-2021")</f>
        <v/>
      </c>
      <c r="T26">
        <f>HYPERLINK("https://klasma.github.io/Logging_2581/kartor/A 17190-2021 karta.png", "A 17190-2021")</f>
        <v/>
      </c>
      <c r="V26">
        <f>HYPERLINK("https://klasma.github.io/Logging_2581/klagomål/A 17190-2021 FSC-klagomål.docx", "A 17190-2021")</f>
        <v/>
      </c>
      <c r="W26">
        <f>HYPERLINK("https://klasma.github.io/Logging_2581/klagomålsmail/A 17190-2021 FSC-klagomål mail.docx", "A 17190-2021")</f>
        <v/>
      </c>
      <c r="X26">
        <f>HYPERLINK("https://klasma.github.io/Logging_2581/tillsyn/A 17190-2021 tillsynsbegäran.docx", "A 17190-2021")</f>
        <v/>
      </c>
      <c r="Y26">
        <f>HYPERLINK("https://klasma.github.io/Logging_2581/tillsynsmail/A 17190-2021 tillsynsbegäran mail.docx", "A 17190-2021")</f>
        <v/>
      </c>
    </row>
    <row r="27" ht="15" customHeight="1">
      <c r="A27" t="inlineStr">
        <is>
          <t>A 69475-2020</t>
        </is>
      </c>
      <c r="B27" s="1" t="n">
        <v>44193</v>
      </c>
      <c r="C27" s="1" t="n">
        <v>45969</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32301-2023</t>
        </is>
      </c>
      <c r="B28" s="1" t="n">
        <v>45120</v>
      </c>
      <c r="C28" s="1" t="n">
        <v>45969</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67917-2021</t>
        </is>
      </c>
      <c r="B29" s="1" t="n">
        <v>44525</v>
      </c>
      <c r="C29" s="1" t="n">
        <v>45969</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11465-2025</t>
        </is>
      </c>
      <c r="B30" s="1" t="n">
        <v>45726.65811342592</v>
      </c>
      <c r="C30" s="1" t="n">
        <v>45969</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30248-2025</t>
        </is>
      </c>
      <c r="B31" s="1" t="n">
        <v>45827.413125</v>
      </c>
      <c r="C31" s="1" t="n">
        <v>45969</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48434-2025</t>
        </is>
      </c>
      <c r="B32" s="1" t="n">
        <v>45935.34494212963</v>
      </c>
      <c r="C32" s="1" t="n">
        <v>45969</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56501-2023</t>
        </is>
      </c>
      <c r="B33" s="1" t="n">
        <v>45243.54211805556</v>
      </c>
      <c r="C33" s="1" t="n">
        <v>45969</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67902-2021</t>
        </is>
      </c>
      <c r="B34" s="1" t="n">
        <v>44525</v>
      </c>
      <c r="C34" s="1" t="n">
        <v>45969</v>
      </c>
      <c r="D34" t="inlineStr">
        <is>
          <t>NORRBOTTENS LÄN</t>
        </is>
      </c>
      <c r="E34" t="inlineStr">
        <is>
          <t>PITEÅ</t>
        </is>
      </c>
      <c r="F34" t="inlineStr">
        <is>
          <t>Sveaskog</t>
        </is>
      </c>
      <c r="G34" t="n">
        <v>1.6</v>
      </c>
      <c r="H34" t="n">
        <v>0</v>
      </c>
      <c r="I34" t="n">
        <v>1</v>
      </c>
      <c r="J34" t="n">
        <v>1</v>
      </c>
      <c r="K34" t="n">
        <v>0</v>
      </c>
      <c r="L34" t="n">
        <v>0</v>
      </c>
      <c r="M34" t="n">
        <v>0</v>
      </c>
      <c r="N34" t="n">
        <v>0</v>
      </c>
      <c r="O34" t="n">
        <v>1</v>
      </c>
      <c r="P34" t="n">
        <v>0</v>
      </c>
      <c r="Q34" t="n">
        <v>2</v>
      </c>
      <c r="R34" s="2" t="inlineStr">
        <is>
          <t>Rosenticka
Stor aspticka</t>
        </is>
      </c>
      <c r="S34">
        <f>HYPERLINK("https://klasma.github.io/Logging_2581/artfynd/A 67902-2021 artfynd.xlsx", "A 67902-2021")</f>
        <v/>
      </c>
      <c r="T34">
        <f>HYPERLINK("https://klasma.github.io/Logging_2581/kartor/A 67902-2021 karta.png", "A 67902-2021")</f>
        <v/>
      </c>
      <c r="V34">
        <f>HYPERLINK("https://klasma.github.io/Logging_2581/klagomål/A 67902-2021 FSC-klagomål.docx", "A 67902-2021")</f>
        <v/>
      </c>
      <c r="W34">
        <f>HYPERLINK("https://klasma.github.io/Logging_2581/klagomålsmail/A 67902-2021 FSC-klagomål mail.docx", "A 67902-2021")</f>
        <v/>
      </c>
      <c r="X34">
        <f>HYPERLINK("https://klasma.github.io/Logging_2581/tillsyn/A 67902-2021 tillsynsbegäran.docx", "A 67902-2021")</f>
        <v/>
      </c>
      <c r="Y34">
        <f>HYPERLINK("https://klasma.github.io/Logging_2581/tillsynsmail/A 67902-2021 tillsynsbegäran mail.docx", "A 67902-2021")</f>
        <v/>
      </c>
    </row>
    <row r="35" ht="15" customHeight="1">
      <c r="A35" t="inlineStr">
        <is>
          <t>A 11372-2025</t>
        </is>
      </c>
      <c r="B35" s="1" t="n">
        <v>45726.55266203704</v>
      </c>
      <c r="C35" s="1" t="n">
        <v>45969</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28246-2025</t>
        </is>
      </c>
      <c r="B36" s="1" t="n">
        <v>45818.51263888889</v>
      </c>
      <c r="C36" s="1" t="n">
        <v>45969</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34361-2025</t>
        </is>
      </c>
      <c r="B37" s="1" t="n">
        <v>45846.48820601852</v>
      </c>
      <c r="C37" s="1" t="n">
        <v>45969</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38570-2024</t>
        </is>
      </c>
      <c r="B38" s="1" t="n">
        <v>45546</v>
      </c>
      <c r="C38" s="1" t="n">
        <v>45969</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45580-2025</t>
        </is>
      </c>
      <c r="B39" s="1" t="n">
        <v>45922</v>
      </c>
      <c r="C39" s="1" t="n">
        <v>45969</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61469-2024</t>
        </is>
      </c>
      <c r="B40" s="1" t="n">
        <v>45646</v>
      </c>
      <c r="C40" s="1" t="n">
        <v>45969</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45969</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45969</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45969</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45969</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44704-2024</t>
        </is>
      </c>
      <c r="B45" s="1" t="n">
        <v>45574.56923611111</v>
      </c>
      <c r="C45" s="1" t="n">
        <v>45969</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Granticka</t>
        </is>
      </c>
      <c r="S45">
        <f>HYPERLINK("https://klasma.github.io/Logging_2581/artfynd/A 44704-2024 artfynd.xlsx", "A 44704-2024")</f>
        <v/>
      </c>
      <c r="T45">
        <f>HYPERLINK("https://klasma.github.io/Logging_2581/kartor/A 44704-2024 karta.png", "A 44704-2024")</f>
        <v/>
      </c>
      <c r="V45">
        <f>HYPERLINK("https://klasma.github.io/Logging_2581/klagomål/A 44704-2024 FSC-klagomål.docx", "A 44704-2024")</f>
        <v/>
      </c>
      <c r="W45">
        <f>HYPERLINK("https://klasma.github.io/Logging_2581/klagomålsmail/A 44704-2024 FSC-klagomål mail.docx", "A 44704-2024")</f>
        <v/>
      </c>
      <c r="X45">
        <f>HYPERLINK("https://klasma.github.io/Logging_2581/tillsyn/A 44704-2024 tillsynsbegäran.docx", "A 44704-2024")</f>
        <v/>
      </c>
      <c r="Y45">
        <f>HYPERLINK("https://klasma.github.io/Logging_2581/tillsynsmail/A 44704-2024 tillsynsbegäran mail.docx", "A 44704-2024")</f>
        <v/>
      </c>
    </row>
    <row r="46" ht="15" customHeight="1">
      <c r="A46" t="inlineStr">
        <is>
          <t>A 27927-2023</t>
        </is>
      </c>
      <c r="B46" s="1" t="n">
        <v>45098</v>
      </c>
      <c r="C46" s="1" t="n">
        <v>45969</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24589-2022</t>
        </is>
      </c>
      <c r="B47" s="1" t="n">
        <v>44727</v>
      </c>
      <c r="C47" s="1" t="n">
        <v>45969</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18052-2025</t>
        </is>
      </c>
      <c r="B48" s="1" t="n">
        <v>45761</v>
      </c>
      <c r="C48" s="1" t="n">
        <v>45969</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20562-2025</t>
        </is>
      </c>
      <c r="B49" s="1" t="n">
        <v>45775.65873842593</v>
      </c>
      <c r="C49" s="1" t="n">
        <v>45969</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Violmussling</t>
        </is>
      </c>
      <c r="S49">
        <f>HYPERLINK("https://klasma.github.io/Logging_2581/artfynd/A 20562-2025 artfynd.xlsx", "A 20562-2025")</f>
        <v/>
      </c>
      <c r="T49">
        <f>HYPERLINK("https://klasma.github.io/Logging_2581/kartor/A 20562-2025 karta.png", "A 20562-2025")</f>
        <v/>
      </c>
      <c r="V49">
        <f>HYPERLINK("https://klasma.github.io/Logging_2581/klagomål/A 20562-2025 FSC-klagomål.docx", "A 20562-2025")</f>
        <v/>
      </c>
      <c r="W49">
        <f>HYPERLINK("https://klasma.github.io/Logging_2581/klagomålsmail/A 20562-2025 FSC-klagomål mail.docx", "A 20562-2025")</f>
        <v/>
      </c>
      <c r="X49">
        <f>HYPERLINK("https://klasma.github.io/Logging_2581/tillsyn/A 20562-2025 tillsynsbegäran.docx", "A 20562-2025")</f>
        <v/>
      </c>
      <c r="Y49">
        <f>HYPERLINK("https://klasma.github.io/Logging_2581/tillsynsmail/A 20562-2025 tillsynsbegäran mail.docx", "A 20562-2025")</f>
        <v/>
      </c>
    </row>
    <row r="50" ht="15" customHeight="1">
      <c r="A50" t="inlineStr">
        <is>
          <t>A 20087-2024</t>
        </is>
      </c>
      <c r="B50" s="1" t="n">
        <v>45434.45416666667</v>
      </c>
      <c r="C50" s="1" t="n">
        <v>45969</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58032-2024</t>
        </is>
      </c>
      <c r="B51" s="1" t="n">
        <v>45631.7077199074</v>
      </c>
      <c r="C51" s="1" t="n">
        <v>45969</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23075-2024</t>
        </is>
      </c>
      <c r="B52" s="1" t="n">
        <v>45450</v>
      </c>
      <c r="C52" s="1" t="n">
        <v>45969</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60686-2024</t>
        </is>
      </c>
      <c r="B53" s="1" t="n">
        <v>45644.46938657408</v>
      </c>
      <c r="C53" s="1" t="n">
        <v>45969</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56518-2024</t>
        </is>
      </c>
      <c r="B54" s="1" t="n">
        <v>45625</v>
      </c>
      <c r="C54" s="1" t="n">
        <v>45969</v>
      </c>
      <c r="D54" t="inlineStr">
        <is>
          <t>NORRBOTTENS LÄN</t>
        </is>
      </c>
      <c r="E54" t="inlineStr">
        <is>
          <t>PITEÅ</t>
        </is>
      </c>
      <c r="G54" t="n">
        <v>2.6</v>
      </c>
      <c r="H54" t="n">
        <v>1</v>
      </c>
      <c r="I54" t="n">
        <v>0</v>
      </c>
      <c r="J54" t="n">
        <v>0</v>
      </c>
      <c r="K54" t="n">
        <v>0</v>
      </c>
      <c r="L54" t="n">
        <v>0</v>
      </c>
      <c r="M54" t="n">
        <v>0</v>
      </c>
      <c r="N54" t="n">
        <v>0</v>
      </c>
      <c r="O54" t="n">
        <v>0</v>
      </c>
      <c r="P54" t="n">
        <v>0</v>
      </c>
      <c r="Q54" t="n">
        <v>1</v>
      </c>
      <c r="R54" s="2" t="inlineStr">
        <is>
          <t>Nattviol</t>
        </is>
      </c>
      <c r="S54">
        <f>HYPERLINK("https://klasma.github.io/Logging_2581/artfynd/A 56518-2024 artfynd.xlsx", "A 56518-2024")</f>
        <v/>
      </c>
      <c r="T54">
        <f>HYPERLINK("https://klasma.github.io/Logging_2581/kartor/A 56518-2024 karta.png", "A 56518-2024")</f>
        <v/>
      </c>
      <c r="V54">
        <f>HYPERLINK("https://klasma.github.io/Logging_2581/klagomål/A 56518-2024 FSC-klagomål.docx", "A 56518-2024")</f>
        <v/>
      </c>
      <c r="W54">
        <f>HYPERLINK("https://klasma.github.io/Logging_2581/klagomålsmail/A 56518-2024 FSC-klagomål mail.docx", "A 56518-2024")</f>
        <v/>
      </c>
      <c r="X54">
        <f>HYPERLINK("https://klasma.github.io/Logging_2581/tillsyn/A 56518-2024 tillsynsbegäran.docx", "A 56518-2024")</f>
        <v/>
      </c>
      <c r="Y54">
        <f>HYPERLINK("https://klasma.github.io/Logging_2581/tillsynsmail/A 56518-2024 tillsynsbegäran mail.docx", "A 56518-2024")</f>
        <v/>
      </c>
    </row>
    <row r="55" ht="15" customHeight="1">
      <c r="A55" t="inlineStr">
        <is>
          <t>A 42048-2025</t>
        </is>
      </c>
      <c r="B55" s="1" t="n">
        <v>45903</v>
      </c>
      <c r="C55" s="1" t="n">
        <v>45969</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52268-2023</t>
        </is>
      </c>
      <c r="B56" s="1" t="n">
        <v>45224.54791666667</v>
      </c>
      <c r="C56" s="1" t="n">
        <v>45969</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9007-2024</t>
        </is>
      </c>
      <c r="B57" s="1" t="n">
        <v>45356</v>
      </c>
      <c r="C57" s="1" t="n">
        <v>45969</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45969</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56592-2023</t>
        </is>
      </c>
      <c r="B59" s="1" t="n">
        <v>45243.64162037037</v>
      </c>
      <c r="C59" s="1" t="n">
        <v>45969</v>
      </c>
      <c r="D59" t="inlineStr">
        <is>
          <t>NORRBOTTENS LÄN</t>
        </is>
      </c>
      <c r="E59" t="inlineStr">
        <is>
          <t>PITEÅ</t>
        </is>
      </c>
      <c r="F59" t="inlineStr">
        <is>
          <t>Sveaskog</t>
        </is>
      </c>
      <c r="G59" t="n">
        <v>22.6</v>
      </c>
      <c r="H59" t="n">
        <v>1</v>
      </c>
      <c r="I59" t="n">
        <v>0</v>
      </c>
      <c r="J59" t="n">
        <v>0</v>
      </c>
      <c r="K59" t="n">
        <v>0</v>
      </c>
      <c r="L59" t="n">
        <v>0</v>
      </c>
      <c r="M59" t="n">
        <v>0</v>
      </c>
      <c r="N59" t="n">
        <v>0</v>
      </c>
      <c r="O59" t="n">
        <v>0</v>
      </c>
      <c r="P59" t="n">
        <v>0</v>
      </c>
      <c r="Q59" t="n">
        <v>1</v>
      </c>
      <c r="R59" s="2" t="inlineStr">
        <is>
          <t>Mattlummer</t>
        </is>
      </c>
      <c r="S59">
        <f>HYPERLINK("https://klasma.github.io/Logging_2581/artfynd/A 56592-2023 artfynd.xlsx", "A 56592-2023")</f>
        <v/>
      </c>
      <c r="T59">
        <f>HYPERLINK("https://klasma.github.io/Logging_2581/kartor/A 56592-2023 karta.png", "A 56592-2023")</f>
        <v/>
      </c>
      <c r="V59">
        <f>HYPERLINK("https://klasma.github.io/Logging_2581/klagomål/A 56592-2023 FSC-klagomål.docx", "A 56592-2023")</f>
        <v/>
      </c>
      <c r="W59">
        <f>HYPERLINK("https://klasma.github.io/Logging_2581/klagomålsmail/A 56592-2023 FSC-klagomål mail.docx", "A 56592-2023")</f>
        <v/>
      </c>
      <c r="X59">
        <f>HYPERLINK("https://klasma.github.io/Logging_2581/tillsyn/A 56592-2023 tillsynsbegäran.docx", "A 56592-2023")</f>
        <v/>
      </c>
      <c r="Y59">
        <f>HYPERLINK("https://klasma.github.io/Logging_2581/tillsynsmail/A 56592-2023 tillsynsbegäran mail.docx", "A 56592-2023")</f>
        <v/>
      </c>
    </row>
    <row r="60" ht="15" customHeight="1">
      <c r="A60" t="inlineStr">
        <is>
          <t>A 30868-2025</t>
        </is>
      </c>
      <c r="B60" s="1" t="n">
        <v>45832.32988425926</v>
      </c>
      <c r="C60" s="1" t="n">
        <v>45969</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45969</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44858-2025</t>
        </is>
      </c>
      <c r="B62" s="1" t="n">
        <v>45918</v>
      </c>
      <c r="C62" s="1" t="n">
        <v>45969</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34329-2025</t>
        </is>
      </c>
      <c r="B63" s="1" t="n">
        <v>45846.44512731482</v>
      </c>
      <c r="C63" s="1" t="n">
        <v>45969</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45418-2025</t>
        </is>
      </c>
      <c r="B64" s="1" t="n">
        <v>45922.44846064815</v>
      </c>
      <c r="C64" s="1" t="n">
        <v>45969</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37818-2024</t>
        </is>
      </c>
      <c r="B65" s="1" t="n">
        <v>45544</v>
      </c>
      <c r="C65" s="1" t="n">
        <v>45969</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45630-2025</t>
        </is>
      </c>
      <c r="B66" s="1" t="n">
        <v>45922.83304398148</v>
      </c>
      <c r="C66" s="1" t="n">
        <v>45969</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36804-2025</t>
        </is>
      </c>
      <c r="B67" s="1" t="n">
        <v>45873.67907407408</v>
      </c>
      <c r="C67" s="1" t="n">
        <v>45969</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45629-2025</t>
        </is>
      </c>
      <c r="B68" s="1" t="n">
        <v>45922.81627314815</v>
      </c>
      <c r="C68" s="1" t="n">
        <v>45969</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45969</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50447-2025</t>
        </is>
      </c>
      <c r="B70" s="1" t="n">
        <v>45945</v>
      </c>
      <c r="C70" s="1" t="n">
        <v>45969</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46436-2025</t>
        </is>
      </c>
      <c r="B71" s="1" t="n">
        <v>45925.63604166666</v>
      </c>
      <c r="C71" s="1" t="n">
        <v>45969</v>
      </c>
      <c r="D71" t="inlineStr">
        <is>
          <t>NORRBOTTENS LÄN</t>
        </is>
      </c>
      <c r="E71" t="inlineStr">
        <is>
          <t>PITEÅ</t>
        </is>
      </c>
      <c r="F71" t="inlineStr">
        <is>
          <t>SCA</t>
        </is>
      </c>
      <c r="G71" t="n">
        <v>12</v>
      </c>
      <c r="H71" t="n">
        <v>1</v>
      </c>
      <c r="I71" t="n">
        <v>0</v>
      </c>
      <c r="J71" t="n">
        <v>1</v>
      </c>
      <c r="K71" t="n">
        <v>0</v>
      </c>
      <c r="L71" t="n">
        <v>0</v>
      </c>
      <c r="M71" t="n">
        <v>0</v>
      </c>
      <c r="N71" t="n">
        <v>0</v>
      </c>
      <c r="O71" t="n">
        <v>1</v>
      </c>
      <c r="P71" t="n">
        <v>0</v>
      </c>
      <c r="Q71" t="n">
        <v>1</v>
      </c>
      <c r="R71" s="2" t="inlineStr">
        <is>
          <t>Spillkråka</t>
        </is>
      </c>
      <c r="S71">
        <f>HYPERLINK("https://klasma.github.io/Logging_2581/artfynd/A 46436-2025 artfynd.xlsx", "A 46436-2025")</f>
        <v/>
      </c>
      <c r="T71">
        <f>HYPERLINK("https://klasma.github.io/Logging_2581/kartor/A 46436-2025 karta.png", "A 46436-2025")</f>
        <v/>
      </c>
      <c r="V71">
        <f>HYPERLINK("https://klasma.github.io/Logging_2581/klagomål/A 46436-2025 FSC-klagomål.docx", "A 46436-2025")</f>
        <v/>
      </c>
      <c r="W71">
        <f>HYPERLINK("https://klasma.github.io/Logging_2581/klagomålsmail/A 46436-2025 FSC-klagomål mail.docx", "A 46436-2025")</f>
        <v/>
      </c>
      <c r="X71">
        <f>HYPERLINK("https://klasma.github.io/Logging_2581/tillsyn/A 46436-2025 tillsynsbegäran.docx", "A 46436-2025")</f>
        <v/>
      </c>
      <c r="Y71">
        <f>HYPERLINK("https://klasma.github.io/Logging_2581/tillsynsmail/A 46436-2025 tillsynsbegäran mail.docx", "A 46436-2025")</f>
        <v/>
      </c>
      <c r="Z71">
        <f>HYPERLINK("https://klasma.github.io/Logging_2581/fåglar/A 46436-2025 prioriterade fågelarter.docx", "A 46436-2025")</f>
        <v/>
      </c>
    </row>
    <row r="72" ht="15" customHeight="1">
      <c r="A72" t="inlineStr">
        <is>
          <t>A 50644-2022</t>
        </is>
      </c>
      <c r="B72" s="1" t="n">
        <v>44866.94907407407</v>
      </c>
      <c r="C72" s="1" t="n">
        <v>45969</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45969</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45969</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45969</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45969</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45969</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45969</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45969</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45969</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45969</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45969</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39948-2021</t>
        </is>
      </c>
      <c r="B83" s="1" t="n">
        <v>44417.94082175926</v>
      </c>
      <c r="C83" s="1" t="n">
        <v>45969</v>
      </c>
      <c r="D83" t="inlineStr">
        <is>
          <t>NORRBOTTENS LÄN</t>
        </is>
      </c>
      <c r="E83" t="inlineStr">
        <is>
          <t>PITEÅ</t>
        </is>
      </c>
      <c r="F83" t="inlineStr">
        <is>
          <t>SCA</t>
        </is>
      </c>
      <c r="G83" t="n">
        <v>3.2</v>
      </c>
      <c r="H83" t="n">
        <v>0</v>
      </c>
      <c r="I83" t="n">
        <v>0</v>
      </c>
      <c r="J83" t="n">
        <v>0</v>
      </c>
      <c r="K83" t="n">
        <v>0</v>
      </c>
      <c r="L83" t="n">
        <v>0</v>
      </c>
      <c r="M83" t="n">
        <v>0</v>
      </c>
      <c r="N83" t="n">
        <v>0</v>
      </c>
      <c r="O83" t="n">
        <v>0</v>
      </c>
      <c r="P83" t="n">
        <v>0</v>
      </c>
      <c r="Q83" t="n">
        <v>0</v>
      </c>
      <c r="R83" s="2" t="inlineStr"/>
    </row>
    <row r="84" ht="15" customHeight="1">
      <c r="A84" t="inlineStr">
        <is>
          <t>A 29640-2021</t>
        </is>
      </c>
      <c r="B84" s="1" t="n">
        <v>44361</v>
      </c>
      <c r="C84" s="1" t="n">
        <v>45969</v>
      </c>
      <c r="D84" t="inlineStr">
        <is>
          <t>NORRBOTTENS LÄN</t>
        </is>
      </c>
      <c r="E84" t="inlineStr">
        <is>
          <t>PITEÅ</t>
        </is>
      </c>
      <c r="F84" t="inlineStr">
        <is>
          <t>SCA</t>
        </is>
      </c>
      <c r="G84" t="n">
        <v>3.5</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45969</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45969</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45969</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45969</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45969</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45969</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45969</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45969</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45969</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45969</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45969</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45969</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45969</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45969</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45969</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45969</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45969</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45969</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45969</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45969</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45969</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45969</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45969</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45969</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45969</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45969</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45969</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45969</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45969</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45969</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45969</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45969</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45969</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3095-2022</t>
        </is>
      </c>
      <c r="B118" s="1" t="n">
        <v>44582</v>
      </c>
      <c r="C118" s="1" t="n">
        <v>45969</v>
      </c>
      <c r="D118" t="inlineStr">
        <is>
          <t>NORRBOTTENS LÄN</t>
        </is>
      </c>
      <c r="E118" t="inlineStr">
        <is>
          <t>PITEÅ</t>
        </is>
      </c>
      <c r="G118" t="n">
        <v>12.2</v>
      </c>
      <c r="H118" t="n">
        <v>0</v>
      </c>
      <c r="I118" t="n">
        <v>0</v>
      </c>
      <c r="J118" t="n">
        <v>0</v>
      </c>
      <c r="K118" t="n">
        <v>0</v>
      </c>
      <c r="L118" t="n">
        <v>0</v>
      </c>
      <c r="M118" t="n">
        <v>0</v>
      </c>
      <c r="N118" t="n">
        <v>0</v>
      </c>
      <c r="O118" t="n">
        <v>0</v>
      </c>
      <c r="P118" t="n">
        <v>0</v>
      </c>
      <c r="Q118" t="n">
        <v>0</v>
      </c>
      <c r="R118" s="2" t="inlineStr"/>
    </row>
    <row r="119" ht="15" customHeight="1">
      <c r="A119" t="inlineStr">
        <is>
          <t>A 10393-2021</t>
        </is>
      </c>
      <c r="B119" s="1" t="n">
        <v>44257</v>
      </c>
      <c r="C119" s="1" t="n">
        <v>45969</v>
      </c>
      <c r="D119" t="inlineStr">
        <is>
          <t>NORRBOTTENS LÄN</t>
        </is>
      </c>
      <c r="E119" t="inlineStr">
        <is>
          <t>PITEÅ</t>
        </is>
      </c>
      <c r="G119" t="n">
        <v>2.9</v>
      </c>
      <c r="H119" t="n">
        <v>0</v>
      </c>
      <c r="I119" t="n">
        <v>0</v>
      </c>
      <c r="J119" t="n">
        <v>0</v>
      </c>
      <c r="K119" t="n">
        <v>0</v>
      </c>
      <c r="L119" t="n">
        <v>0</v>
      </c>
      <c r="M119" t="n">
        <v>0</v>
      </c>
      <c r="N119" t="n">
        <v>0</v>
      </c>
      <c r="O119" t="n">
        <v>0</v>
      </c>
      <c r="P119" t="n">
        <v>0</v>
      </c>
      <c r="Q119" t="n">
        <v>0</v>
      </c>
      <c r="R119" s="2" t="inlineStr"/>
    </row>
    <row r="120" ht="15" customHeight="1">
      <c r="A120" t="inlineStr">
        <is>
          <t>A 60730-2021</t>
        </is>
      </c>
      <c r="B120" s="1" t="n">
        <v>44496</v>
      </c>
      <c r="C120" s="1" t="n">
        <v>45969</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45969</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45969</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20689-2022</t>
        </is>
      </c>
      <c r="B123" s="1" t="n">
        <v>44700.79659722222</v>
      </c>
      <c r="C123" s="1" t="n">
        <v>45969</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45969</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4536-2022</t>
        </is>
      </c>
      <c r="B125" s="1" t="n">
        <v>44590.4933912037</v>
      </c>
      <c r="C125" s="1" t="n">
        <v>45969</v>
      </c>
      <c r="D125" t="inlineStr">
        <is>
          <t>NORRBOTTENS LÄN</t>
        </is>
      </c>
      <c r="E125" t="inlineStr">
        <is>
          <t>PITEÅ</t>
        </is>
      </c>
      <c r="G125" t="n">
        <v>1.9</v>
      </c>
      <c r="H125" t="n">
        <v>0</v>
      </c>
      <c r="I125" t="n">
        <v>0</v>
      </c>
      <c r="J125" t="n">
        <v>0</v>
      </c>
      <c r="K125" t="n">
        <v>0</v>
      </c>
      <c r="L125" t="n">
        <v>0</v>
      </c>
      <c r="M125" t="n">
        <v>0</v>
      </c>
      <c r="N125" t="n">
        <v>0</v>
      </c>
      <c r="O125" t="n">
        <v>0</v>
      </c>
      <c r="P125" t="n">
        <v>0</v>
      </c>
      <c r="Q125" t="n">
        <v>0</v>
      </c>
      <c r="R125" s="2" t="inlineStr"/>
    </row>
    <row r="126" ht="15" customHeight="1">
      <c r="A126" t="inlineStr">
        <is>
          <t>A 29558-2021</t>
        </is>
      </c>
      <c r="B126" s="1" t="n">
        <v>44361</v>
      </c>
      <c r="C126" s="1" t="n">
        <v>45969</v>
      </c>
      <c r="D126" t="inlineStr">
        <is>
          <t>NORRBOTTENS LÄN</t>
        </is>
      </c>
      <c r="E126" t="inlineStr">
        <is>
          <t>PITEÅ</t>
        </is>
      </c>
      <c r="G126" t="n">
        <v>0.2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45969</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45969</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45969</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45969</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45969</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45969</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45969</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7523-2025</t>
        </is>
      </c>
      <c r="B134" s="1" t="n">
        <v>45705</v>
      </c>
      <c r="C134" s="1" t="n">
        <v>45969</v>
      </c>
      <c r="D134" t="inlineStr">
        <is>
          <t>NORRBOTTENS LÄN</t>
        </is>
      </c>
      <c r="E134" t="inlineStr">
        <is>
          <t>PITEÅ</t>
        </is>
      </c>
      <c r="G134" t="n">
        <v>12.8</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45969</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14778-2025</t>
        </is>
      </c>
      <c r="B136" s="1" t="n">
        <v>45742.69734953704</v>
      </c>
      <c r="C136" s="1" t="n">
        <v>45969</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45969</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45969</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26119-2023</t>
        </is>
      </c>
      <c r="B139" s="1" t="n">
        <v>45091.44225694444</v>
      </c>
      <c r="C139" s="1" t="n">
        <v>45969</v>
      </c>
      <c r="D139" t="inlineStr">
        <is>
          <t>NORRBOTTENS LÄN</t>
        </is>
      </c>
      <c r="E139" t="inlineStr">
        <is>
          <t>PITEÅ</t>
        </is>
      </c>
      <c r="G139" t="n">
        <v>6.2</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45969</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3677-2025</t>
        </is>
      </c>
      <c r="B141" s="1" t="n">
        <v>45681.44248842593</v>
      </c>
      <c r="C141" s="1" t="n">
        <v>45969</v>
      </c>
      <c r="D141" t="inlineStr">
        <is>
          <t>NORRBOTTENS LÄN</t>
        </is>
      </c>
      <c r="E141" t="inlineStr">
        <is>
          <t>PITEÅ</t>
        </is>
      </c>
      <c r="G141" t="n">
        <v>1.7</v>
      </c>
      <c r="H141" t="n">
        <v>0</v>
      </c>
      <c r="I141" t="n">
        <v>0</v>
      </c>
      <c r="J141" t="n">
        <v>0</v>
      </c>
      <c r="K141" t="n">
        <v>0</v>
      </c>
      <c r="L141" t="n">
        <v>0</v>
      </c>
      <c r="M141" t="n">
        <v>0</v>
      </c>
      <c r="N141" t="n">
        <v>0</v>
      </c>
      <c r="O141" t="n">
        <v>0</v>
      </c>
      <c r="P141" t="n">
        <v>0</v>
      </c>
      <c r="Q141" t="n">
        <v>0</v>
      </c>
      <c r="R141" s="2" t="inlineStr"/>
    </row>
    <row r="142" ht="15" customHeight="1">
      <c r="A142" t="inlineStr">
        <is>
          <t>A 41982-2023</t>
        </is>
      </c>
      <c r="B142" s="1" t="n">
        <v>45177.40446759259</v>
      </c>
      <c r="C142" s="1" t="n">
        <v>45969</v>
      </c>
      <c r="D142" t="inlineStr">
        <is>
          <t>NORRBOTTENS LÄN</t>
        </is>
      </c>
      <c r="E142" t="inlineStr">
        <is>
          <t>PITEÅ</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45969</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45969</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45969</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15530-2025</t>
        </is>
      </c>
      <c r="B146" s="1" t="n">
        <v>45747.63582175926</v>
      </c>
      <c r="C146" s="1" t="n">
        <v>45969</v>
      </c>
      <c r="D146" t="inlineStr">
        <is>
          <t>NORRBOTTENS LÄN</t>
        </is>
      </c>
      <c r="E146" t="inlineStr">
        <is>
          <t>PITEÅ</t>
        </is>
      </c>
      <c r="G146" t="n">
        <v>5.5</v>
      </c>
      <c r="H146" t="n">
        <v>0</v>
      </c>
      <c r="I146" t="n">
        <v>0</v>
      </c>
      <c r="J146" t="n">
        <v>0</v>
      </c>
      <c r="K146" t="n">
        <v>0</v>
      </c>
      <c r="L146" t="n">
        <v>0</v>
      </c>
      <c r="M146" t="n">
        <v>0</v>
      </c>
      <c r="N146" t="n">
        <v>0</v>
      </c>
      <c r="O146" t="n">
        <v>0</v>
      </c>
      <c r="P146" t="n">
        <v>0</v>
      </c>
      <c r="Q146" t="n">
        <v>0</v>
      </c>
      <c r="R146" s="2" t="inlineStr"/>
      <c r="U146">
        <f>HYPERLINK("https://klasma.github.io/Logging_2581/knärot/A 15530-2025 karta knärot.png", "A 15530-2025")</f>
        <v/>
      </c>
      <c r="V146">
        <f>HYPERLINK("https://klasma.github.io/Logging_2581/klagomål/A 15530-2025 FSC-klagomål.docx", "A 15530-2025")</f>
        <v/>
      </c>
      <c r="W146">
        <f>HYPERLINK("https://klasma.github.io/Logging_2581/klagomålsmail/A 15530-2025 FSC-klagomål mail.docx", "A 15530-2025")</f>
        <v/>
      </c>
      <c r="X146">
        <f>HYPERLINK("https://klasma.github.io/Logging_2581/tillsyn/A 15530-2025 tillsynsbegäran.docx", "A 15530-2025")</f>
        <v/>
      </c>
      <c r="Y146">
        <f>HYPERLINK("https://klasma.github.io/Logging_2581/tillsynsmail/A 15530-2025 tillsynsbegäran mail.docx", "A 15530-2025")</f>
        <v/>
      </c>
    </row>
    <row r="147" ht="15" customHeight="1">
      <c r="A147" t="inlineStr">
        <is>
          <t>A 5525-2024</t>
        </is>
      </c>
      <c r="B147" s="1" t="n">
        <v>45334</v>
      </c>
      <c r="C147" s="1" t="n">
        <v>45969</v>
      </c>
      <c r="D147" t="inlineStr">
        <is>
          <t>NORRBOTTENS LÄN</t>
        </is>
      </c>
      <c r="E147" t="inlineStr">
        <is>
          <t>PITEÅ</t>
        </is>
      </c>
      <c r="G147" t="n">
        <v>63</v>
      </c>
      <c r="H147" t="n">
        <v>0</v>
      </c>
      <c r="I147" t="n">
        <v>0</v>
      </c>
      <c r="J147" t="n">
        <v>0</v>
      </c>
      <c r="K147" t="n">
        <v>0</v>
      </c>
      <c r="L147" t="n">
        <v>0</v>
      </c>
      <c r="M147" t="n">
        <v>0</v>
      </c>
      <c r="N147" t="n">
        <v>0</v>
      </c>
      <c r="O147" t="n">
        <v>0</v>
      </c>
      <c r="P147" t="n">
        <v>0</v>
      </c>
      <c r="Q147" t="n">
        <v>0</v>
      </c>
      <c r="R147" s="2" t="inlineStr"/>
    </row>
    <row r="148" ht="15" customHeight="1">
      <c r="A148" t="inlineStr">
        <is>
          <t>A 18724-2023</t>
        </is>
      </c>
      <c r="B148" s="1" t="n">
        <v>45043.66952546296</v>
      </c>
      <c r="C148" s="1" t="n">
        <v>45969</v>
      </c>
      <c r="D148" t="inlineStr">
        <is>
          <t>NORRBOTTENS LÄN</t>
        </is>
      </c>
      <c r="E148" t="inlineStr">
        <is>
          <t>PITEÅ</t>
        </is>
      </c>
      <c r="G148" t="n">
        <v>3.8</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45400.83166666667</v>
      </c>
      <c r="C149" s="1" t="n">
        <v>45969</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23880-2022</t>
        </is>
      </c>
      <c r="B150" s="1" t="n">
        <v>44722.56501157407</v>
      </c>
      <c r="C150" s="1" t="n">
        <v>45969</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59820-2023</t>
        </is>
      </c>
      <c r="B151" s="1" t="n">
        <v>45257</v>
      </c>
      <c r="C151" s="1" t="n">
        <v>45969</v>
      </c>
      <c r="D151" t="inlineStr">
        <is>
          <t>NORRBOTTENS LÄN</t>
        </is>
      </c>
      <c r="E151" t="inlineStr">
        <is>
          <t>PITEÅ</t>
        </is>
      </c>
      <c r="G151" t="n">
        <v>2.8</v>
      </c>
      <c r="H151" t="n">
        <v>0</v>
      </c>
      <c r="I151" t="n">
        <v>0</v>
      </c>
      <c r="J151" t="n">
        <v>0</v>
      </c>
      <c r="K151" t="n">
        <v>0</v>
      </c>
      <c r="L151" t="n">
        <v>0</v>
      </c>
      <c r="M151" t="n">
        <v>0</v>
      </c>
      <c r="N151" t="n">
        <v>0</v>
      </c>
      <c r="O151" t="n">
        <v>0</v>
      </c>
      <c r="P151" t="n">
        <v>0</v>
      </c>
      <c r="Q151" t="n">
        <v>0</v>
      </c>
      <c r="R151" s="2" t="inlineStr"/>
    </row>
    <row r="152" ht="15" customHeight="1">
      <c r="A152" t="inlineStr">
        <is>
          <t>A 24578-2021</t>
        </is>
      </c>
      <c r="B152" s="1" t="n">
        <v>44339</v>
      </c>
      <c r="C152" s="1" t="n">
        <v>45969</v>
      </c>
      <c r="D152" t="inlineStr">
        <is>
          <t>NORRBOTTENS LÄN</t>
        </is>
      </c>
      <c r="E152" t="inlineStr">
        <is>
          <t>PITEÅ</t>
        </is>
      </c>
      <c r="G152" t="n">
        <v>2</v>
      </c>
      <c r="H152" t="n">
        <v>0</v>
      </c>
      <c r="I152" t="n">
        <v>0</v>
      </c>
      <c r="J152" t="n">
        <v>0</v>
      </c>
      <c r="K152" t="n">
        <v>0</v>
      </c>
      <c r="L152" t="n">
        <v>0</v>
      </c>
      <c r="M152" t="n">
        <v>0</v>
      </c>
      <c r="N152" t="n">
        <v>0</v>
      </c>
      <c r="O152" t="n">
        <v>0</v>
      </c>
      <c r="P152" t="n">
        <v>0</v>
      </c>
      <c r="Q152" t="n">
        <v>0</v>
      </c>
      <c r="R152" s="2" t="inlineStr"/>
    </row>
    <row r="153" ht="15" customHeight="1">
      <c r="A153" t="inlineStr">
        <is>
          <t>A 60687-2024</t>
        </is>
      </c>
      <c r="B153" s="1" t="n">
        <v>45644.47315972222</v>
      </c>
      <c r="C153" s="1" t="n">
        <v>45969</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8023-2024</t>
        </is>
      </c>
      <c r="B154" s="1" t="n">
        <v>45350</v>
      </c>
      <c r="C154" s="1" t="n">
        <v>45969</v>
      </c>
      <c r="D154" t="inlineStr">
        <is>
          <t>NORRBOTTENS LÄN</t>
        </is>
      </c>
      <c r="E154" t="inlineStr">
        <is>
          <t>PITEÅ</t>
        </is>
      </c>
      <c r="G154" t="n">
        <v>2.3</v>
      </c>
      <c r="H154" t="n">
        <v>0</v>
      </c>
      <c r="I154" t="n">
        <v>0</v>
      </c>
      <c r="J154" t="n">
        <v>0</v>
      </c>
      <c r="K154" t="n">
        <v>0</v>
      </c>
      <c r="L154" t="n">
        <v>0</v>
      </c>
      <c r="M154" t="n">
        <v>0</v>
      </c>
      <c r="N154" t="n">
        <v>0</v>
      </c>
      <c r="O154" t="n">
        <v>0</v>
      </c>
      <c r="P154" t="n">
        <v>0</v>
      </c>
      <c r="Q154" t="n">
        <v>0</v>
      </c>
      <c r="R154" s="2" t="inlineStr"/>
    </row>
    <row r="155" ht="15" customHeight="1">
      <c r="A155" t="inlineStr">
        <is>
          <t>A 37652-2024</t>
        </is>
      </c>
      <c r="B155" s="1" t="n">
        <v>45541.55353009259</v>
      </c>
      <c r="C155" s="1" t="n">
        <v>45969</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7082-2021</t>
        </is>
      </c>
      <c r="B156" s="1" t="n">
        <v>44237</v>
      </c>
      <c r="C156" s="1" t="n">
        <v>45969</v>
      </c>
      <c r="D156" t="inlineStr">
        <is>
          <t>NORRBOTTENS LÄN</t>
        </is>
      </c>
      <c r="E156" t="inlineStr">
        <is>
          <t>PITEÅ</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59954-2024</t>
        </is>
      </c>
      <c r="B157" s="1" t="n">
        <v>45642.34875</v>
      </c>
      <c r="C157" s="1" t="n">
        <v>45969</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59973-2024</t>
        </is>
      </c>
      <c r="B158" s="1" t="n">
        <v>45642.36554398148</v>
      </c>
      <c r="C158" s="1" t="n">
        <v>45969</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24574-2021</t>
        </is>
      </c>
      <c r="B159" s="1" t="n">
        <v>44339.88760416667</v>
      </c>
      <c r="C159" s="1" t="n">
        <v>45969</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26390-2022</t>
        </is>
      </c>
      <c r="B160" s="1" t="n">
        <v>44735.73266203704</v>
      </c>
      <c r="C160" s="1" t="n">
        <v>45969</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45969</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52200-2024</t>
        </is>
      </c>
      <c r="B162" s="1" t="n">
        <v>45607</v>
      </c>
      <c r="C162" s="1" t="n">
        <v>45969</v>
      </c>
      <c r="D162" t="inlineStr">
        <is>
          <t>NORRBOTTENS LÄN</t>
        </is>
      </c>
      <c r="E162" t="inlineStr">
        <is>
          <t>PITEÅ</t>
        </is>
      </c>
      <c r="G162" t="n">
        <v>19.4</v>
      </c>
      <c r="H162" t="n">
        <v>0</v>
      </c>
      <c r="I162" t="n">
        <v>0</v>
      </c>
      <c r="J162" t="n">
        <v>0</v>
      </c>
      <c r="K162" t="n">
        <v>0</v>
      </c>
      <c r="L162" t="n">
        <v>0</v>
      </c>
      <c r="M162" t="n">
        <v>0</v>
      </c>
      <c r="N162" t="n">
        <v>0</v>
      </c>
      <c r="O162" t="n">
        <v>0</v>
      </c>
      <c r="P162" t="n">
        <v>0</v>
      </c>
      <c r="Q162" t="n">
        <v>0</v>
      </c>
      <c r="R162" s="2" t="inlineStr"/>
    </row>
    <row r="163" ht="15" customHeight="1">
      <c r="A163" t="inlineStr">
        <is>
          <t>A 17851-2024</t>
        </is>
      </c>
      <c r="B163" s="1" t="n">
        <v>45419</v>
      </c>
      <c r="C163" s="1" t="n">
        <v>45969</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9193-2022</t>
        </is>
      </c>
      <c r="B164" s="1" t="n">
        <v>44615</v>
      </c>
      <c r="C164" s="1" t="n">
        <v>45969</v>
      </c>
      <c r="D164" t="inlineStr">
        <is>
          <t>NORRBOTTENS LÄN</t>
        </is>
      </c>
      <c r="E164" t="inlineStr">
        <is>
          <t>PITEÅ</t>
        </is>
      </c>
      <c r="G164" t="n">
        <v>4.7</v>
      </c>
      <c r="H164" t="n">
        <v>0</v>
      </c>
      <c r="I164" t="n">
        <v>0</v>
      </c>
      <c r="J164" t="n">
        <v>0</v>
      </c>
      <c r="K164" t="n">
        <v>0</v>
      </c>
      <c r="L164" t="n">
        <v>0</v>
      </c>
      <c r="M164" t="n">
        <v>0</v>
      </c>
      <c r="N164" t="n">
        <v>0</v>
      </c>
      <c r="O164" t="n">
        <v>0</v>
      </c>
      <c r="P164" t="n">
        <v>0</v>
      </c>
      <c r="Q164" t="n">
        <v>0</v>
      </c>
      <c r="R164" s="2" t="inlineStr"/>
    </row>
    <row r="165" ht="15" customHeight="1">
      <c r="A165" t="inlineStr">
        <is>
          <t>A 472-2023</t>
        </is>
      </c>
      <c r="B165" s="1" t="n">
        <v>44929.92539351852</v>
      </c>
      <c r="C165" s="1" t="n">
        <v>45969</v>
      </c>
      <c r="D165" t="inlineStr">
        <is>
          <t>NORRBOTTENS LÄN</t>
        </is>
      </c>
      <c r="E165" t="inlineStr">
        <is>
          <t>PITEÅ</t>
        </is>
      </c>
      <c r="G165" t="n">
        <v>1.2</v>
      </c>
      <c r="H165" t="n">
        <v>0</v>
      </c>
      <c r="I165" t="n">
        <v>0</v>
      </c>
      <c r="J165" t="n">
        <v>0</v>
      </c>
      <c r="K165" t="n">
        <v>0</v>
      </c>
      <c r="L165" t="n">
        <v>0</v>
      </c>
      <c r="M165" t="n">
        <v>0</v>
      </c>
      <c r="N165" t="n">
        <v>0</v>
      </c>
      <c r="O165" t="n">
        <v>0</v>
      </c>
      <c r="P165" t="n">
        <v>0</v>
      </c>
      <c r="Q165" t="n">
        <v>0</v>
      </c>
      <c r="R165" s="2" t="inlineStr"/>
    </row>
    <row r="166" ht="15" customHeight="1">
      <c r="A166" t="inlineStr">
        <is>
          <t>A 473-2023</t>
        </is>
      </c>
      <c r="B166" s="1" t="n">
        <v>44929.92534722222</v>
      </c>
      <c r="C166" s="1" t="n">
        <v>45969</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45969</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60476-2022</t>
        </is>
      </c>
      <c r="B168" s="1" t="n">
        <v>44911.4128587963</v>
      </c>
      <c r="C168" s="1" t="n">
        <v>45969</v>
      </c>
      <c r="D168" t="inlineStr">
        <is>
          <t>NORRBOTTENS LÄN</t>
        </is>
      </c>
      <c r="E168" t="inlineStr">
        <is>
          <t>PITEÅ</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16265-2021</t>
        </is>
      </c>
      <c r="B169" s="1" t="n">
        <v>44292</v>
      </c>
      <c r="C169" s="1" t="n">
        <v>45969</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59516-2022</t>
        </is>
      </c>
      <c r="B170" s="1" t="n">
        <v>44907.52800925926</v>
      </c>
      <c r="C170" s="1" t="n">
        <v>45969</v>
      </c>
      <c r="D170" t="inlineStr">
        <is>
          <t>NORRBOTTENS LÄN</t>
        </is>
      </c>
      <c r="E170" t="inlineStr">
        <is>
          <t>PITEÅ</t>
        </is>
      </c>
      <c r="G170" t="n">
        <v>1</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45969</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45969</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20497-2025</t>
        </is>
      </c>
      <c r="B173" s="1" t="n">
        <v>45775.57372685185</v>
      </c>
      <c r="C173" s="1" t="n">
        <v>45969</v>
      </c>
      <c r="D173" t="inlineStr">
        <is>
          <t>NORRBOTTENS LÄN</t>
        </is>
      </c>
      <c r="E173" t="inlineStr">
        <is>
          <t>PITEÅ</t>
        </is>
      </c>
      <c r="G173" t="n">
        <v>1.7</v>
      </c>
      <c r="H173" t="n">
        <v>0</v>
      </c>
      <c r="I173" t="n">
        <v>0</v>
      </c>
      <c r="J173" t="n">
        <v>0</v>
      </c>
      <c r="K173" t="n">
        <v>0</v>
      </c>
      <c r="L173" t="n">
        <v>0</v>
      </c>
      <c r="M173" t="n">
        <v>0</v>
      </c>
      <c r="N173" t="n">
        <v>0</v>
      </c>
      <c r="O173" t="n">
        <v>0</v>
      </c>
      <c r="P173" t="n">
        <v>0</v>
      </c>
      <c r="Q173" t="n">
        <v>0</v>
      </c>
      <c r="R173" s="2" t="inlineStr"/>
    </row>
    <row r="174" ht="15" customHeight="1">
      <c r="A174" t="inlineStr">
        <is>
          <t>A 60082-2024</t>
        </is>
      </c>
      <c r="B174" s="1" t="n">
        <v>45642.53783564815</v>
      </c>
      <c r="C174" s="1" t="n">
        <v>45969</v>
      </c>
      <c r="D174" t="inlineStr">
        <is>
          <t>NORRBOTTENS LÄN</t>
        </is>
      </c>
      <c r="E174" t="inlineStr">
        <is>
          <t>PITEÅ</t>
        </is>
      </c>
      <c r="G174" t="n">
        <v>4</v>
      </c>
      <c r="H174" t="n">
        <v>0</v>
      </c>
      <c r="I174" t="n">
        <v>0</v>
      </c>
      <c r="J174" t="n">
        <v>0</v>
      </c>
      <c r="K174" t="n">
        <v>0</v>
      </c>
      <c r="L174" t="n">
        <v>0</v>
      </c>
      <c r="M174" t="n">
        <v>0</v>
      </c>
      <c r="N174" t="n">
        <v>0</v>
      </c>
      <c r="O174" t="n">
        <v>0</v>
      </c>
      <c r="P174" t="n">
        <v>0</v>
      </c>
      <c r="Q174" t="n">
        <v>0</v>
      </c>
      <c r="R174" s="2" t="inlineStr"/>
    </row>
    <row r="175" ht="15" customHeight="1">
      <c r="A175" t="inlineStr">
        <is>
          <t>A 59832-2023</t>
        </is>
      </c>
      <c r="B175" s="1" t="n">
        <v>45257</v>
      </c>
      <c r="C175" s="1" t="n">
        <v>45969</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9011-2024</t>
        </is>
      </c>
      <c r="B176" s="1" t="n">
        <v>45356</v>
      </c>
      <c r="C176" s="1" t="n">
        <v>45969</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43298-2021</t>
        </is>
      </c>
      <c r="B177" s="1" t="n">
        <v>44432</v>
      </c>
      <c r="C177" s="1" t="n">
        <v>45969</v>
      </c>
      <c r="D177" t="inlineStr">
        <is>
          <t>NORRBOTTENS LÄN</t>
        </is>
      </c>
      <c r="E177" t="inlineStr">
        <is>
          <t>PITEÅ</t>
        </is>
      </c>
      <c r="G177" t="n">
        <v>1.8</v>
      </c>
      <c r="H177" t="n">
        <v>0</v>
      </c>
      <c r="I177" t="n">
        <v>0</v>
      </c>
      <c r="J177" t="n">
        <v>0</v>
      </c>
      <c r="K177" t="n">
        <v>0</v>
      </c>
      <c r="L177" t="n">
        <v>0</v>
      </c>
      <c r="M177" t="n">
        <v>0</v>
      </c>
      <c r="N177" t="n">
        <v>0</v>
      </c>
      <c r="O177" t="n">
        <v>0</v>
      </c>
      <c r="P177" t="n">
        <v>0</v>
      </c>
      <c r="Q177" t="n">
        <v>0</v>
      </c>
      <c r="R177" s="2" t="inlineStr"/>
    </row>
    <row r="178" ht="15" customHeight="1">
      <c r="A178" t="inlineStr">
        <is>
          <t>A 19808-2025</t>
        </is>
      </c>
      <c r="B178" s="1" t="n">
        <v>45771.4549537037</v>
      </c>
      <c r="C178" s="1" t="n">
        <v>45969</v>
      </c>
      <c r="D178" t="inlineStr">
        <is>
          <t>NORRBOTTENS LÄN</t>
        </is>
      </c>
      <c r="E178" t="inlineStr">
        <is>
          <t>PITEÅ</t>
        </is>
      </c>
      <c r="G178" t="n">
        <v>1.1</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45969</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45969</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46843-2022</t>
        </is>
      </c>
      <c r="B181" s="1" t="n">
        <v>44848</v>
      </c>
      <c r="C181" s="1" t="n">
        <v>45969</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6026-2025</t>
        </is>
      </c>
      <c r="B182" s="1" t="n">
        <v>45695.62141203704</v>
      </c>
      <c r="C182" s="1" t="n">
        <v>45969</v>
      </c>
      <c r="D182" t="inlineStr">
        <is>
          <t>NORRBOTTENS LÄN</t>
        </is>
      </c>
      <c r="E182" t="inlineStr">
        <is>
          <t>PITEÅ</t>
        </is>
      </c>
      <c r="F182" t="inlineStr">
        <is>
          <t>Övriga Aktiebolag</t>
        </is>
      </c>
      <c r="G182" t="n">
        <v>4.9</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45969</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51350-2024</t>
        </is>
      </c>
      <c r="B184" s="1" t="n">
        <v>45604.35761574074</v>
      </c>
      <c r="C184" s="1" t="n">
        <v>45969</v>
      </c>
      <c r="D184" t="inlineStr">
        <is>
          <t>NORRBOTTENS LÄN</t>
        </is>
      </c>
      <c r="E184" t="inlineStr">
        <is>
          <t>PITEÅ</t>
        </is>
      </c>
      <c r="G184" t="n">
        <v>4.5</v>
      </c>
      <c r="H184" t="n">
        <v>0</v>
      </c>
      <c r="I184" t="n">
        <v>0</v>
      </c>
      <c r="J184" t="n">
        <v>0</v>
      </c>
      <c r="K184" t="n">
        <v>0</v>
      </c>
      <c r="L184" t="n">
        <v>0</v>
      </c>
      <c r="M184" t="n">
        <v>0</v>
      </c>
      <c r="N184" t="n">
        <v>0</v>
      </c>
      <c r="O184" t="n">
        <v>0</v>
      </c>
      <c r="P184" t="n">
        <v>0</v>
      </c>
      <c r="Q184" t="n">
        <v>0</v>
      </c>
      <c r="R184" s="2" t="inlineStr"/>
    </row>
    <row r="185" ht="15" customHeight="1">
      <c r="A185" t="inlineStr">
        <is>
          <t>A 3220-2024</t>
        </is>
      </c>
      <c r="B185" s="1" t="n">
        <v>45316</v>
      </c>
      <c r="C185" s="1" t="n">
        <v>45969</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55845-2022</t>
        </is>
      </c>
      <c r="B186" s="1" t="n">
        <v>44888</v>
      </c>
      <c r="C186" s="1" t="n">
        <v>45969</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39891-2024</t>
        </is>
      </c>
      <c r="B187" s="1" t="n">
        <v>45553</v>
      </c>
      <c r="C187" s="1" t="n">
        <v>45969</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38755-2022</t>
        </is>
      </c>
      <c r="B188" s="1" t="n">
        <v>44813</v>
      </c>
      <c r="C188" s="1" t="n">
        <v>45969</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41760-2023</t>
        </is>
      </c>
      <c r="B189" s="1" t="n">
        <v>45176</v>
      </c>
      <c r="C189" s="1" t="n">
        <v>45969</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3663-2025</t>
        </is>
      </c>
      <c r="B190" s="1" t="n">
        <v>45681.42721064815</v>
      </c>
      <c r="C190" s="1" t="n">
        <v>45969</v>
      </c>
      <c r="D190" t="inlineStr">
        <is>
          <t>NORRBOTTENS LÄN</t>
        </is>
      </c>
      <c r="E190" t="inlineStr">
        <is>
          <t>PITEÅ</t>
        </is>
      </c>
      <c r="G190" t="n">
        <v>3.8</v>
      </c>
      <c r="H190" t="n">
        <v>0</v>
      </c>
      <c r="I190" t="n">
        <v>0</v>
      </c>
      <c r="J190" t="n">
        <v>0</v>
      </c>
      <c r="K190" t="n">
        <v>0</v>
      </c>
      <c r="L190" t="n">
        <v>0</v>
      </c>
      <c r="M190" t="n">
        <v>0</v>
      </c>
      <c r="N190" t="n">
        <v>0</v>
      </c>
      <c r="O190" t="n">
        <v>0</v>
      </c>
      <c r="P190" t="n">
        <v>0</v>
      </c>
      <c r="Q190" t="n">
        <v>0</v>
      </c>
      <c r="R190" s="2" t="inlineStr"/>
    </row>
    <row r="191" ht="15" customHeight="1">
      <c r="A191" t="inlineStr">
        <is>
          <t>A 27175-2023</t>
        </is>
      </c>
      <c r="B191" s="1" t="n">
        <v>45096</v>
      </c>
      <c r="C191" s="1" t="n">
        <v>45969</v>
      </c>
      <c r="D191" t="inlineStr">
        <is>
          <t>NORRBOTTENS LÄN</t>
        </is>
      </c>
      <c r="E191" t="inlineStr">
        <is>
          <t>PITEÅ</t>
        </is>
      </c>
      <c r="F191" t="inlineStr">
        <is>
          <t>Övriga Aktiebolag</t>
        </is>
      </c>
      <c r="G191" t="n">
        <v>9.4</v>
      </c>
      <c r="H191" t="n">
        <v>0</v>
      </c>
      <c r="I191" t="n">
        <v>0</v>
      </c>
      <c r="J191" t="n">
        <v>0</v>
      </c>
      <c r="K191" t="n">
        <v>0</v>
      </c>
      <c r="L191" t="n">
        <v>0</v>
      </c>
      <c r="M191" t="n">
        <v>0</v>
      </c>
      <c r="N191" t="n">
        <v>0</v>
      </c>
      <c r="O191" t="n">
        <v>0</v>
      </c>
      <c r="P191" t="n">
        <v>0</v>
      </c>
      <c r="Q191" t="n">
        <v>0</v>
      </c>
      <c r="R191" s="2" t="inlineStr"/>
    </row>
    <row r="192" ht="15" customHeight="1">
      <c r="A192" t="inlineStr">
        <is>
          <t>A 18530-2024</t>
        </is>
      </c>
      <c r="B192" s="1" t="n">
        <v>45425</v>
      </c>
      <c r="C192" s="1" t="n">
        <v>45969</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50977-2024</t>
        </is>
      </c>
      <c r="B193" s="1" t="n">
        <v>45603.35820601852</v>
      </c>
      <c r="C193" s="1" t="n">
        <v>45969</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49462-2024</t>
        </is>
      </c>
      <c r="B194" s="1" t="n">
        <v>45596.31337962963</v>
      </c>
      <c r="C194" s="1" t="n">
        <v>45969</v>
      </c>
      <c r="D194" t="inlineStr">
        <is>
          <t>NORRBOTTENS LÄN</t>
        </is>
      </c>
      <c r="E194" t="inlineStr">
        <is>
          <t>PITEÅ</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45969</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48602-2022</t>
        </is>
      </c>
      <c r="B196" s="1" t="n">
        <v>44859</v>
      </c>
      <c r="C196" s="1" t="n">
        <v>45969</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48594-2024</t>
        </is>
      </c>
      <c r="B197" s="1" t="n">
        <v>45593</v>
      </c>
      <c r="C197" s="1" t="n">
        <v>45969</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21646-2021</t>
        </is>
      </c>
      <c r="B198" s="1" t="n">
        <v>44321</v>
      </c>
      <c r="C198" s="1" t="n">
        <v>45969</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55796-2023</t>
        </is>
      </c>
      <c r="B199" s="1" t="n">
        <v>45239.54928240741</v>
      </c>
      <c r="C199" s="1" t="n">
        <v>45969</v>
      </c>
      <c r="D199" t="inlineStr">
        <is>
          <t>NORRBOTTENS LÄN</t>
        </is>
      </c>
      <c r="E199" t="inlineStr">
        <is>
          <t>PITEÅ</t>
        </is>
      </c>
      <c r="G199" t="n">
        <v>38.2</v>
      </c>
      <c r="H199" t="n">
        <v>0</v>
      </c>
      <c r="I199" t="n">
        <v>0</v>
      </c>
      <c r="J199" t="n">
        <v>0</v>
      </c>
      <c r="K199" t="n">
        <v>0</v>
      </c>
      <c r="L199" t="n">
        <v>0</v>
      </c>
      <c r="M199" t="n">
        <v>0</v>
      </c>
      <c r="N199" t="n">
        <v>0</v>
      </c>
      <c r="O199" t="n">
        <v>0</v>
      </c>
      <c r="P199" t="n">
        <v>0</v>
      </c>
      <c r="Q199" t="n">
        <v>0</v>
      </c>
      <c r="R199" s="2" t="inlineStr"/>
    </row>
    <row r="200" ht="15" customHeight="1">
      <c r="A200" t="inlineStr">
        <is>
          <t>A 50031-2021</t>
        </is>
      </c>
      <c r="B200" s="1" t="n">
        <v>44454</v>
      </c>
      <c r="C200" s="1" t="n">
        <v>45969</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40813-2022</t>
        </is>
      </c>
      <c r="B201" s="1" t="n">
        <v>44824</v>
      </c>
      <c r="C201" s="1" t="n">
        <v>45969</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11937-2025</t>
        </is>
      </c>
      <c r="B202" s="1" t="n">
        <v>45728.53216435185</v>
      </c>
      <c r="C202" s="1" t="n">
        <v>45969</v>
      </c>
      <c r="D202" t="inlineStr">
        <is>
          <t>NORRBOTTENS LÄN</t>
        </is>
      </c>
      <c r="E202" t="inlineStr">
        <is>
          <t>PITEÅ</t>
        </is>
      </c>
      <c r="F202" t="inlineStr">
        <is>
          <t>Kommuner</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37635-2025</t>
        </is>
      </c>
      <c r="B203" s="1" t="n">
        <v>45880</v>
      </c>
      <c r="C203" s="1" t="n">
        <v>45969</v>
      </c>
      <c r="D203" t="inlineStr">
        <is>
          <t>NORRBOTTENS LÄN</t>
        </is>
      </c>
      <c r="E203" t="inlineStr">
        <is>
          <t>PITEÅ</t>
        </is>
      </c>
      <c r="G203" t="n">
        <v>4.1</v>
      </c>
      <c r="H203" t="n">
        <v>0</v>
      </c>
      <c r="I203" t="n">
        <v>0</v>
      </c>
      <c r="J203" t="n">
        <v>0</v>
      </c>
      <c r="K203" t="n">
        <v>0</v>
      </c>
      <c r="L203" t="n">
        <v>0</v>
      </c>
      <c r="M203" t="n">
        <v>0</v>
      </c>
      <c r="N203" t="n">
        <v>0</v>
      </c>
      <c r="O203" t="n">
        <v>0</v>
      </c>
      <c r="P203" t="n">
        <v>0</v>
      </c>
      <c r="Q203" t="n">
        <v>0</v>
      </c>
      <c r="R203" s="2" t="inlineStr"/>
    </row>
    <row r="204" ht="15" customHeight="1">
      <c r="A204" t="inlineStr">
        <is>
          <t>A 38244-2025</t>
        </is>
      </c>
      <c r="B204" s="1" t="n">
        <v>45883.36557870371</v>
      </c>
      <c r="C204" s="1" t="n">
        <v>45969</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61711-2022</t>
        </is>
      </c>
      <c r="B205" s="1" t="n">
        <v>44917</v>
      </c>
      <c r="C205" s="1" t="n">
        <v>45969</v>
      </c>
      <c r="D205" t="inlineStr">
        <is>
          <t>NORRBOTTENS LÄN</t>
        </is>
      </c>
      <c r="E205" t="inlineStr">
        <is>
          <t>PITEÅ</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29481-2023</t>
        </is>
      </c>
      <c r="B206" s="1" t="n">
        <v>45106</v>
      </c>
      <c r="C206" s="1" t="n">
        <v>45969</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57200-2023</t>
        </is>
      </c>
      <c r="B207" s="1" t="n">
        <v>45245</v>
      </c>
      <c r="C207" s="1" t="n">
        <v>45969</v>
      </c>
      <c r="D207" t="inlineStr">
        <is>
          <t>NORRBOTTENS LÄN</t>
        </is>
      </c>
      <c r="E207" t="inlineStr">
        <is>
          <t>PITEÅ</t>
        </is>
      </c>
      <c r="G207" t="n">
        <v>11.4</v>
      </c>
      <c r="H207" t="n">
        <v>0</v>
      </c>
      <c r="I207" t="n">
        <v>0</v>
      </c>
      <c r="J207" t="n">
        <v>0</v>
      </c>
      <c r="K207" t="n">
        <v>0</v>
      </c>
      <c r="L207" t="n">
        <v>0</v>
      </c>
      <c r="M207" t="n">
        <v>0</v>
      </c>
      <c r="N207" t="n">
        <v>0</v>
      </c>
      <c r="O207" t="n">
        <v>0</v>
      </c>
      <c r="P207" t="n">
        <v>0</v>
      </c>
      <c r="Q207" t="n">
        <v>0</v>
      </c>
      <c r="R207" s="2" t="inlineStr"/>
    </row>
    <row r="208" ht="15" customHeight="1">
      <c r="A208" t="inlineStr">
        <is>
          <t>A 38230-2021</t>
        </is>
      </c>
      <c r="B208" s="1" t="n">
        <v>44405.61335648148</v>
      </c>
      <c r="C208" s="1" t="n">
        <v>45969</v>
      </c>
      <c r="D208" t="inlineStr">
        <is>
          <t>NORRBOTTENS LÄN</t>
        </is>
      </c>
      <c r="E208" t="inlineStr">
        <is>
          <t>PITEÅ</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44461-2023</t>
        </is>
      </c>
      <c r="B209" s="1" t="n">
        <v>45183</v>
      </c>
      <c r="C209" s="1" t="n">
        <v>45969</v>
      </c>
      <c r="D209" t="inlineStr">
        <is>
          <t>NORRBOTTENS LÄN</t>
        </is>
      </c>
      <c r="E209" t="inlineStr">
        <is>
          <t>PITEÅ</t>
        </is>
      </c>
      <c r="G209" t="n">
        <v>1</v>
      </c>
      <c r="H209" t="n">
        <v>0</v>
      </c>
      <c r="I209" t="n">
        <v>0</v>
      </c>
      <c r="J209" t="n">
        <v>0</v>
      </c>
      <c r="K209" t="n">
        <v>0</v>
      </c>
      <c r="L209" t="n">
        <v>0</v>
      </c>
      <c r="M209" t="n">
        <v>0</v>
      </c>
      <c r="N209" t="n">
        <v>0</v>
      </c>
      <c r="O209" t="n">
        <v>0</v>
      </c>
      <c r="P209" t="n">
        <v>0</v>
      </c>
      <c r="Q209" t="n">
        <v>0</v>
      </c>
      <c r="R209" s="2" t="inlineStr"/>
    </row>
    <row r="210" ht="15" customHeight="1">
      <c r="A210" t="inlineStr">
        <is>
          <t>A 2625-2023</t>
        </is>
      </c>
      <c r="B210" s="1" t="n">
        <v>44942</v>
      </c>
      <c r="C210" s="1" t="n">
        <v>45969</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38334-2025</t>
        </is>
      </c>
      <c r="B211" s="1" t="n">
        <v>45883.49172453704</v>
      </c>
      <c r="C211" s="1" t="n">
        <v>45969</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38335-2025</t>
        </is>
      </c>
      <c r="B212" s="1" t="n">
        <v>45883.49179398148</v>
      </c>
      <c r="C212" s="1" t="n">
        <v>45969</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38336-2025</t>
        </is>
      </c>
      <c r="B213" s="1" t="n">
        <v>45883.49185185185</v>
      </c>
      <c r="C213" s="1" t="n">
        <v>45969</v>
      </c>
      <c r="D213" t="inlineStr">
        <is>
          <t>NORRBOTTENS LÄN</t>
        </is>
      </c>
      <c r="E213" t="inlineStr">
        <is>
          <t>PITEÅ</t>
        </is>
      </c>
      <c r="G213" t="n">
        <v>0.7</v>
      </c>
      <c r="H213" t="n">
        <v>0</v>
      </c>
      <c r="I213" t="n">
        <v>0</v>
      </c>
      <c r="J213" t="n">
        <v>0</v>
      </c>
      <c r="K213" t="n">
        <v>0</v>
      </c>
      <c r="L213" t="n">
        <v>0</v>
      </c>
      <c r="M213" t="n">
        <v>0</v>
      </c>
      <c r="N213" t="n">
        <v>0</v>
      </c>
      <c r="O213" t="n">
        <v>0</v>
      </c>
      <c r="P213" t="n">
        <v>0</v>
      </c>
      <c r="Q213" t="n">
        <v>0</v>
      </c>
      <c r="R213" s="2" t="inlineStr"/>
    </row>
    <row r="214" ht="15" customHeight="1">
      <c r="A214" t="inlineStr">
        <is>
          <t>A 11998-2024</t>
        </is>
      </c>
      <c r="B214" s="1" t="n">
        <v>45377.23140046297</v>
      </c>
      <c r="C214" s="1" t="n">
        <v>45969</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28721-2024</t>
        </is>
      </c>
      <c r="B215" s="1" t="n">
        <v>45478.54922453704</v>
      </c>
      <c r="C215" s="1" t="n">
        <v>45969</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28727-2024</t>
        </is>
      </c>
      <c r="B216" s="1" t="n">
        <v>45478.55758101852</v>
      </c>
      <c r="C216" s="1" t="n">
        <v>45969</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21851-2022</t>
        </is>
      </c>
      <c r="B217" s="1" t="n">
        <v>44708</v>
      </c>
      <c r="C217" s="1" t="n">
        <v>45969</v>
      </c>
      <c r="D217" t="inlineStr">
        <is>
          <t>NORRBOTTENS LÄN</t>
        </is>
      </c>
      <c r="E217" t="inlineStr">
        <is>
          <t>PITEÅ</t>
        </is>
      </c>
      <c r="G217" t="n">
        <v>3.2</v>
      </c>
      <c r="H217" t="n">
        <v>0</v>
      </c>
      <c r="I217" t="n">
        <v>0</v>
      </c>
      <c r="J217" t="n">
        <v>0</v>
      </c>
      <c r="K217" t="n">
        <v>0</v>
      </c>
      <c r="L217" t="n">
        <v>0</v>
      </c>
      <c r="M217" t="n">
        <v>0</v>
      </c>
      <c r="N217" t="n">
        <v>0</v>
      </c>
      <c r="O217" t="n">
        <v>0</v>
      </c>
      <c r="P217" t="n">
        <v>0</v>
      </c>
      <c r="Q217" t="n">
        <v>0</v>
      </c>
      <c r="R217" s="2" t="inlineStr"/>
    </row>
    <row r="218" ht="15" customHeight="1">
      <c r="A218" t="inlineStr">
        <is>
          <t>A 5636-2023</t>
        </is>
      </c>
      <c r="B218" s="1" t="n">
        <v>44960.59099537037</v>
      </c>
      <c r="C218" s="1" t="n">
        <v>45969</v>
      </c>
      <c r="D218" t="inlineStr">
        <is>
          <t>NORRBOTTENS LÄN</t>
        </is>
      </c>
      <c r="E218" t="inlineStr">
        <is>
          <t>PITEÅ</t>
        </is>
      </c>
      <c r="G218" t="n">
        <v>2.5</v>
      </c>
      <c r="H218" t="n">
        <v>0</v>
      </c>
      <c r="I218" t="n">
        <v>0</v>
      </c>
      <c r="J218" t="n">
        <v>0</v>
      </c>
      <c r="K218" t="n">
        <v>0</v>
      </c>
      <c r="L218" t="n">
        <v>0</v>
      </c>
      <c r="M218" t="n">
        <v>0</v>
      </c>
      <c r="N218" t="n">
        <v>0</v>
      </c>
      <c r="O218" t="n">
        <v>0</v>
      </c>
      <c r="P218" t="n">
        <v>0</v>
      </c>
      <c r="Q218" t="n">
        <v>0</v>
      </c>
      <c r="R218" s="2" t="inlineStr"/>
    </row>
    <row r="219" ht="15" customHeight="1">
      <c r="A219" t="inlineStr">
        <is>
          <t>A 16560-2023</t>
        </is>
      </c>
      <c r="B219" s="1" t="n">
        <v>45029</v>
      </c>
      <c r="C219" s="1" t="n">
        <v>45969</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45969</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30440-2022</t>
        </is>
      </c>
      <c r="B221" s="1" t="n">
        <v>44761</v>
      </c>
      <c r="C221" s="1" t="n">
        <v>45969</v>
      </c>
      <c r="D221" t="inlineStr">
        <is>
          <t>NORRBOTTENS LÄN</t>
        </is>
      </c>
      <c r="E221" t="inlineStr">
        <is>
          <t>PITEÅ</t>
        </is>
      </c>
      <c r="G221" t="n">
        <v>3.4</v>
      </c>
      <c r="H221" t="n">
        <v>0</v>
      </c>
      <c r="I221" t="n">
        <v>0</v>
      </c>
      <c r="J221" t="n">
        <v>0</v>
      </c>
      <c r="K221" t="n">
        <v>0</v>
      </c>
      <c r="L221" t="n">
        <v>0</v>
      </c>
      <c r="M221" t="n">
        <v>0</v>
      </c>
      <c r="N221" t="n">
        <v>0</v>
      </c>
      <c r="O221" t="n">
        <v>0</v>
      </c>
      <c r="P221" t="n">
        <v>0</v>
      </c>
      <c r="Q221" t="n">
        <v>0</v>
      </c>
      <c r="R221" s="2" t="inlineStr"/>
    </row>
    <row r="222" ht="15" customHeight="1">
      <c r="A222" t="inlineStr">
        <is>
          <t>A 37951-2021</t>
        </is>
      </c>
      <c r="B222" s="1" t="n">
        <v>44403.92158564815</v>
      </c>
      <c r="C222" s="1" t="n">
        <v>45969</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38305-2025</t>
        </is>
      </c>
      <c r="B223" s="1" t="n">
        <v>45883.46922453704</v>
      </c>
      <c r="C223" s="1" t="n">
        <v>45969</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24424-2024</t>
        </is>
      </c>
      <c r="B224" s="1" t="n">
        <v>45457</v>
      </c>
      <c r="C224" s="1" t="n">
        <v>45969</v>
      </c>
      <c r="D224" t="inlineStr">
        <is>
          <t>NORRBOTTENS LÄN</t>
        </is>
      </c>
      <c r="E224" t="inlineStr">
        <is>
          <t>PITEÅ</t>
        </is>
      </c>
      <c r="G224" t="n">
        <v>2.3</v>
      </c>
      <c r="H224" t="n">
        <v>0</v>
      </c>
      <c r="I224" t="n">
        <v>0</v>
      </c>
      <c r="J224" t="n">
        <v>0</v>
      </c>
      <c r="K224" t="n">
        <v>0</v>
      </c>
      <c r="L224" t="n">
        <v>0</v>
      </c>
      <c r="M224" t="n">
        <v>0</v>
      </c>
      <c r="N224" t="n">
        <v>0</v>
      </c>
      <c r="O224" t="n">
        <v>0</v>
      </c>
      <c r="P224" t="n">
        <v>0</v>
      </c>
      <c r="Q224" t="n">
        <v>0</v>
      </c>
      <c r="R224" s="2" t="inlineStr"/>
    </row>
    <row r="225" ht="15" customHeight="1">
      <c r="A225" t="inlineStr">
        <is>
          <t>A 25969-2024</t>
        </is>
      </c>
      <c r="B225" s="1" t="n">
        <v>45467</v>
      </c>
      <c r="C225" s="1" t="n">
        <v>45969</v>
      </c>
      <c r="D225" t="inlineStr">
        <is>
          <t>NORRBOTTENS LÄN</t>
        </is>
      </c>
      <c r="E225" t="inlineStr">
        <is>
          <t>PITEÅ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45969</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45969</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45969</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56661-2022</t>
        </is>
      </c>
      <c r="B229" s="1" t="n">
        <v>44893.64318287037</v>
      </c>
      <c r="C229" s="1" t="n">
        <v>45969</v>
      </c>
      <c r="D229" t="inlineStr">
        <is>
          <t>NORRBOTTENS LÄN</t>
        </is>
      </c>
      <c r="E229" t="inlineStr">
        <is>
          <t>PITEÅ</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47124-2025</t>
        </is>
      </c>
      <c r="B230" s="1" t="n">
        <v>45929.68081018519</v>
      </c>
      <c r="C230" s="1" t="n">
        <v>45969</v>
      </c>
      <c r="D230" t="inlineStr">
        <is>
          <t>NORRBOTTENS LÄN</t>
        </is>
      </c>
      <c r="E230" t="inlineStr">
        <is>
          <t>PITEÅ</t>
        </is>
      </c>
      <c r="F230" t="inlineStr">
        <is>
          <t>Sveaskog</t>
        </is>
      </c>
      <c r="G230" t="n">
        <v>49.2</v>
      </c>
      <c r="H230" t="n">
        <v>0</v>
      </c>
      <c r="I230" t="n">
        <v>0</v>
      </c>
      <c r="J230" t="n">
        <v>0</v>
      </c>
      <c r="K230" t="n">
        <v>0</v>
      </c>
      <c r="L230" t="n">
        <v>0</v>
      </c>
      <c r="M230" t="n">
        <v>0</v>
      </c>
      <c r="N230" t="n">
        <v>0</v>
      </c>
      <c r="O230" t="n">
        <v>0</v>
      </c>
      <c r="P230" t="n">
        <v>0</v>
      </c>
      <c r="Q230" t="n">
        <v>0</v>
      </c>
      <c r="R230" s="2" t="inlineStr"/>
    </row>
    <row r="231" ht="15" customHeight="1">
      <c r="A231" t="inlineStr">
        <is>
          <t>A 11469-2025</t>
        </is>
      </c>
      <c r="B231" s="1" t="n">
        <v>45726.66239583334</v>
      </c>
      <c r="C231" s="1" t="n">
        <v>45969</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45969</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47078-2025</t>
        </is>
      </c>
      <c r="B233" s="1" t="n">
        <v>45929.63853009259</v>
      </c>
      <c r="C233" s="1" t="n">
        <v>45969</v>
      </c>
      <c r="D233" t="inlineStr">
        <is>
          <t>NORRBOTTENS LÄN</t>
        </is>
      </c>
      <c r="E233" t="inlineStr">
        <is>
          <t>PITEÅ</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47323-2025</t>
        </is>
      </c>
      <c r="B234" s="1" t="n">
        <v>45930.55295138889</v>
      </c>
      <c r="C234" s="1" t="n">
        <v>45969</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71287-2021</t>
        </is>
      </c>
      <c r="B235" s="1" t="n">
        <v>44538</v>
      </c>
      <c r="C235" s="1" t="n">
        <v>45969</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27923-2023</t>
        </is>
      </c>
      <c r="B236" s="1" t="n">
        <v>45098</v>
      </c>
      <c r="C236" s="1" t="n">
        <v>45969</v>
      </c>
      <c r="D236" t="inlineStr">
        <is>
          <t>NORRBOTTENS LÄN</t>
        </is>
      </c>
      <c r="E236" t="inlineStr">
        <is>
          <t>PITEÅ</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22394-2021</t>
        </is>
      </c>
      <c r="B237" s="1" t="n">
        <v>44326</v>
      </c>
      <c r="C237" s="1" t="n">
        <v>45969</v>
      </c>
      <c r="D237" t="inlineStr">
        <is>
          <t>NORRBOTTENS LÄN</t>
        </is>
      </c>
      <c r="E237" t="inlineStr">
        <is>
          <t>PITEÅ</t>
        </is>
      </c>
      <c r="F237" t="inlineStr">
        <is>
          <t>Övriga Aktiebolag</t>
        </is>
      </c>
      <c r="G237" t="n">
        <v>23.9</v>
      </c>
      <c r="H237" t="n">
        <v>0</v>
      </c>
      <c r="I237" t="n">
        <v>0</v>
      </c>
      <c r="J237" t="n">
        <v>0</v>
      </c>
      <c r="K237" t="n">
        <v>0</v>
      </c>
      <c r="L237" t="n">
        <v>0</v>
      </c>
      <c r="M237" t="n">
        <v>0</v>
      </c>
      <c r="N237" t="n">
        <v>0</v>
      </c>
      <c r="O237" t="n">
        <v>0</v>
      </c>
      <c r="P237" t="n">
        <v>0</v>
      </c>
      <c r="Q237" t="n">
        <v>0</v>
      </c>
      <c r="R237" s="2" t="inlineStr"/>
    </row>
    <row r="238" ht="15" customHeight="1">
      <c r="A238" t="inlineStr">
        <is>
          <t>A 56319-2022</t>
        </is>
      </c>
      <c r="B238" s="1" t="n">
        <v>44890</v>
      </c>
      <c r="C238" s="1" t="n">
        <v>45969</v>
      </c>
      <c r="D238" t="inlineStr">
        <is>
          <t>NORRBOTTENS LÄN</t>
        </is>
      </c>
      <c r="E238" t="inlineStr">
        <is>
          <t>PITEÅ</t>
        </is>
      </c>
      <c r="F238" t="inlineStr">
        <is>
          <t>Övriga Aktiebolag</t>
        </is>
      </c>
      <c r="G238" t="n">
        <v>5.3</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45969</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32924-2021</t>
        </is>
      </c>
      <c r="B240" s="1" t="n">
        <v>44375.93804398148</v>
      </c>
      <c r="C240" s="1" t="n">
        <v>45969</v>
      </c>
      <c r="D240" t="inlineStr">
        <is>
          <t>NORRBOTTENS LÄN</t>
        </is>
      </c>
      <c r="E240" t="inlineStr">
        <is>
          <t>PITEÅ</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49361-2023</t>
        </is>
      </c>
      <c r="B241" s="1" t="n">
        <v>45211.33572916667</v>
      </c>
      <c r="C241" s="1" t="n">
        <v>45969</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44199-2023</t>
        </is>
      </c>
      <c r="B242" s="1" t="n">
        <v>45188</v>
      </c>
      <c r="C242" s="1" t="n">
        <v>45969</v>
      </c>
      <c r="D242" t="inlineStr">
        <is>
          <t>NORRBOTTENS LÄN</t>
        </is>
      </c>
      <c r="E242" t="inlineStr">
        <is>
          <t>PITEÅ</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33539-2021</t>
        </is>
      </c>
      <c r="B243" s="1" t="n">
        <v>44377.92153935185</v>
      </c>
      <c r="C243" s="1" t="n">
        <v>45969</v>
      </c>
      <c r="D243" t="inlineStr">
        <is>
          <t>NORRBOTTENS LÄN</t>
        </is>
      </c>
      <c r="E243" t="inlineStr">
        <is>
          <t>PITEÅ</t>
        </is>
      </c>
      <c r="G243" t="n">
        <v>15.5</v>
      </c>
      <c r="H243" t="n">
        <v>0</v>
      </c>
      <c r="I243" t="n">
        <v>0</v>
      </c>
      <c r="J243" t="n">
        <v>0</v>
      </c>
      <c r="K243" t="n">
        <v>0</v>
      </c>
      <c r="L243" t="n">
        <v>0</v>
      </c>
      <c r="M243" t="n">
        <v>0</v>
      </c>
      <c r="N243" t="n">
        <v>0</v>
      </c>
      <c r="O243" t="n">
        <v>0</v>
      </c>
      <c r="P243" t="n">
        <v>0</v>
      </c>
      <c r="Q243" t="n">
        <v>0</v>
      </c>
      <c r="R243" s="2" t="inlineStr"/>
    </row>
    <row r="244" ht="15" customHeight="1">
      <c r="A244" t="inlineStr">
        <is>
          <t>A 27676-2023</t>
        </is>
      </c>
      <c r="B244" s="1" t="n">
        <v>45097.92392361111</v>
      </c>
      <c r="C244" s="1" t="n">
        <v>45969</v>
      </c>
      <c r="D244" t="inlineStr">
        <is>
          <t>NORRBOTTENS LÄN</t>
        </is>
      </c>
      <c r="E244" t="inlineStr">
        <is>
          <t>PITEÅ</t>
        </is>
      </c>
      <c r="G244" t="n">
        <v>6.8</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45969</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6754-2025</t>
        </is>
      </c>
      <c r="B246" s="1" t="n">
        <v>45700.61891203704</v>
      </c>
      <c r="C246" s="1" t="n">
        <v>45969</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4086-2024</t>
        </is>
      </c>
      <c r="B247" s="1" t="n">
        <v>45323</v>
      </c>
      <c r="C247" s="1" t="n">
        <v>45969</v>
      </c>
      <c r="D247" t="inlineStr">
        <is>
          <t>NORRBOTTENS LÄN</t>
        </is>
      </c>
      <c r="E247" t="inlineStr">
        <is>
          <t>PITEÅ</t>
        </is>
      </c>
      <c r="G247" t="n">
        <v>11.3</v>
      </c>
      <c r="H247" t="n">
        <v>0</v>
      </c>
      <c r="I247" t="n">
        <v>0</v>
      </c>
      <c r="J247" t="n">
        <v>0</v>
      </c>
      <c r="K247" t="n">
        <v>0</v>
      </c>
      <c r="L247" t="n">
        <v>0</v>
      </c>
      <c r="M247" t="n">
        <v>0</v>
      </c>
      <c r="N247" t="n">
        <v>0</v>
      </c>
      <c r="O247" t="n">
        <v>0</v>
      </c>
      <c r="P247" t="n">
        <v>0</v>
      </c>
      <c r="Q247" t="n">
        <v>0</v>
      </c>
      <c r="R247" s="2" t="inlineStr"/>
    </row>
    <row r="248" ht="15" customHeight="1">
      <c r="A248" t="inlineStr">
        <is>
          <t>A 42379-2024</t>
        </is>
      </c>
      <c r="B248" s="1" t="n">
        <v>45564</v>
      </c>
      <c r="C248" s="1" t="n">
        <v>45969</v>
      </c>
      <c r="D248" t="inlineStr">
        <is>
          <t>NORRBOTTENS LÄN</t>
        </is>
      </c>
      <c r="E248" t="inlineStr">
        <is>
          <t>PITEÅ</t>
        </is>
      </c>
      <c r="G248" t="n">
        <v>21.6</v>
      </c>
      <c r="H248" t="n">
        <v>0</v>
      </c>
      <c r="I248" t="n">
        <v>0</v>
      </c>
      <c r="J248" t="n">
        <v>0</v>
      </c>
      <c r="K248" t="n">
        <v>0</v>
      </c>
      <c r="L248" t="n">
        <v>0</v>
      </c>
      <c r="M248" t="n">
        <v>0</v>
      </c>
      <c r="N248" t="n">
        <v>0</v>
      </c>
      <c r="O248" t="n">
        <v>0</v>
      </c>
      <c r="P248" t="n">
        <v>0</v>
      </c>
      <c r="Q248" t="n">
        <v>0</v>
      </c>
      <c r="R248" s="2" t="inlineStr"/>
    </row>
    <row r="249" ht="15" customHeight="1">
      <c r="A249" t="inlineStr">
        <is>
          <t>A 2888-2025</t>
        </is>
      </c>
      <c r="B249" s="1" t="n">
        <v>45677.7190625</v>
      </c>
      <c r="C249" s="1" t="n">
        <v>45969</v>
      </c>
      <c r="D249" t="inlineStr">
        <is>
          <t>NORRBOTTENS LÄN</t>
        </is>
      </c>
      <c r="E249" t="inlineStr">
        <is>
          <t>PITEÅ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55124-2023</t>
        </is>
      </c>
      <c r="B250" s="1" t="n">
        <v>45237.48104166667</v>
      </c>
      <c r="C250" s="1" t="n">
        <v>45969</v>
      </c>
      <c r="D250" t="inlineStr">
        <is>
          <t>NORRBOTTENS LÄN</t>
        </is>
      </c>
      <c r="E250" t="inlineStr">
        <is>
          <t>PITEÅ</t>
        </is>
      </c>
      <c r="G250" t="n">
        <v>0.5</v>
      </c>
      <c r="H250" t="n">
        <v>0</v>
      </c>
      <c r="I250" t="n">
        <v>0</v>
      </c>
      <c r="J250" t="n">
        <v>0</v>
      </c>
      <c r="K250" t="n">
        <v>0</v>
      </c>
      <c r="L250" t="n">
        <v>0</v>
      </c>
      <c r="M250" t="n">
        <v>0</v>
      </c>
      <c r="N250" t="n">
        <v>0</v>
      </c>
      <c r="O250" t="n">
        <v>0</v>
      </c>
      <c r="P250" t="n">
        <v>0</v>
      </c>
      <c r="Q250" t="n">
        <v>0</v>
      </c>
      <c r="R250" s="2" t="inlineStr"/>
    </row>
    <row r="251" ht="15" customHeight="1">
      <c r="A251" t="inlineStr">
        <is>
          <t>A 4329-2025</t>
        </is>
      </c>
      <c r="B251" s="1" t="n">
        <v>45685</v>
      </c>
      <c r="C251" s="1" t="n">
        <v>45969</v>
      </c>
      <c r="D251" t="inlineStr">
        <is>
          <t>NORRBOTTENS LÄN</t>
        </is>
      </c>
      <c r="E251" t="inlineStr">
        <is>
          <t>PITEÅ</t>
        </is>
      </c>
      <c r="G251" t="n">
        <v>10.8</v>
      </c>
      <c r="H251" t="n">
        <v>0</v>
      </c>
      <c r="I251" t="n">
        <v>0</v>
      </c>
      <c r="J251" t="n">
        <v>0</v>
      </c>
      <c r="K251" t="n">
        <v>0</v>
      </c>
      <c r="L251" t="n">
        <v>0</v>
      </c>
      <c r="M251" t="n">
        <v>0</v>
      </c>
      <c r="N251" t="n">
        <v>0</v>
      </c>
      <c r="O251" t="n">
        <v>0</v>
      </c>
      <c r="P251" t="n">
        <v>0</v>
      </c>
      <c r="Q251" t="n">
        <v>0</v>
      </c>
      <c r="R251" s="2" t="inlineStr"/>
    </row>
    <row r="252" ht="15" customHeight="1">
      <c r="A252" t="inlineStr">
        <is>
          <t>A 15532-2025</t>
        </is>
      </c>
      <c r="B252" s="1" t="n">
        <v>45747.63590277778</v>
      </c>
      <c r="C252" s="1" t="n">
        <v>45969</v>
      </c>
      <c r="D252" t="inlineStr">
        <is>
          <t>NORRBOTTENS LÄN</t>
        </is>
      </c>
      <c r="E252" t="inlineStr">
        <is>
          <t>PITEÅ</t>
        </is>
      </c>
      <c r="G252" t="n">
        <v>7.9</v>
      </c>
      <c r="H252" t="n">
        <v>0</v>
      </c>
      <c r="I252" t="n">
        <v>0</v>
      </c>
      <c r="J252" t="n">
        <v>0</v>
      </c>
      <c r="K252" t="n">
        <v>0</v>
      </c>
      <c r="L252" t="n">
        <v>0</v>
      </c>
      <c r="M252" t="n">
        <v>0</v>
      </c>
      <c r="N252" t="n">
        <v>0</v>
      </c>
      <c r="O252" t="n">
        <v>0</v>
      </c>
      <c r="P252" t="n">
        <v>0</v>
      </c>
      <c r="Q252" t="n">
        <v>0</v>
      </c>
      <c r="R252" s="2" t="inlineStr"/>
    </row>
    <row r="253" ht="15" customHeight="1">
      <c r="A253" t="inlineStr">
        <is>
          <t>A 31729-2023</t>
        </is>
      </c>
      <c r="B253" s="1" t="n">
        <v>45117.95149305555</v>
      </c>
      <c r="C253" s="1" t="n">
        <v>45969</v>
      </c>
      <c r="D253" t="inlineStr">
        <is>
          <t>NORRBOTTENS LÄN</t>
        </is>
      </c>
      <c r="E253" t="inlineStr">
        <is>
          <t>PITEÅ</t>
        </is>
      </c>
      <c r="F253" t="inlineStr">
        <is>
          <t>SCA</t>
        </is>
      </c>
      <c r="G253" t="n">
        <v>33.7</v>
      </c>
      <c r="H253" t="n">
        <v>0</v>
      </c>
      <c r="I253" t="n">
        <v>0</v>
      </c>
      <c r="J253" t="n">
        <v>0</v>
      </c>
      <c r="K253" t="n">
        <v>0</v>
      </c>
      <c r="L253" t="n">
        <v>0</v>
      </c>
      <c r="M253" t="n">
        <v>0</v>
      </c>
      <c r="N253" t="n">
        <v>0</v>
      </c>
      <c r="O253" t="n">
        <v>0</v>
      </c>
      <c r="P253" t="n">
        <v>0</v>
      </c>
      <c r="Q253" t="n">
        <v>0</v>
      </c>
      <c r="R253" s="2" t="inlineStr"/>
    </row>
    <row r="254" ht="15" customHeight="1">
      <c r="A254" t="inlineStr">
        <is>
          <t>A 47564-2021</t>
        </is>
      </c>
      <c r="B254" s="1" t="n">
        <v>44447</v>
      </c>
      <c r="C254" s="1" t="n">
        <v>45969</v>
      </c>
      <c r="D254" t="inlineStr">
        <is>
          <t>NORRBOTTENS LÄN</t>
        </is>
      </c>
      <c r="E254" t="inlineStr">
        <is>
          <t>PITEÅ</t>
        </is>
      </c>
      <c r="F254" t="inlineStr">
        <is>
          <t>SCA</t>
        </is>
      </c>
      <c r="G254" t="n">
        <v>6.4</v>
      </c>
      <c r="H254" t="n">
        <v>0</v>
      </c>
      <c r="I254" t="n">
        <v>0</v>
      </c>
      <c r="J254" t="n">
        <v>0</v>
      </c>
      <c r="K254" t="n">
        <v>0</v>
      </c>
      <c r="L254" t="n">
        <v>0</v>
      </c>
      <c r="M254" t="n">
        <v>0</v>
      </c>
      <c r="N254" t="n">
        <v>0</v>
      </c>
      <c r="O254" t="n">
        <v>0</v>
      </c>
      <c r="P254" t="n">
        <v>0</v>
      </c>
      <c r="Q254" t="n">
        <v>0</v>
      </c>
      <c r="R254" s="2" t="inlineStr"/>
    </row>
    <row r="255" ht="15" customHeight="1">
      <c r="A255" t="inlineStr">
        <is>
          <t>A 28707-2024</t>
        </is>
      </c>
      <c r="B255" s="1" t="n">
        <v>45478.52390046296</v>
      </c>
      <c r="C255" s="1" t="n">
        <v>45969</v>
      </c>
      <c r="D255" t="inlineStr">
        <is>
          <t>NORRBOTTENS LÄN</t>
        </is>
      </c>
      <c r="E255" t="inlineStr">
        <is>
          <t>PITEÅ</t>
        </is>
      </c>
      <c r="G255" t="n">
        <v>3.3</v>
      </c>
      <c r="H255" t="n">
        <v>0</v>
      </c>
      <c r="I255" t="n">
        <v>0</v>
      </c>
      <c r="J255" t="n">
        <v>0</v>
      </c>
      <c r="K255" t="n">
        <v>0</v>
      </c>
      <c r="L255" t="n">
        <v>0</v>
      </c>
      <c r="M255" t="n">
        <v>0</v>
      </c>
      <c r="N255" t="n">
        <v>0</v>
      </c>
      <c r="O255" t="n">
        <v>0</v>
      </c>
      <c r="P255" t="n">
        <v>0</v>
      </c>
      <c r="Q255" t="n">
        <v>0</v>
      </c>
      <c r="R255" s="2" t="inlineStr"/>
    </row>
    <row r="256" ht="15" customHeight="1">
      <c r="A256" t="inlineStr">
        <is>
          <t>A 28715-2024</t>
        </is>
      </c>
      <c r="B256" s="1" t="n">
        <v>45478.53690972222</v>
      </c>
      <c r="C256" s="1" t="n">
        <v>45969</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63221-2023</t>
        </is>
      </c>
      <c r="B257" s="1" t="n">
        <v>45273.63354166667</v>
      </c>
      <c r="C257" s="1" t="n">
        <v>45969</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57892-2023</t>
        </is>
      </c>
      <c r="B258" s="1" t="n">
        <v>45244</v>
      </c>
      <c r="C258" s="1" t="n">
        <v>45969</v>
      </c>
      <c r="D258" t="inlineStr">
        <is>
          <t>NORRBOTTENS LÄN</t>
        </is>
      </c>
      <c r="E258" t="inlineStr">
        <is>
          <t>PITEÅ</t>
        </is>
      </c>
      <c r="G258" t="n">
        <v>3.1</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45969</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45969</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20402-2024</t>
        </is>
      </c>
      <c r="B261" s="1" t="n">
        <v>45435</v>
      </c>
      <c r="C261" s="1" t="n">
        <v>45969</v>
      </c>
      <c r="D261" t="inlineStr">
        <is>
          <t>NORRBOTTENS LÄN</t>
        </is>
      </c>
      <c r="E261" t="inlineStr">
        <is>
          <t>PITEÅ</t>
        </is>
      </c>
      <c r="G261" t="n">
        <v>6.5</v>
      </c>
      <c r="H261" t="n">
        <v>0</v>
      </c>
      <c r="I261" t="n">
        <v>0</v>
      </c>
      <c r="J261" t="n">
        <v>0</v>
      </c>
      <c r="K261" t="n">
        <v>0</v>
      </c>
      <c r="L261" t="n">
        <v>0</v>
      </c>
      <c r="M261" t="n">
        <v>0</v>
      </c>
      <c r="N261" t="n">
        <v>0</v>
      </c>
      <c r="O261" t="n">
        <v>0</v>
      </c>
      <c r="P261" t="n">
        <v>0</v>
      </c>
      <c r="Q261" t="n">
        <v>0</v>
      </c>
      <c r="R261" s="2" t="inlineStr"/>
    </row>
    <row r="262" ht="15" customHeight="1">
      <c r="A262" t="inlineStr">
        <is>
          <t>A 59505-2023</t>
        </is>
      </c>
      <c r="B262" s="1" t="n">
        <v>45254</v>
      </c>
      <c r="C262" s="1" t="n">
        <v>45969</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11809-2024</t>
        </is>
      </c>
      <c r="B263" s="1" t="n">
        <v>45375</v>
      </c>
      <c r="C263" s="1" t="n">
        <v>45969</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15080-2021</t>
        </is>
      </c>
      <c r="B264" s="1" t="n">
        <v>44281</v>
      </c>
      <c r="C264" s="1" t="n">
        <v>45969</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4693-2025</t>
        </is>
      </c>
      <c r="B265" s="1" t="n">
        <v>45688.35549768519</v>
      </c>
      <c r="C265" s="1" t="n">
        <v>45969</v>
      </c>
      <c r="D265" t="inlineStr">
        <is>
          <t>NORRBOTTENS LÄN</t>
        </is>
      </c>
      <c r="E265" t="inlineStr">
        <is>
          <t>PITEÅ</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62014-2023</t>
        </is>
      </c>
      <c r="B266" s="1" t="n">
        <v>45266.64538194444</v>
      </c>
      <c r="C266" s="1" t="n">
        <v>45969</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54274-2023</t>
        </is>
      </c>
      <c r="B267" s="1" t="n">
        <v>45232.68149305556</v>
      </c>
      <c r="C267" s="1" t="n">
        <v>45969</v>
      </c>
      <c r="D267" t="inlineStr">
        <is>
          <t>NORRBOTTENS LÄN</t>
        </is>
      </c>
      <c r="E267" t="inlineStr">
        <is>
          <t>PITEÅ</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17423-2023</t>
        </is>
      </c>
      <c r="B268" s="1" t="n">
        <v>45035.92623842593</v>
      </c>
      <c r="C268" s="1" t="n">
        <v>45969</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17447-2023</t>
        </is>
      </c>
      <c r="B269" s="1" t="n">
        <v>45035</v>
      </c>
      <c r="C269" s="1" t="n">
        <v>45969</v>
      </c>
      <c r="D269" t="inlineStr">
        <is>
          <t>NORRBOTTENS LÄN</t>
        </is>
      </c>
      <c r="E269" t="inlineStr">
        <is>
          <t>PITEÅ</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7901-2024</t>
        </is>
      </c>
      <c r="B270" s="1" t="n">
        <v>45350.42581018519</v>
      </c>
      <c r="C270" s="1" t="n">
        <v>45969</v>
      </c>
      <c r="D270" t="inlineStr">
        <is>
          <t>NORRBOTTENS LÄN</t>
        </is>
      </c>
      <c r="E270" t="inlineStr">
        <is>
          <t>PITEÅ</t>
        </is>
      </c>
      <c r="G270" t="n">
        <v>7.8</v>
      </c>
      <c r="H270" t="n">
        <v>0</v>
      </c>
      <c r="I270" t="n">
        <v>0</v>
      </c>
      <c r="J270" t="n">
        <v>0</v>
      </c>
      <c r="K270" t="n">
        <v>0</v>
      </c>
      <c r="L270" t="n">
        <v>0</v>
      </c>
      <c r="M270" t="n">
        <v>0</v>
      </c>
      <c r="N270" t="n">
        <v>0</v>
      </c>
      <c r="O270" t="n">
        <v>0</v>
      </c>
      <c r="P270" t="n">
        <v>0</v>
      </c>
      <c r="Q270" t="n">
        <v>0</v>
      </c>
      <c r="R270" s="2" t="inlineStr"/>
    </row>
    <row r="271" ht="15" customHeight="1">
      <c r="A271" t="inlineStr">
        <is>
          <t>A 51705-2024</t>
        </is>
      </c>
      <c r="B271" s="1" t="n">
        <v>45607.3625462963</v>
      </c>
      <c r="C271" s="1" t="n">
        <v>45969</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31552-2024</t>
        </is>
      </c>
      <c r="B272" s="1" t="n">
        <v>45505.96447916667</v>
      </c>
      <c r="C272" s="1" t="n">
        <v>45969</v>
      </c>
      <c r="D272" t="inlineStr">
        <is>
          <t>NORRBOTTENS LÄN</t>
        </is>
      </c>
      <c r="E272" t="inlineStr">
        <is>
          <t>PITEÅ</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1908-2024</t>
        </is>
      </c>
      <c r="B273" s="1" t="n">
        <v>45308</v>
      </c>
      <c r="C273" s="1" t="n">
        <v>45969</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28713-2024</t>
        </is>
      </c>
      <c r="B274" s="1" t="n">
        <v>45478.53486111111</v>
      </c>
      <c r="C274" s="1" t="n">
        <v>45969</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47557-2023</t>
        </is>
      </c>
      <c r="B275" s="1" t="n">
        <v>45197</v>
      </c>
      <c r="C275" s="1" t="n">
        <v>45969</v>
      </c>
      <c r="D275" t="inlineStr">
        <is>
          <t>NORRBOTTENS LÄN</t>
        </is>
      </c>
      <c r="E275" t="inlineStr">
        <is>
          <t>PITEÅ</t>
        </is>
      </c>
      <c r="G275" t="n">
        <v>5.6</v>
      </c>
      <c r="H275" t="n">
        <v>0</v>
      </c>
      <c r="I275" t="n">
        <v>0</v>
      </c>
      <c r="J275" t="n">
        <v>0</v>
      </c>
      <c r="K275" t="n">
        <v>0</v>
      </c>
      <c r="L275" t="n">
        <v>0</v>
      </c>
      <c r="M275" t="n">
        <v>0</v>
      </c>
      <c r="N275" t="n">
        <v>0</v>
      </c>
      <c r="O275" t="n">
        <v>0</v>
      </c>
      <c r="P275" t="n">
        <v>0</v>
      </c>
      <c r="Q275" t="n">
        <v>0</v>
      </c>
      <c r="R275" s="2" t="inlineStr"/>
    </row>
    <row r="276" ht="15" customHeight="1">
      <c r="A276" t="inlineStr">
        <is>
          <t>A 37821-2024</t>
        </is>
      </c>
      <c r="B276" s="1" t="n">
        <v>45544</v>
      </c>
      <c r="C276" s="1" t="n">
        <v>45969</v>
      </c>
      <c r="D276" t="inlineStr">
        <is>
          <t>NORRBOTTENS LÄN</t>
        </is>
      </c>
      <c r="E276" t="inlineStr">
        <is>
          <t>PITEÅ</t>
        </is>
      </c>
      <c r="G276" t="n">
        <v>4.5</v>
      </c>
      <c r="H276" t="n">
        <v>0</v>
      </c>
      <c r="I276" t="n">
        <v>0</v>
      </c>
      <c r="J276" t="n">
        <v>0</v>
      </c>
      <c r="K276" t="n">
        <v>0</v>
      </c>
      <c r="L276" t="n">
        <v>0</v>
      </c>
      <c r="M276" t="n">
        <v>0</v>
      </c>
      <c r="N276" t="n">
        <v>0</v>
      </c>
      <c r="O276" t="n">
        <v>0</v>
      </c>
      <c r="P276" t="n">
        <v>0</v>
      </c>
      <c r="Q276" t="n">
        <v>0</v>
      </c>
      <c r="R276" s="2" t="inlineStr"/>
    </row>
    <row r="277" ht="15" customHeight="1">
      <c r="A277" t="inlineStr">
        <is>
          <t>A 28861-2024</t>
        </is>
      </c>
      <c r="B277" s="1" t="n">
        <v>45478</v>
      </c>
      <c r="C277" s="1" t="n">
        <v>45969</v>
      </c>
      <c r="D277" t="inlineStr">
        <is>
          <t>NORRBOTTENS LÄN</t>
        </is>
      </c>
      <c r="E277" t="inlineStr">
        <is>
          <t>PITEÅ</t>
        </is>
      </c>
      <c r="G277" t="n">
        <v>44.7</v>
      </c>
      <c r="H277" t="n">
        <v>0</v>
      </c>
      <c r="I277" t="n">
        <v>0</v>
      </c>
      <c r="J277" t="n">
        <v>0</v>
      </c>
      <c r="K277" t="n">
        <v>0</v>
      </c>
      <c r="L277" t="n">
        <v>0</v>
      </c>
      <c r="M277" t="n">
        <v>0</v>
      </c>
      <c r="N277" t="n">
        <v>0</v>
      </c>
      <c r="O277" t="n">
        <v>0</v>
      </c>
      <c r="P277" t="n">
        <v>0</v>
      </c>
      <c r="Q277" t="n">
        <v>0</v>
      </c>
      <c r="R277" s="2" t="inlineStr"/>
    </row>
    <row r="278" ht="15" customHeight="1">
      <c r="A278" t="inlineStr">
        <is>
          <t>A 47198-2024</t>
        </is>
      </c>
      <c r="B278" s="1" t="n">
        <v>45586.63260416667</v>
      </c>
      <c r="C278" s="1" t="n">
        <v>45969</v>
      </c>
      <c r="D278" t="inlineStr">
        <is>
          <t>NORRBOTTENS LÄN</t>
        </is>
      </c>
      <c r="E278" t="inlineStr">
        <is>
          <t>PITEÅ</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42645-2024</t>
        </is>
      </c>
      <c r="B279" s="1" t="n">
        <v>45566.29878472222</v>
      </c>
      <c r="C279" s="1" t="n">
        <v>45969</v>
      </c>
      <c r="D279" t="inlineStr">
        <is>
          <t>NORRBOTTENS LÄN</t>
        </is>
      </c>
      <c r="E279" t="inlineStr">
        <is>
          <t>PITEÅ</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57180-2022</t>
        </is>
      </c>
      <c r="B280" s="1" t="n">
        <v>44895.61856481482</v>
      </c>
      <c r="C280" s="1" t="n">
        <v>45969</v>
      </c>
      <c r="D280" t="inlineStr">
        <is>
          <t>NORRBOTTENS LÄN</t>
        </is>
      </c>
      <c r="E280" t="inlineStr">
        <is>
          <t>PITEÅ</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51171-2023</t>
        </is>
      </c>
      <c r="B281" s="1" t="n">
        <v>45219.3849537037</v>
      </c>
      <c r="C281" s="1" t="n">
        <v>45969</v>
      </c>
      <c r="D281" t="inlineStr">
        <is>
          <t>NORRBOTTENS LÄN</t>
        </is>
      </c>
      <c r="E281" t="inlineStr">
        <is>
          <t>PITEÅ</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42450-2023</t>
        </is>
      </c>
      <c r="B282" s="1" t="n">
        <v>45180</v>
      </c>
      <c r="C282" s="1" t="n">
        <v>45969</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29944-2024</t>
        </is>
      </c>
      <c r="B283" s="1" t="n">
        <v>45488.42760416667</v>
      </c>
      <c r="C283" s="1" t="n">
        <v>45969</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1501-2025</t>
        </is>
      </c>
      <c r="B284" s="1" t="n">
        <v>45670</v>
      </c>
      <c r="C284" s="1" t="n">
        <v>45969</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45969</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34724-2024</t>
        </is>
      </c>
      <c r="B286" s="1" t="n">
        <v>45526.5687962963</v>
      </c>
      <c r="C286" s="1" t="n">
        <v>45969</v>
      </c>
      <c r="D286" t="inlineStr">
        <is>
          <t>NORRBOTTENS LÄN</t>
        </is>
      </c>
      <c r="E286" t="inlineStr">
        <is>
          <t>PITEÅ</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11018-2024</t>
        </is>
      </c>
      <c r="B287" s="1" t="n">
        <v>45370</v>
      </c>
      <c r="C287" s="1" t="n">
        <v>45969</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47025-2024</t>
        </is>
      </c>
      <c r="B288" s="1" t="n">
        <v>45586.41365740741</v>
      </c>
      <c r="C288" s="1" t="n">
        <v>45969</v>
      </c>
      <c r="D288" t="inlineStr">
        <is>
          <t>NORRBOTTENS LÄN</t>
        </is>
      </c>
      <c r="E288" t="inlineStr">
        <is>
          <t>PITEÅ</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35660-2024</t>
        </is>
      </c>
      <c r="B289" s="1" t="n">
        <v>45532.37145833333</v>
      </c>
      <c r="C289" s="1" t="n">
        <v>45969</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35670-2024</t>
        </is>
      </c>
      <c r="B290" s="1" t="n">
        <v>45532.3909375</v>
      </c>
      <c r="C290" s="1" t="n">
        <v>45969</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54526-2024</t>
        </is>
      </c>
      <c r="B291" s="1" t="n">
        <v>45617.60194444445</v>
      </c>
      <c r="C291" s="1" t="n">
        <v>45969</v>
      </c>
      <c r="D291" t="inlineStr">
        <is>
          <t>NORRBOTTENS LÄN</t>
        </is>
      </c>
      <c r="E291" t="inlineStr">
        <is>
          <t>PITEÅ</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32251-2024</t>
        </is>
      </c>
      <c r="B292" s="1" t="n">
        <v>45511.95188657408</v>
      </c>
      <c r="C292" s="1" t="n">
        <v>45969</v>
      </c>
      <c r="D292" t="inlineStr">
        <is>
          <t>NORRBOTTENS LÄN</t>
        </is>
      </c>
      <c r="E292" t="inlineStr">
        <is>
          <t>PITEÅ</t>
        </is>
      </c>
      <c r="F292" t="inlineStr">
        <is>
          <t>SCA</t>
        </is>
      </c>
      <c r="G292" t="n">
        <v>5.1</v>
      </c>
      <c r="H292" t="n">
        <v>0</v>
      </c>
      <c r="I292" t="n">
        <v>0</v>
      </c>
      <c r="J292" t="n">
        <v>0</v>
      </c>
      <c r="K292" t="n">
        <v>0</v>
      </c>
      <c r="L292" t="n">
        <v>0</v>
      </c>
      <c r="M292" t="n">
        <v>0</v>
      </c>
      <c r="N292" t="n">
        <v>0</v>
      </c>
      <c r="O292" t="n">
        <v>0</v>
      </c>
      <c r="P292" t="n">
        <v>0</v>
      </c>
      <c r="Q292" t="n">
        <v>0</v>
      </c>
      <c r="R292" s="2" t="inlineStr"/>
    </row>
    <row r="293" ht="15" customHeight="1">
      <c r="A293" t="inlineStr">
        <is>
          <t>A 55928-2023</t>
        </is>
      </c>
      <c r="B293" s="1" t="n">
        <v>45239</v>
      </c>
      <c r="C293" s="1" t="n">
        <v>45969</v>
      </c>
      <c r="D293" t="inlineStr">
        <is>
          <t>NORRBOTTENS LÄN</t>
        </is>
      </c>
      <c r="E293" t="inlineStr">
        <is>
          <t>PITEÅ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32153-2023</t>
        </is>
      </c>
      <c r="B294" s="1" t="n">
        <v>45119.70763888889</v>
      </c>
      <c r="C294" s="1" t="n">
        <v>45969</v>
      </c>
      <c r="D294" t="inlineStr">
        <is>
          <t>NORRBOTTENS LÄN</t>
        </is>
      </c>
      <c r="E294" t="inlineStr">
        <is>
          <t>PITEÅ</t>
        </is>
      </c>
      <c r="F294" t="inlineStr">
        <is>
          <t>Sveaskog</t>
        </is>
      </c>
      <c r="G294" t="n">
        <v>18.5</v>
      </c>
      <c r="H294" t="n">
        <v>0</v>
      </c>
      <c r="I294" t="n">
        <v>0</v>
      </c>
      <c r="J294" t="n">
        <v>0</v>
      </c>
      <c r="K294" t="n">
        <v>0</v>
      </c>
      <c r="L294" t="n">
        <v>0</v>
      </c>
      <c r="M294" t="n">
        <v>0</v>
      </c>
      <c r="N294" t="n">
        <v>0</v>
      </c>
      <c r="O294" t="n">
        <v>0</v>
      </c>
      <c r="P294" t="n">
        <v>0</v>
      </c>
      <c r="Q294" t="n">
        <v>0</v>
      </c>
      <c r="R294" s="2" t="inlineStr"/>
    </row>
    <row r="295" ht="15" customHeight="1">
      <c r="A295" t="inlineStr">
        <is>
          <t>A 36515-2024</t>
        </is>
      </c>
      <c r="B295" s="1" t="n">
        <v>45537</v>
      </c>
      <c r="C295" s="1" t="n">
        <v>45969</v>
      </c>
      <c r="D295" t="inlineStr">
        <is>
          <t>NORRBOTTENS LÄN</t>
        </is>
      </c>
      <c r="E295" t="inlineStr">
        <is>
          <t>PITEÅ</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46931-2024</t>
        </is>
      </c>
      <c r="B296" s="1" t="n">
        <v>45584.99240740741</v>
      </c>
      <c r="C296" s="1" t="n">
        <v>45969</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47017-2024</t>
        </is>
      </c>
      <c r="B297" s="1" t="n">
        <v>45586.39534722222</v>
      </c>
      <c r="C297" s="1" t="n">
        <v>45969</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4924-2025</t>
        </is>
      </c>
      <c r="B298" s="1" t="n">
        <v>45688.68434027778</v>
      </c>
      <c r="C298" s="1" t="n">
        <v>45969</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54970-2024</t>
        </is>
      </c>
      <c r="B299" s="1" t="n">
        <v>45620</v>
      </c>
      <c r="C299" s="1" t="n">
        <v>45969</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71487-2021</t>
        </is>
      </c>
      <c r="B300" s="1" t="n">
        <v>44539</v>
      </c>
      <c r="C300" s="1" t="n">
        <v>45969</v>
      </c>
      <c r="D300" t="inlineStr">
        <is>
          <t>NORRBOTTENS LÄN</t>
        </is>
      </c>
      <c r="E300" t="inlineStr">
        <is>
          <t>PITEÅ</t>
        </is>
      </c>
      <c r="F300" t="inlineStr">
        <is>
          <t>Kommuner</t>
        </is>
      </c>
      <c r="G300" t="n">
        <v>3</v>
      </c>
      <c r="H300" t="n">
        <v>0</v>
      </c>
      <c r="I300" t="n">
        <v>0</v>
      </c>
      <c r="J300" t="n">
        <v>0</v>
      </c>
      <c r="K300" t="n">
        <v>0</v>
      </c>
      <c r="L300" t="n">
        <v>0</v>
      </c>
      <c r="M300" t="n">
        <v>0</v>
      </c>
      <c r="N300" t="n">
        <v>0</v>
      </c>
      <c r="O300" t="n">
        <v>0</v>
      </c>
      <c r="P300" t="n">
        <v>0</v>
      </c>
      <c r="Q300" t="n">
        <v>0</v>
      </c>
      <c r="R300" s="2" t="inlineStr"/>
    </row>
    <row r="301" ht="15" customHeight="1">
      <c r="A301" t="inlineStr">
        <is>
          <t>A 41182-2024</t>
        </is>
      </c>
      <c r="B301" s="1" t="n">
        <v>45559.49592592593</v>
      </c>
      <c r="C301" s="1" t="n">
        <v>45969</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41188-2024</t>
        </is>
      </c>
      <c r="B302" s="1" t="n">
        <v>45559.50427083333</v>
      </c>
      <c r="C302" s="1" t="n">
        <v>45969</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52908-2024</t>
        </is>
      </c>
      <c r="B303" s="1" t="n">
        <v>45610</v>
      </c>
      <c r="C303" s="1" t="n">
        <v>45969</v>
      </c>
      <c r="D303" t="inlineStr">
        <is>
          <t>NORRBOTTENS LÄN</t>
        </is>
      </c>
      <c r="E303" t="inlineStr">
        <is>
          <t>PITEÅ</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54941-2024</t>
        </is>
      </c>
      <c r="B304" s="1" t="n">
        <v>45618.9441087963</v>
      </c>
      <c r="C304" s="1" t="n">
        <v>45969</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58698-2024</t>
        </is>
      </c>
      <c r="B305" s="1" t="n">
        <v>45635.63734953704</v>
      </c>
      <c r="C305" s="1" t="n">
        <v>45969</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61662-2023</t>
        </is>
      </c>
      <c r="B306" s="1" t="n">
        <v>45265.59799768519</v>
      </c>
      <c r="C306" s="1" t="n">
        <v>45969</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33923-2024</t>
        </is>
      </c>
      <c r="B307" s="1" t="n">
        <v>45523</v>
      </c>
      <c r="C307" s="1" t="n">
        <v>45969</v>
      </c>
      <c r="D307" t="inlineStr">
        <is>
          <t>NORRBOTTENS LÄN</t>
        </is>
      </c>
      <c r="E307" t="inlineStr">
        <is>
          <t>PITEÅ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47088-2025</t>
        </is>
      </c>
      <c r="B308" s="1" t="n">
        <v>45929.64570601852</v>
      </c>
      <c r="C308" s="1" t="n">
        <v>45969</v>
      </c>
      <c r="D308" t="inlineStr">
        <is>
          <t>NORRBOTTENS LÄN</t>
        </is>
      </c>
      <c r="E308" t="inlineStr">
        <is>
          <t>PITEÅ</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38751-2022</t>
        </is>
      </c>
      <c r="B309" s="1" t="n">
        <v>44813</v>
      </c>
      <c r="C309" s="1" t="n">
        <v>45969</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61376-2023</t>
        </is>
      </c>
      <c r="B310" s="1" t="n">
        <v>45264</v>
      </c>
      <c r="C310" s="1" t="n">
        <v>45969</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47144-2025</t>
        </is>
      </c>
      <c r="B311" s="1" t="n">
        <v>45929.70978009259</v>
      </c>
      <c r="C311" s="1" t="n">
        <v>45969</v>
      </c>
      <c r="D311" t="inlineStr">
        <is>
          <t>NORRBOTTENS LÄN</t>
        </is>
      </c>
      <c r="E311" t="inlineStr">
        <is>
          <t>PITEÅ</t>
        </is>
      </c>
      <c r="G311" t="n">
        <v>4.9</v>
      </c>
      <c r="H311" t="n">
        <v>0</v>
      </c>
      <c r="I311" t="n">
        <v>0</v>
      </c>
      <c r="J311" t="n">
        <v>0</v>
      </c>
      <c r="K311" t="n">
        <v>0</v>
      </c>
      <c r="L311" t="n">
        <v>0</v>
      </c>
      <c r="M311" t="n">
        <v>0</v>
      </c>
      <c r="N311" t="n">
        <v>0</v>
      </c>
      <c r="O311" t="n">
        <v>0</v>
      </c>
      <c r="P311" t="n">
        <v>0</v>
      </c>
      <c r="Q311" t="n">
        <v>0</v>
      </c>
      <c r="R311" s="2" t="inlineStr"/>
    </row>
    <row r="312" ht="15" customHeight="1">
      <c r="A312" t="inlineStr">
        <is>
          <t>A 47153-2025</t>
        </is>
      </c>
      <c r="B312" s="1" t="n">
        <v>45929.72967592593</v>
      </c>
      <c r="C312" s="1" t="n">
        <v>45969</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34019-2024</t>
        </is>
      </c>
      <c r="B313" s="1" t="n">
        <v>45523.57927083333</v>
      </c>
      <c r="C313" s="1" t="n">
        <v>45969</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12849-2025</t>
        </is>
      </c>
      <c r="B314" s="1" t="n">
        <v>45733.65648148148</v>
      </c>
      <c r="C314" s="1" t="n">
        <v>45969</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45969</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47080-2025</t>
        </is>
      </c>
      <c r="B316" s="1" t="n">
        <v>45929.64083333333</v>
      </c>
      <c r="C316" s="1" t="n">
        <v>45969</v>
      </c>
      <c r="D316" t="inlineStr">
        <is>
          <t>NORRBOTTENS LÄN</t>
        </is>
      </c>
      <c r="E316" t="inlineStr">
        <is>
          <t>PITEÅ</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39511-2025</t>
        </is>
      </c>
      <c r="B317" s="1" t="n">
        <v>45890.40740740741</v>
      </c>
      <c r="C317" s="1" t="n">
        <v>45969</v>
      </c>
      <c r="D317" t="inlineStr">
        <is>
          <t>NORRBOTTENS LÄN</t>
        </is>
      </c>
      <c r="E317" t="inlineStr">
        <is>
          <t>PITEÅ</t>
        </is>
      </c>
      <c r="G317" t="n">
        <v>5.4</v>
      </c>
      <c r="H317" t="n">
        <v>0</v>
      </c>
      <c r="I317" t="n">
        <v>0</v>
      </c>
      <c r="J317" t="n">
        <v>0</v>
      </c>
      <c r="K317" t="n">
        <v>0</v>
      </c>
      <c r="L317" t="n">
        <v>0</v>
      </c>
      <c r="M317" t="n">
        <v>0</v>
      </c>
      <c r="N317" t="n">
        <v>0</v>
      </c>
      <c r="O317" t="n">
        <v>0</v>
      </c>
      <c r="P317" t="n">
        <v>0</v>
      </c>
      <c r="Q317" t="n">
        <v>0</v>
      </c>
      <c r="R317" s="2" t="inlineStr"/>
    </row>
    <row r="318" ht="15" customHeight="1">
      <c r="A318" t="inlineStr">
        <is>
          <t>A 4776-2022</t>
        </is>
      </c>
      <c r="B318" s="1" t="n">
        <v>44592</v>
      </c>
      <c r="C318" s="1" t="n">
        <v>45969</v>
      </c>
      <c r="D318" t="inlineStr">
        <is>
          <t>NORRBOTTENS LÄN</t>
        </is>
      </c>
      <c r="E318" t="inlineStr">
        <is>
          <t>PITEÅ</t>
        </is>
      </c>
      <c r="G318" t="n">
        <v>9.5</v>
      </c>
      <c r="H318" t="n">
        <v>0</v>
      </c>
      <c r="I318" t="n">
        <v>0</v>
      </c>
      <c r="J318" t="n">
        <v>0</v>
      </c>
      <c r="K318" t="n">
        <v>0</v>
      </c>
      <c r="L318" t="n">
        <v>0</v>
      </c>
      <c r="M318" t="n">
        <v>0</v>
      </c>
      <c r="N318" t="n">
        <v>0</v>
      </c>
      <c r="O318" t="n">
        <v>0</v>
      </c>
      <c r="P318" t="n">
        <v>0</v>
      </c>
      <c r="Q318" t="n">
        <v>0</v>
      </c>
      <c r="R318" s="2" t="inlineStr"/>
    </row>
    <row r="319" ht="15" customHeight="1">
      <c r="A319" t="inlineStr">
        <is>
          <t>A 58973-2024</t>
        </is>
      </c>
      <c r="B319" s="1" t="n">
        <v>45636.60680555556</v>
      </c>
      <c r="C319" s="1" t="n">
        <v>45969</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42520-2023</t>
        </is>
      </c>
      <c r="B320" s="1" t="n">
        <v>45180.96025462963</v>
      </c>
      <c r="C320" s="1" t="n">
        <v>45969</v>
      </c>
      <c r="D320" t="inlineStr">
        <is>
          <t>NORRBOTTENS LÄN</t>
        </is>
      </c>
      <c r="E320" t="inlineStr">
        <is>
          <t>PITEÅ</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47948-2025</t>
        </is>
      </c>
      <c r="B321" s="1" t="n">
        <v>45932.57424768519</v>
      </c>
      <c r="C321" s="1" t="n">
        <v>45969</v>
      </c>
      <c r="D321" t="inlineStr">
        <is>
          <t>NORRBOTTENS LÄN</t>
        </is>
      </c>
      <c r="E321" t="inlineStr">
        <is>
          <t>PITEÅ</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43297-2021</t>
        </is>
      </c>
      <c r="B322" s="1" t="n">
        <v>44432</v>
      </c>
      <c r="C322" s="1" t="n">
        <v>45969</v>
      </c>
      <c r="D322" t="inlineStr">
        <is>
          <t>NORRBOTTENS LÄN</t>
        </is>
      </c>
      <c r="E322" t="inlineStr">
        <is>
          <t>PITEÅ</t>
        </is>
      </c>
      <c r="G322" t="n">
        <v>5.6</v>
      </c>
      <c r="H322" t="n">
        <v>0</v>
      </c>
      <c r="I322" t="n">
        <v>0</v>
      </c>
      <c r="J322" t="n">
        <v>0</v>
      </c>
      <c r="K322" t="n">
        <v>0</v>
      </c>
      <c r="L322" t="n">
        <v>0</v>
      </c>
      <c r="M322" t="n">
        <v>0</v>
      </c>
      <c r="N322" t="n">
        <v>0</v>
      </c>
      <c r="O322" t="n">
        <v>0</v>
      </c>
      <c r="P322" t="n">
        <v>0</v>
      </c>
      <c r="Q322" t="n">
        <v>0</v>
      </c>
      <c r="R322" s="2" t="inlineStr"/>
    </row>
    <row r="323" ht="15" customHeight="1">
      <c r="A323" t="inlineStr">
        <is>
          <t>A 20201-2025</t>
        </is>
      </c>
      <c r="B323" s="1" t="n">
        <v>45772.61418981481</v>
      </c>
      <c r="C323" s="1" t="n">
        <v>45969</v>
      </c>
      <c r="D323" t="inlineStr">
        <is>
          <t>NORRBOTTENS LÄN</t>
        </is>
      </c>
      <c r="E323" t="inlineStr">
        <is>
          <t>PITEÅ</t>
        </is>
      </c>
      <c r="G323" t="n">
        <v>3.9</v>
      </c>
      <c r="H323" t="n">
        <v>0</v>
      </c>
      <c r="I323" t="n">
        <v>0</v>
      </c>
      <c r="J323" t="n">
        <v>0</v>
      </c>
      <c r="K323" t="n">
        <v>0</v>
      </c>
      <c r="L323" t="n">
        <v>0</v>
      </c>
      <c r="M323" t="n">
        <v>0</v>
      </c>
      <c r="N323" t="n">
        <v>0</v>
      </c>
      <c r="O323" t="n">
        <v>0</v>
      </c>
      <c r="P323" t="n">
        <v>0</v>
      </c>
      <c r="Q323" t="n">
        <v>0</v>
      </c>
      <c r="R323" s="2" t="inlineStr"/>
    </row>
    <row r="324" ht="15" customHeight="1">
      <c r="A324" t="inlineStr">
        <is>
          <t>A 19329-2025</t>
        </is>
      </c>
      <c r="B324" s="1" t="n">
        <v>45769</v>
      </c>
      <c r="C324" s="1" t="n">
        <v>45969</v>
      </c>
      <c r="D324" t="inlineStr">
        <is>
          <t>NORRBOTTENS LÄN</t>
        </is>
      </c>
      <c r="E324" t="inlineStr">
        <is>
          <t>PITEÅ</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6574-2025</t>
        </is>
      </c>
      <c r="B325" s="1" t="n">
        <v>45699.85717592593</v>
      </c>
      <c r="C325" s="1" t="n">
        <v>45969</v>
      </c>
      <c r="D325" t="inlineStr">
        <is>
          <t>NORRBOTTENS LÄN</t>
        </is>
      </c>
      <c r="E325" t="inlineStr">
        <is>
          <t>PITEÅ</t>
        </is>
      </c>
      <c r="G325" t="n">
        <v>8.6</v>
      </c>
      <c r="H325" t="n">
        <v>0</v>
      </c>
      <c r="I325" t="n">
        <v>0</v>
      </c>
      <c r="J325" t="n">
        <v>0</v>
      </c>
      <c r="K325" t="n">
        <v>0</v>
      </c>
      <c r="L325" t="n">
        <v>0</v>
      </c>
      <c r="M325" t="n">
        <v>0</v>
      </c>
      <c r="N325" t="n">
        <v>0</v>
      </c>
      <c r="O325" t="n">
        <v>0</v>
      </c>
      <c r="P325" t="n">
        <v>0</v>
      </c>
      <c r="Q325" t="n">
        <v>0</v>
      </c>
      <c r="R325" s="2" t="inlineStr"/>
    </row>
    <row r="326" ht="15" customHeight="1">
      <c r="A326" t="inlineStr">
        <is>
          <t>A 588-2025</t>
        </is>
      </c>
      <c r="B326" s="1" t="n">
        <v>45664.58152777778</v>
      </c>
      <c r="C326" s="1" t="n">
        <v>45969</v>
      </c>
      <c r="D326" t="inlineStr">
        <is>
          <t>NORRBOTTENS LÄN</t>
        </is>
      </c>
      <c r="E326" t="inlineStr">
        <is>
          <t>PITEÅ</t>
        </is>
      </c>
      <c r="G326" t="n">
        <v>5.6</v>
      </c>
      <c r="H326" t="n">
        <v>0</v>
      </c>
      <c r="I326" t="n">
        <v>0</v>
      </c>
      <c r="J326" t="n">
        <v>0</v>
      </c>
      <c r="K326" t="n">
        <v>0</v>
      </c>
      <c r="L326" t="n">
        <v>0</v>
      </c>
      <c r="M326" t="n">
        <v>0</v>
      </c>
      <c r="N326" t="n">
        <v>0</v>
      </c>
      <c r="O326" t="n">
        <v>0</v>
      </c>
      <c r="P326" t="n">
        <v>0</v>
      </c>
      <c r="Q326" t="n">
        <v>0</v>
      </c>
      <c r="R326" s="2" t="inlineStr"/>
    </row>
    <row r="327" ht="15" customHeight="1">
      <c r="A327" t="inlineStr">
        <is>
          <t>A 597-2025</t>
        </is>
      </c>
      <c r="B327" s="1" t="n">
        <v>45664</v>
      </c>
      <c r="C327" s="1" t="n">
        <v>45969</v>
      </c>
      <c r="D327" t="inlineStr">
        <is>
          <t>NORRBOTTENS LÄN</t>
        </is>
      </c>
      <c r="E327" t="inlineStr">
        <is>
          <t>PITEÅ</t>
        </is>
      </c>
      <c r="G327" t="n">
        <v>1</v>
      </c>
      <c r="H327" t="n">
        <v>0</v>
      </c>
      <c r="I327" t="n">
        <v>0</v>
      </c>
      <c r="J327" t="n">
        <v>0</v>
      </c>
      <c r="K327" t="n">
        <v>0</v>
      </c>
      <c r="L327" t="n">
        <v>0</v>
      </c>
      <c r="M327" t="n">
        <v>0</v>
      </c>
      <c r="N327" t="n">
        <v>0</v>
      </c>
      <c r="O327" t="n">
        <v>0</v>
      </c>
      <c r="P327" t="n">
        <v>0</v>
      </c>
      <c r="Q327" t="n">
        <v>0</v>
      </c>
      <c r="R327" s="2" t="inlineStr"/>
    </row>
    <row r="328" ht="15" customHeight="1">
      <c r="A328" t="inlineStr">
        <is>
          <t>A 38091-2024</t>
        </is>
      </c>
      <c r="B328" s="1" t="n">
        <v>45545</v>
      </c>
      <c r="C328" s="1" t="n">
        <v>45969</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38094-2024</t>
        </is>
      </c>
      <c r="B329" s="1" t="n">
        <v>45545.34473379629</v>
      </c>
      <c r="C329" s="1" t="n">
        <v>45969</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45969</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32352-2025</t>
        </is>
      </c>
      <c r="B331" s="1" t="n">
        <v>45837.50755787037</v>
      </c>
      <c r="C331" s="1" t="n">
        <v>45969</v>
      </c>
      <c r="D331" t="inlineStr">
        <is>
          <t>NORRBOTTENS LÄN</t>
        </is>
      </c>
      <c r="E331" t="inlineStr">
        <is>
          <t>PITEÅ</t>
        </is>
      </c>
      <c r="G331" t="n">
        <v>1.4</v>
      </c>
      <c r="H331" t="n">
        <v>0</v>
      </c>
      <c r="I331" t="n">
        <v>0</v>
      </c>
      <c r="J331" t="n">
        <v>0</v>
      </c>
      <c r="K331" t="n">
        <v>0</v>
      </c>
      <c r="L331" t="n">
        <v>0</v>
      </c>
      <c r="M331" t="n">
        <v>0</v>
      </c>
      <c r="N331" t="n">
        <v>0</v>
      </c>
      <c r="O331" t="n">
        <v>0</v>
      </c>
      <c r="P331" t="n">
        <v>0</v>
      </c>
      <c r="Q331" t="n">
        <v>0</v>
      </c>
      <c r="R331" s="2" t="inlineStr"/>
    </row>
    <row r="332" ht="15" customHeight="1">
      <c r="A332" t="inlineStr">
        <is>
          <t>A 61159-2023</t>
        </is>
      </c>
      <c r="B332" s="1" t="n">
        <v>45262</v>
      </c>
      <c r="C332" s="1" t="n">
        <v>45969</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15742-2025</t>
        </is>
      </c>
      <c r="B333" s="1" t="n">
        <v>45748</v>
      </c>
      <c r="C333" s="1" t="n">
        <v>45969</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7928-2022</t>
        </is>
      </c>
      <c r="B334" s="1" t="n">
        <v>44608</v>
      </c>
      <c r="C334" s="1" t="n">
        <v>45969</v>
      </c>
      <c r="D334" t="inlineStr">
        <is>
          <t>NORRBOTTENS LÄN</t>
        </is>
      </c>
      <c r="E334" t="inlineStr">
        <is>
          <t>PITEÅ</t>
        </is>
      </c>
      <c r="G334" t="n">
        <v>2.5</v>
      </c>
      <c r="H334" t="n">
        <v>0</v>
      </c>
      <c r="I334" t="n">
        <v>0</v>
      </c>
      <c r="J334" t="n">
        <v>0</v>
      </c>
      <c r="K334" t="n">
        <v>0</v>
      </c>
      <c r="L334" t="n">
        <v>0</v>
      </c>
      <c r="M334" t="n">
        <v>0</v>
      </c>
      <c r="N334" t="n">
        <v>0</v>
      </c>
      <c r="O334" t="n">
        <v>0</v>
      </c>
      <c r="P334" t="n">
        <v>0</v>
      </c>
      <c r="Q334" t="n">
        <v>0</v>
      </c>
      <c r="R334" s="2" t="inlineStr"/>
    </row>
    <row r="335" ht="15" customHeight="1">
      <c r="A335" t="inlineStr">
        <is>
          <t>A 50978-2023</t>
        </is>
      </c>
      <c r="B335" s="1" t="n">
        <v>45218.52489583333</v>
      </c>
      <c r="C335" s="1" t="n">
        <v>45969</v>
      </c>
      <c r="D335" t="inlineStr">
        <is>
          <t>NORRBOTTENS LÄN</t>
        </is>
      </c>
      <c r="E335" t="inlineStr">
        <is>
          <t>PITEÅ</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60618-2024</t>
        </is>
      </c>
      <c r="B336" s="1" t="n">
        <v>45644.38747685185</v>
      </c>
      <c r="C336" s="1" t="n">
        <v>45969</v>
      </c>
      <c r="D336" t="inlineStr">
        <is>
          <t>NORRBOTTENS LÄN</t>
        </is>
      </c>
      <c r="E336" t="inlineStr">
        <is>
          <t>PITEÅ</t>
        </is>
      </c>
      <c r="G336" t="n">
        <v>1.8</v>
      </c>
      <c r="H336" t="n">
        <v>0</v>
      </c>
      <c r="I336" t="n">
        <v>0</v>
      </c>
      <c r="J336" t="n">
        <v>0</v>
      </c>
      <c r="K336" t="n">
        <v>0</v>
      </c>
      <c r="L336" t="n">
        <v>0</v>
      </c>
      <c r="M336" t="n">
        <v>0</v>
      </c>
      <c r="N336" t="n">
        <v>0</v>
      </c>
      <c r="O336" t="n">
        <v>0</v>
      </c>
      <c r="P336" t="n">
        <v>0</v>
      </c>
      <c r="Q336" t="n">
        <v>0</v>
      </c>
      <c r="R336" s="2" t="inlineStr"/>
    </row>
    <row r="337" ht="15" customHeight="1">
      <c r="A337" t="inlineStr">
        <is>
          <t>A 53331-2021</t>
        </is>
      </c>
      <c r="B337" s="1" t="n">
        <v>44468</v>
      </c>
      <c r="C337" s="1" t="n">
        <v>45969</v>
      </c>
      <c r="D337" t="inlineStr">
        <is>
          <t>NORRBOTTENS LÄN</t>
        </is>
      </c>
      <c r="E337" t="inlineStr">
        <is>
          <t>PITEÅ</t>
        </is>
      </c>
      <c r="G337" t="n">
        <v>0.3</v>
      </c>
      <c r="H337" t="n">
        <v>0</v>
      </c>
      <c r="I337" t="n">
        <v>0</v>
      </c>
      <c r="J337" t="n">
        <v>0</v>
      </c>
      <c r="K337" t="n">
        <v>0</v>
      </c>
      <c r="L337" t="n">
        <v>0</v>
      </c>
      <c r="M337" t="n">
        <v>0</v>
      </c>
      <c r="N337" t="n">
        <v>0</v>
      </c>
      <c r="O337" t="n">
        <v>0</v>
      </c>
      <c r="P337" t="n">
        <v>0</v>
      </c>
      <c r="Q337" t="n">
        <v>0</v>
      </c>
      <c r="R337" s="2" t="inlineStr"/>
    </row>
    <row r="338" ht="15" customHeight="1">
      <c r="A338" t="inlineStr">
        <is>
          <t>A 30452-2024</t>
        </is>
      </c>
      <c r="B338" s="1" t="n">
        <v>45491.92767361111</v>
      </c>
      <c r="C338" s="1" t="n">
        <v>45969</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7461-2024</t>
        </is>
      </c>
      <c r="B339" s="1" t="n">
        <v>45345</v>
      </c>
      <c r="C339" s="1" t="n">
        <v>45969</v>
      </c>
      <c r="D339" t="inlineStr">
        <is>
          <t>NORRBOTTENS LÄN</t>
        </is>
      </c>
      <c r="E339" t="inlineStr">
        <is>
          <t>PITEÅ</t>
        </is>
      </c>
      <c r="G339" t="n">
        <v>14.7</v>
      </c>
      <c r="H339" t="n">
        <v>0</v>
      </c>
      <c r="I339" t="n">
        <v>0</v>
      </c>
      <c r="J339" t="n">
        <v>0</v>
      </c>
      <c r="K339" t="n">
        <v>0</v>
      </c>
      <c r="L339" t="n">
        <v>0</v>
      </c>
      <c r="M339" t="n">
        <v>0</v>
      </c>
      <c r="N339" t="n">
        <v>0</v>
      </c>
      <c r="O339" t="n">
        <v>0</v>
      </c>
      <c r="P339" t="n">
        <v>0</v>
      </c>
      <c r="Q339" t="n">
        <v>0</v>
      </c>
      <c r="R339" s="2" t="inlineStr"/>
    </row>
    <row r="340" ht="15" customHeight="1">
      <c r="A340" t="inlineStr">
        <is>
          <t>A 10713-2023</t>
        </is>
      </c>
      <c r="B340" s="1" t="n">
        <v>44984</v>
      </c>
      <c r="C340" s="1" t="n">
        <v>45969</v>
      </c>
      <c r="D340" t="inlineStr">
        <is>
          <t>NORRBOTTENS LÄN</t>
        </is>
      </c>
      <c r="E340" t="inlineStr">
        <is>
          <t>PITEÅ</t>
        </is>
      </c>
      <c r="G340" t="n">
        <v>3.8</v>
      </c>
      <c r="H340" t="n">
        <v>0</v>
      </c>
      <c r="I340" t="n">
        <v>0</v>
      </c>
      <c r="J340" t="n">
        <v>0</v>
      </c>
      <c r="K340" t="n">
        <v>0</v>
      </c>
      <c r="L340" t="n">
        <v>0</v>
      </c>
      <c r="M340" t="n">
        <v>0</v>
      </c>
      <c r="N340" t="n">
        <v>0</v>
      </c>
      <c r="O340" t="n">
        <v>0</v>
      </c>
      <c r="P340" t="n">
        <v>0</v>
      </c>
      <c r="Q340" t="n">
        <v>0</v>
      </c>
      <c r="R340" s="2" t="inlineStr"/>
    </row>
    <row r="341" ht="15" customHeight="1">
      <c r="A341" t="inlineStr">
        <is>
          <t>A 38590-2024</t>
        </is>
      </c>
      <c r="B341" s="1" t="n">
        <v>45546</v>
      </c>
      <c r="C341" s="1" t="n">
        <v>45969</v>
      </c>
      <c r="D341" t="inlineStr">
        <is>
          <t>NORRBOTTENS LÄN</t>
        </is>
      </c>
      <c r="E341" t="inlineStr">
        <is>
          <t>PITEÅ</t>
        </is>
      </c>
      <c r="G341" t="n">
        <v>7</v>
      </c>
      <c r="H341" t="n">
        <v>0</v>
      </c>
      <c r="I341" t="n">
        <v>0</v>
      </c>
      <c r="J341" t="n">
        <v>0</v>
      </c>
      <c r="K341" t="n">
        <v>0</v>
      </c>
      <c r="L341" t="n">
        <v>0</v>
      </c>
      <c r="M341" t="n">
        <v>0</v>
      </c>
      <c r="N341" t="n">
        <v>0</v>
      </c>
      <c r="O341" t="n">
        <v>0</v>
      </c>
      <c r="P341" t="n">
        <v>0</v>
      </c>
      <c r="Q341" t="n">
        <v>0</v>
      </c>
      <c r="R341" s="2" t="inlineStr"/>
    </row>
    <row r="342" ht="15" customHeight="1">
      <c r="A342" t="inlineStr">
        <is>
          <t>A 16906-2025</t>
        </is>
      </c>
      <c r="B342" s="1" t="n">
        <v>45755.34925925926</v>
      </c>
      <c r="C342" s="1" t="n">
        <v>45969</v>
      </c>
      <c r="D342" t="inlineStr">
        <is>
          <t>NORRBOTTENS LÄN</t>
        </is>
      </c>
      <c r="E342" t="inlineStr">
        <is>
          <t>PITEÅ</t>
        </is>
      </c>
      <c r="G342" t="n">
        <v>2.1</v>
      </c>
      <c r="H342" t="n">
        <v>0</v>
      </c>
      <c r="I342" t="n">
        <v>0</v>
      </c>
      <c r="J342" t="n">
        <v>0</v>
      </c>
      <c r="K342" t="n">
        <v>0</v>
      </c>
      <c r="L342" t="n">
        <v>0</v>
      </c>
      <c r="M342" t="n">
        <v>0</v>
      </c>
      <c r="N342" t="n">
        <v>0</v>
      </c>
      <c r="O342" t="n">
        <v>0</v>
      </c>
      <c r="P342" t="n">
        <v>0</v>
      </c>
      <c r="Q342" t="n">
        <v>0</v>
      </c>
      <c r="R342" s="2" t="inlineStr"/>
    </row>
    <row r="343" ht="15" customHeight="1">
      <c r="A343" t="inlineStr">
        <is>
          <t>A 62819-2023</t>
        </is>
      </c>
      <c r="B343" s="1" t="n">
        <v>45271.92641203704</v>
      </c>
      <c r="C343" s="1" t="n">
        <v>45969</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2627-2023</t>
        </is>
      </c>
      <c r="B344" s="1" t="n">
        <v>44942</v>
      </c>
      <c r="C344" s="1" t="n">
        <v>45969</v>
      </c>
      <c r="D344" t="inlineStr">
        <is>
          <t>NORRBOTTENS LÄN</t>
        </is>
      </c>
      <c r="E344" t="inlineStr">
        <is>
          <t>PITEÅ</t>
        </is>
      </c>
      <c r="G344" t="n">
        <v>3.8</v>
      </c>
      <c r="H344" t="n">
        <v>0</v>
      </c>
      <c r="I344" t="n">
        <v>0</v>
      </c>
      <c r="J344" t="n">
        <v>0</v>
      </c>
      <c r="K344" t="n">
        <v>0</v>
      </c>
      <c r="L344" t="n">
        <v>0</v>
      </c>
      <c r="M344" t="n">
        <v>0</v>
      </c>
      <c r="N344" t="n">
        <v>0</v>
      </c>
      <c r="O344" t="n">
        <v>0</v>
      </c>
      <c r="P344" t="n">
        <v>0</v>
      </c>
      <c r="Q344" t="n">
        <v>0</v>
      </c>
      <c r="R344" s="2" t="inlineStr"/>
    </row>
    <row r="345" ht="15" customHeight="1">
      <c r="A345" t="inlineStr">
        <is>
          <t>A 32098-2021</t>
        </is>
      </c>
      <c r="B345" s="1" t="n">
        <v>44370</v>
      </c>
      <c r="C345" s="1" t="n">
        <v>45969</v>
      </c>
      <c r="D345" t="inlineStr">
        <is>
          <t>NORRBOTTENS LÄN</t>
        </is>
      </c>
      <c r="E345" t="inlineStr">
        <is>
          <t>PITEÅ</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7553-2023</t>
        </is>
      </c>
      <c r="B346" s="1" t="n">
        <v>44972.32969907407</v>
      </c>
      <c r="C346" s="1" t="n">
        <v>45969</v>
      </c>
      <c r="D346" t="inlineStr">
        <is>
          <t>NORRBOTTENS LÄN</t>
        </is>
      </c>
      <c r="E346" t="inlineStr">
        <is>
          <t>PITEÅ</t>
        </is>
      </c>
      <c r="G346" t="n">
        <v>1.5</v>
      </c>
      <c r="H346" t="n">
        <v>0</v>
      </c>
      <c r="I346" t="n">
        <v>0</v>
      </c>
      <c r="J346" t="n">
        <v>0</v>
      </c>
      <c r="K346" t="n">
        <v>0</v>
      </c>
      <c r="L346" t="n">
        <v>0</v>
      </c>
      <c r="M346" t="n">
        <v>0</v>
      </c>
      <c r="N346" t="n">
        <v>0</v>
      </c>
      <c r="O346" t="n">
        <v>0</v>
      </c>
      <c r="P346" t="n">
        <v>0</v>
      </c>
      <c r="Q346" t="n">
        <v>0</v>
      </c>
      <c r="R346" s="2" t="inlineStr"/>
    </row>
    <row r="347" ht="15" customHeight="1">
      <c r="A347" t="inlineStr">
        <is>
          <t>A 44527-2024</t>
        </is>
      </c>
      <c r="B347" s="1" t="n">
        <v>45574.44518518518</v>
      </c>
      <c r="C347" s="1" t="n">
        <v>45969</v>
      </c>
      <c r="D347" t="inlineStr">
        <is>
          <t>NORRBOTTENS LÄN</t>
        </is>
      </c>
      <c r="E347" t="inlineStr">
        <is>
          <t>PITEÅ</t>
        </is>
      </c>
      <c r="F347" t="inlineStr">
        <is>
          <t>Sveaskog</t>
        </is>
      </c>
      <c r="G347" t="n">
        <v>12.2</v>
      </c>
      <c r="H347" t="n">
        <v>0</v>
      </c>
      <c r="I347" t="n">
        <v>0</v>
      </c>
      <c r="J347" t="n">
        <v>0</v>
      </c>
      <c r="K347" t="n">
        <v>0</v>
      </c>
      <c r="L347" t="n">
        <v>0</v>
      </c>
      <c r="M347" t="n">
        <v>0</v>
      </c>
      <c r="N347" t="n">
        <v>0</v>
      </c>
      <c r="O347" t="n">
        <v>0</v>
      </c>
      <c r="P347" t="n">
        <v>0</v>
      </c>
      <c r="Q347" t="n">
        <v>0</v>
      </c>
      <c r="R347" s="2" t="inlineStr"/>
    </row>
    <row r="348" ht="15" customHeight="1">
      <c r="A348" t="inlineStr">
        <is>
          <t>A 34354-2024</t>
        </is>
      </c>
      <c r="B348" s="1" t="n">
        <v>45525</v>
      </c>
      <c r="C348" s="1" t="n">
        <v>45969</v>
      </c>
      <c r="D348" t="inlineStr">
        <is>
          <t>NORRBOTTENS LÄN</t>
        </is>
      </c>
      <c r="E348" t="inlineStr">
        <is>
          <t>PITEÅ</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24311-2025</t>
        </is>
      </c>
      <c r="B349" s="1" t="n">
        <v>45797.51899305556</v>
      </c>
      <c r="C349" s="1" t="n">
        <v>45969</v>
      </c>
      <c r="D349" t="inlineStr">
        <is>
          <t>NORRBOTTENS LÄN</t>
        </is>
      </c>
      <c r="E349" t="inlineStr">
        <is>
          <t>PITEÅ</t>
        </is>
      </c>
      <c r="G349" t="n">
        <v>4.6</v>
      </c>
      <c r="H349" t="n">
        <v>0</v>
      </c>
      <c r="I349" t="n">
        <v>0</v>
      </c>
      <c r="J349" t="n">
        <v>0</v>
      </c>
      <c r="K349" t="n">
        <v>0</v>
      </c>
      <c r="L349" t="n">
        <v>0</v>
      </c>
      <c r="M349" t="n">
        <v>0</v>
      </c>
      <c r="N349" t="n">
        <v>0</v>
      </c>
      <c r="O349" t="n">
        <v>0</v>
      </c>
      <c r="P349" t="n">
        <v>0</v>
      </c>
      <c r="Q349" t="n">
        <v>0</v>
      </c>
      <c r="R349" s="2" t="inlineStr"/>
    </row>
    <row r="350" ht="15" customHeight="1">
      <c r="A350" t="inlineStr">
        <is>
          <t>A 39562-2023</t>
        </is>
      </c>
      <c r="B350" s="1" t="n">
        <v>45167.3946412037</v>
      </c>
      <c r="C350" s="1" t="n">
        <v>45969</v>
      </c>
      <c r="D350" t="inlineStr">
        <is>
          <t>NORRBOTTENS LÄN</t>
        </is>
      </c>
      <c r="E350" t="inlineStr">
        <is>
          <t>PITEÅ</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20080-2024</t>
        </is>
      </c>
      <c r="B351" s="1" t="n">
        <v>45434</v>
      </c>
      <c r="C351" s="1" t="n">
        <v>45969</v>
      </c>
      <c r="D351" t="inlineStr">
        <is>
          <t>NORRBOTTENS LÄN</t>
        </is>
      </c>
      <c r="E351" t="inlineStr">
        <is>
          <t>PITEÅ</t>
        </is>
      </c>
      <c r="G351" t="n">
        <v>7.7</v>
      </c>
      <c r="H351" t="n">
        <v>0</v>
      </c>
      <c r="I351" t="n">
        <v>0</v>
      </c>
      <c r="J351" t="n">
        <v>0</v>
      </c>
      <c r="K351" t="n">
        <v>0</v>
      </c>
      <c r="L351" t="n">
        <v>0</v>
      </c>
      <c r="M351" t="n">
        <v>0</v>
      </c>
      <c r="N351" t="n">
        <v>0</v>
      </c>
      <c r="O351" t="n">
        <v>0</v>
      </c>
      <c r="P351" t="n">
        <v>0</v>
      </c>
      <c r="Q351" t="n">
        <v>0</v>
      </c>
      <c r="R351" s="2" t="inlineStr"/>
    </row>
    <row r="352" ht="15" customHeight="1">
      <c r="A352" t="inlineStr">
        <is>
          <t>A 2392-2023</t>
        </is>
      </c>
      <c r="B352" s="1" t="n">
        <v>44942</v>
      </c>
      <c r="C352" s="1" t="n">
        <v>45969</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33207-2024</t>
        </is>
      </c>
      <c r="B353" s="1" t="n">
        <v>45518</v>
      </c>
      <c r="C353" s="1" t="n">
        <v>45969</v>
      </c>
      <c r="D353" t="inlineStr">
        <is>
          <t>NORRBOTTENS LÄN</t>
        </is>
      </c>
      <c r="E353" t="inlineStr">
        <is>
          <t>PITEÅ</t>
        </is>
      </c>
      <c r="G353" t="n">
        <v>2.1</v>
      </c>
      <c r="H353" t="n">
        <v>0</v>
      </c>
      <c r="I353" t="n">
        <v>0</v>
      </c>
      <c r="J353" t="n">
        <v>0</v>
      </c>
      <c r="K353" t="n">
        <v>0</v>
      </c>
      <c r="L353" t="n">
        <v>0</v>
      </c>
      <c r="M353" t="n">
        <v>0</v>
      </c>
      <c r="N353" t="n">
        <v>0</v>
      </c>
      <c r="O353" t="n">
        <v>0</v>
      </c>
      <c r="P353" t="n">
        <v>0</v>
      </c>
      <c r="Q353" t="n">
        <v>0</v>
      </c>
      <c r="R353" s="2" t="inlineStr"/>
    </row>
    <row r="354" ht="15" customHeight="1">
      <c r="A354" t="inlineStr">
        <is>
          <t>A 14556-2025</t>
        </is>
      </c>
      <c r="B354" s="1" t="n">
        <v>45741.74234953704</v>
      </c>
      <c r="C354" s="1" t="n">
        <v>45969</v>
      </c>
      <c r="D354" t="inlineStr">
        <is>
          <t>NORRBOTTENS LÄN</t>
        </is>
      </c>
      <c r="E354" t="inlineStr">
        <is>
          <t>PITEÅ</t>
        </is>
      </c>
      <c r="G354" t="n">
        <v>1.5</v>
      </c>
      <c r="H354" t="n">
        <v>0</v>
      </c>
      <c r="I354" t="n">
        <v>0</v>
      </c>
      <c r="J354" t="n">
        <v>0</v>
      </c>
      <c r="K354" t="n">
        <v>0</v>
      </c>
      <c r="L354" t="n">
        <v>0</v>
      </c>
      <c r="M354" t="n">
        <v>0</v>
      </c>
      <c r="N354" t="n">
        <v>0</v>
      </c>
      <c r="O354" t="n">
        <v>0</v>
      </c>
      <c r="P354" t="n">
        <v>0</v>
      </c>
      <c r="Q354" t="n">
        <v>0</v>
      </c>
      <c r="R354" s="2" t="inlineStr"/>
    </row>
    <row r="355" ht="15" customHeight="1">
      <c r="A355" t="inlineStr">
        <is>
          <t>A 40601-2024</t>
        </is>
      </c>
      <c r="B355" s="1" t="n">
        <v>45556.40655092592</v>
      </c>
      <c r="C355" s="1" t="n">
        <v>45969</v>
      </c>
      <c r="D355" t="inlineStr">
        <is>
          <t>NORRBOTTENS LÄN</t>
        </is>
      </c>
      <c r="E355" t="inlineStr">
        <is>
          <t>PITEÅ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54100-2023</t>
        </is>
      </c>
      <c r="B356" s="1" t="n">
        <v>45225</v>
      </c>
      <c r="C356" s="1" t="n">
        <v>45969</v>
      </c>
      <c r="D356" t="inlineStr">
        <is>
          <t>NORRBOTTENS LÄN</t>
        </is>
      </c>
      <c r="E356" t="inlineStr">
        <is>
          <t>PITEÅ</t>
        </is>
      </c>
      <c r="G356" t="n">
        <v>2.5</v>
      </c>
      <c r="H356" t="n">
        <v>0</v>
      </c>
      <c r="I356" t="n">
        <v>0</v>
      </c>
      <c r="J356" t="n">
        <v>0</v>
      </c>
      <c r="K356" t="n">
        <v>0</v>
      </c>
      <c r="L356" t="n">
        <v>0</v>
      </c>
      <c r="M356" t="n">
        <v>0</v>
      </c>
      <c r="N356" t="n">
        <v>0</v>
      </c>
      <c r="O356" t="n">
        <v>0</v>
      </c>
      <c r="P356" t="n">
        <v>0</v>
      </c>
      <c r="Q356" t="n">
        <v>0</v>
      </c>
      <c r="R356" s="2" t="inlineStr"/>
    </row>
    <row r="357" ht="15" customHeight="1">
      <c r="A357" t="inlineStr">
        <is>
          <t>A 61810-2024</t>
        </is>
      </c>
      <c r="B357" s="1" t="n">
        <v>45649</v>
      </c>
      <c r="C357" s="1" t="n">
        <v>45969</v>
      </c>
      <c r="D357" t="inlineStr">
        <is>
          <t>NORRBOTTENS LÄN</t>
        </is>
      </c>
      <c r="E357" t="inlineStr">
        <is>
          <t>PITEÅ</t>
        </is>
      </c>
      <c r="G357" t="n">
        <v>31.2</v>
      </c>
      <c r="H357" t="n">
        <v>0</v>
      </c>
      <c r="I357" t="n">
        <v>0</v>
      </c>
      <c r="J357" t="n">
        <v>0</v>
      </c>
      <c r="K357" t="n">
        <v>0</v>
      </c>
      <c r="L357" t="n">
        <v>0</v>
      </c>
      <c r="M357" t="n">
        <v>0</v>
      </c>
      <c r="N357" t="n">
        <v>0</v>
      </c>
      <c r="O357" t="n">
        <v>0</v>
      </c>
      <c r="P357" t="n">
        <v>0</v>
      </c>
      <c r="Q357" t="n">
        <v>0</v>
      </c>
      <c r="R357" s="2" t="inlineStr"/>
    </row>
    <row r="358" ht="15" customHeight="1">
      <c r="A358" t="inlineStr">
        <is>
          <t>A 32432-2023</t>
        </is>
      </c>
      <c r="B358" s="1" t="n">
        <v>45120</v>
      </c>
      <c r="C358" s="1" t="n">
        <v>45969</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32438-2023</t>
        </is>
      </c>
      <c r="B359" s="1" t="n">
        <v>45120</v>
      </c>
      <c r="C359" s="1" t="n">
        <v>45969</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50031-2021</t>
        </is>
      </c>
      <c r="B360" s="1" t="n">
        <v>44454</v>
      </c>
      <c r="C360" s="1" t="n">
        <v>45969</v>
      </c>
      <c r="D360" t="inlineStr">
        <is>
          <t>NORRBOTTENS LÄN</t>
        </is>
      </c>
      <c r="E360" t="inlineStr">
        <is>
          <t>PITEÅ</t>
        </is>
      </c>
      <c r="G360" t="n">
        <v>10.5</v>
      </c>
      <c r="H360" t="n">
        <v>0</v>
      </c>
      <c r="I360" t="n">
        <v>0</v>
      </c>
      <c r="J360" t="n">
        <v>0</v>
      </c>
      <c r="K360" t="n">
        <v>0</v>
      </c>
      <c r="L360" t="n">
        <v>0</v>
      </c>
      <c r="M360" t="n">
        <v>0</v>
      </c>
      <c r="N360" t="n">
        <v>0</v>
      </c>
      <c r="O360" t="n">
        <v>0</v>
      </c>
      <c r="P360" t="n">
        <v>0</v>
      </c>
      <c r="Q360" t="n">
        <v>0</v>
      </c>
      <c r="R360" s="2" t="inlineStr"/>
    </row>
    <row r="361" ht="15" customHeight="1">
      <c r="A361" t="inlineStr">
        <is>
          <t>A 51489-2023</t>
        </is>
      </c>
      <c r="B361" s="1" t="n">
        <v>45222</v>
      </c>
      <c r="C361" s="1" t="n">
        <v>45969</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15529-2025</t>
        </is>
      </c>
      <c r="B362" s="1" t="n">
        <v>45747.63579861111</v>
      </c>
      <c r="C362" s="1" t="n">
        <v>45969</v>
      </c>
      <c r="D362" t="inlineStr">
        <is>
          <t>NORRBOTTENS LÄN</t>
        </is>
      </c>
      <c r="E362" t="inlineStr">
        <is>
          <t>PITEÅ</t>
        </is>
      </c>
      <c r="G362" t="n">
        <v>4.1</v>
      </c>
      <c r="H362" t="n">
        <v>0</v>
      </c>
      <c r="I362" t="n">
        <v>0</v>
      </c>
      <c r="J362" t="n">
        <v>0</v>
      </c>
      <c r="K362" t="n">
        <v>0</v>
      </c>
      <c r="L362" t="n">
        <v>0</v>
      </c>
      <c r="M362" t="n">
        <v>0</v>
      </c>
      <c r="N362" t="n">
        <v>0</v>
      </c>
      <c r="O362" t="n">
        <v>0</v>
      </c>
      <c r="P362" t="n">
        <v>0</v>
      </c>
      <c r="Q362" t="n">
        <v>0</v>
      </c>
      <c r="R362" s="2" t="inlineStr"/>
    </row>
    <row r="363" ht="15" customHeight="1">
      <c r="A363" t="inlineStr">
        <is>
          <t>A 45524-2024</t>
        </is>
      </c>
      <c r="B363" s="1" t="n">
        <v>45578</v>
      </c>
      <c r="C363" s="1" t="n">
        <v>45969</v>
      </c>
      <c r="D363" t="inlineStr">
        <is>
          <t>NORRBOTTENS LÄN</t>
        </is>
      </c>
      <c r="E363" t="inlineStr">
        <is>
          <t>PITEÅ</t>
        </is>
      </c>
      <c r="G363" t="n">
        <v>7.7</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45969</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40661-2024</t>
        </is>
      </c>
      <c r="B365" s="1" t="n">
        <v>45558.34508101852</v>
      </c>
      <c r="C365" s="1" t="n">
        <v>45969</v>
      </c>
      <c r="D365" t="inlineStr">
        <is>
          <t>NORRBOTTENS LÄN</t>
        </is>
      </c>
      <c r="E365" t="inlineStr">
        <is>
          <t>PITEÅ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11511-2025</t>
        </is>
      </c>
      <c r="B366" s="1" t="n">
        <v>45726.83957175926</v>
      </c>
      <c r="C366" s="1" t="n">
        <v>45969</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14862-2023</t>
        </is>
      </c>
      <c r="B367" s="1" t="n">
        <v>45015</v>
      </c>
      <c r="C367" s="1" t="n">
        <v>45969</v>
      </c>
      <c r="D367" t="inlineStr">
        <is>
          <t>NORRBOTTENS LÄN</t>
        </is>
      </c>
      <c r="E367" t="inlineStr">
        <is>
          <t>PITEÅ</t>
        </is>
      </c>
      <c r="F367" t="inlineStr">
        <is>
          <t>SCA</t>
        </is>
      </c>
      <c r="G367" t="n">
        <v>10.9</v>
      </c>
      <c r="H367" t="n">
        <v>0</v>
      </c>
      <c r="I367" t="n">
        <v>0</v>
      </c>
      <c r="J367" t="n">
        <v>0</v>
      </c>
      <c r="K367" t="n">
        <v>0</v>
      </c>
      <c r="L367" t="n">
        <v>0</v>
      </c>
      <c r="M367" t="n">
        <v>0</v>
      </c>
      <c r="N367" t="n">
        <v>0</v>
      </c>
      <c r="O367" t="n">
        <v>0</v>
      </c>
      <c r="P367" t="n">
        <v>0</v>
      </c>
      <c r="Q367" t="n">
        <v>0</v>
      </c>
      <c r="R367" s="2" t="inlineStr"/>
    </row>
    <row r="368" ht="15" customHeight="1">
      <c r="A368" t="inlineStr">
        <is>
          <t>A 21854-2022</t>
        </is>
      </c>
      <c r="B368" s="1" t="n">
        <v>44708</v>
      </c>
      <c r="C368" s="1" t="n">
        <v>45969</v>
      </c>
      <c r="D368" t="inlineStr">
        <is>
          <t>NORRBOTTENS LÄN</t>
        </is>
      </c>
      <c r="E368" t="inlineStr">
        <is>
          <t>PITEÅ</t>
        </is>
      </c>
      <c r="G368" t="n">
        <v>5.1</v>
      </c>
      <c r="H368" t="n">
        <v>0</v>
      </c>
      <c r="I368" t="n">
        <v>0</v>
      </c>
      <c r="J368" t="n">
        <v>0</v>
      </c>
      <c r="K368" t="n">
        <v>0</v>
      </c>
      <c r="L368" t="n">
        <v>0</v>
      </c>
      <c r="M368" t="n">
        <v>0</v>
      </c>
      <c r="N368" t="n">
        <v>0</v>
      </c>
      <c r="O368" t="n">
        <v>0</v>
      </c>
      <c r="P368" t="n">
        <v>0</v>
      </c>
      <c r="Q368" t="n">
        <v>0</v>
      </c>
      <c r="R368" s="2" t="inlineStr"/>
    </row>
    <row r="369" ht="15" customHeight="1">
      <c r="A369" t="inlineStr">
        <is>
          <t>A 42590-2024</t>
        </is>
      </c>
      <c r="B369" s="1" t="n">
        <v>45565.67741898148</v>
      </c>
      <c r="C369" s="1" t="n">
        <v>45969</v>
      </c>
      <c r="D369" t="inlineStr">
        <is>
          <t>NORRBOTTENS LÄN</t>
        </is>
      </c>
      <c r="E369" t="inlineStr">
        <is>
          <t>PITEÅ</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45969</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39518-2025</t>
        </is>
      </c>
      <c r="B371" s="1" t="n">
        <v>45890.42737268518</v>
      </c>
      <c r="C371" s="1" t="n">
        <v>45969</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12574-2024</t>
        </is>
      </c>
      <c r="B372" s="1" t="n">
        <v>45379</v>
      </c>
      <c r="C372" s="1" t="n">
        <v>45969</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16557-2023</t>
        </is>
      </c>
      <c r="B373" s="1" t="n">
        <v>45029.92474537037</v>
      </c>
      <c r="C373" s="1" t="n">
        <v>45969</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11964-2024</t>
        </is>
      </c>
      <c r="B374" s="1" t="n">
        <v>45376.92693287037</v>
      </c>
      <c r="C374" s="1" t="n">
        <v>45969</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39560-2023</t>
        </is>
      </c>
      <c r="B375" s="1" t="n">
        <v>45167.39181712963</v>
      </c>
      <c r="C375" s="1" t="n">
        <v>45969</v>
      </c>
      <c r="D375" t="inlineStr">
        <is>
          <t>NORRBOTTENS LÄN</t>
        </is>
      </c>
      <c r="E375" t="inlineStr">
        <is>
          <t>PITEÅ</t>
        </is>
      </c>
      <c r="F375" t="inlineStr">
        <is>
          <t>Sveaskog</t>
        </is>
      </c>
      <c r="G375" t="n">
        <v>4.6</v>
      </c>
      <c r="H375" t="n">
        <v>0</v>
      </c>
      <c r="I375" t="n">
        <v>0</v>
      </c>
      <c r="J375" t="n">
        <v>0</v>
      </c>
      <c r="K375" t="n">
        <v>0</v>
      </c>
      <c r="L375" t="n">
        <v>0</v>
      </c>
      <c r="M375" t="n">
        <v>0</v>
      </c>
      <c r="N375" t="n">
        <v>0</v>
      </c>
      <c r="O375" t="n">
        <v>0</v>
      </c>
      <c r="P375" t="n">
        <v>0</v>
      </c>
      <c r="Q375" t="n">
        <v>0</v>
      </c>
      <c r="R375" s="2" t="inlineStr"/>
    </row>
    <row r="376" ht="15" customHeight="1">
      <c r="A376" t="inlineStr">
        <is>
          <t>A 56418-2024</t>
        </is>
      </c>
      <c r="B376" s="1" t="n">
        <v>45625.37511574074</v>
      </c>
      <c r="C376" s="1" t="n">
        <v>45969</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45969</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48533-2025</t>
        </is>
      </c>
      <c r="B378" s="1" t="n">
        <v>45936.4080787037</v>
      </c>
      <c r="C378" s="1" t="n">
        <v>45969</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48437-2025</t>
        </is>
      </c>
      <c r="B379" s="1" t="n">
        <v>45935.34575231482</v>
      </c>
      <c r="C379" s="1" t="n">
        <v>45969</v>
      </c>
      <c r="D379" t="inlineStr">
        <is>
          <t>NORRBOTTENS LÄN</t>
        </is>
      </c>
      <c r="E379" t="inlineStr">
        <is>
          <t>PITEÅ</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40210-2025</t>
        </is>
      </c>
      <c r="B380" s="1" t="n">
        <v>45894</v>
      </c>
      <c r="C380" s="1" t="n">
        <v>45969</v>
      </c>
      <c r="D380" t="inlineStr">
        <is>
          <t>NORRBOTTENS LÄN</t>
        </is>
      </c>
      <c r="E380" t="inlineStr">
        <is>
          <t>PITEÅ</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40729-2024</t>
        </is>
      </c>
      <c r="B381" s="1" t="n">
        <v>45558</v>
      </c>
      <c r="C381" s="1" t="n">
        <v>45969</v>
      </c>
      <c r="D381" t="inlineStr">
        <is>
          <t>NORRBOTTENS LÄN</t>
        </is>
      </c>
      <c r="E381" t="inlineStr">
        <is>
          <t>PITEÅ</t>
        </is>
      </c>
      <c r="G381" t="n">
        <v>4.8</v>
      </c>
      <c r="H381" t="n">
        <v>0</v>
      </c>
      <c r="I381" t="n">
        <v>0</v>
      </c>
      <c r="J381" t="n">
        <v>0</v>
      </c>
      <c r="K381" t="n">
        <v>0</v>
      </c>
      <c r="L381" t="n">
        <v>0</v>
      </c>
      <c r="M381" t="n">
        <v>0</v>
      </c>
      <c r="N381" t="n">
        <v>0</v>
      </c>
      <c r="O381" t="n">
        <v>0</v>
      </c>
      <c r="P381" t="n">
        <v>0</v>
      </c>
      <c r="Q381" t="n">
        <v>0</v>
      </c>
      <c r="R381" s="2" t="inlineStr"/>
    </row>
    <row r="382" ht="15" customHeight="1">
      <c r="A382" t="inlineStr">
        <is>
          <t>A 56312-2022</t>
        </is>
      </c>
      <c r="B382" s="1" t="n">
        <v>44890</v>
      </c>
      <c r="C382" s="1" t="n">
        <v>45969</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31754-2021</t>
        </is>
      </c>
      <c r="B383" s="1" t="n">
        <v>44369.93850694445</v>
      </c>
      <c r="C383" s="1" t="n">
        <v>45969</v>
      </c>
      <c r="D383" t="inlineStr">
        <is>
          <t>NORRBOTTENS LÄN</t>
        </is>
      </c>
      <c r="E383" t="inlineStr">
        <is>
          <t>PITEÅ</t>
        </is>
      </c>
      <c r="F383" t="inlineStr">
        <is>
          <t>SCA</t>
        </is>
      </c>
      <c r="G383" t="n">
        <v>5.1</v>
      </c>
      <c r="H383" t="n">
        <v>0</v>
      </c>
      <c r="I383" t="n">
        <v>0</v>
      </c>
      <c r="J383" t="n">
        <v>0</v>
      </c>
      <c r="K383" t="n">
        <v>0</v>
      </c>
      <c r="L383" t="n">
        <v>0</v>
      </c>
      <c r="M383" t="n">
        <v>0</v>
      </c>
      <c r="N383" t="n">
        <v>0</v>
      </c>
      <c r="O383" t="n">
        <v>0</v>
      </c>
      <c r="P383" t="n">
        <v>0</v>
      </c>
      <c r="Q383" t="n">
        <v>0</v>
      </c>
      <c r="R383" s="2" t="inlineStr"/>
    </row>
    <row r="384" ht="15" customHeight="1">
      <c r="A384" t="inlineStr">
        <is>
          <t>A 25930-2023</t>
        </is>
      </c>
      <c r="B384" s="1" t="n">
        <v>45090.67743055556</v>
      </c>
      <c r="C384" s="1" t="n">
        <v>45969</v>
      </c>
      <c r="D384" t="inlineStr">
        <is>
          <t>NORRBOTTENS LÄN</t>
        </is>
      </c>
      <c r="E384" t="inlineStr">
        <is>
          <t>PITEÅ</t>
        </is>
      </c>
      <c r="G384" t="n">
        <v>0.5</v>
      </c>
      <c r="H384" t="n">
        <v>0</v>
      </c>
      <c r="I384" t="n">
        <v>0</v>
      </c>
      <c r="J384" t="n">
        <v>0</v>
      </c>
      <c r="K384" t="n">
        <v>0</v>
      </c>
      <c r="L384" t="n">
        <v>0</v>
      </c>
      <c r="M384" t="n">
        <v>0</v>
      </c>
      <c r="N384" t="n">
        <v>0</v>
      </c>
      <c r="O384" t="n">
        <v>0</v>
      </c>
      <c r="P384" t="n">
        <v>0</v>
      </c>
      <c r="Q384" t="n">
        <v>0</v>
      </c>
      <c r="R384" s="2" t="inlineStr"/>
    </row>
    <row r="385" ht="15" customHeight="1">
      <c r="A385" t="inlineStr">
        <is>
          <t>A 510-2025</t>
        </is>
      </c>
      <c r="B385" s="1" t="n">
        <v>45664.47244212963</v>
      </c>
      <c r="C385" s="1" t="n">
        <v>45969</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52355-2022</t>
        </is>
      </c>
      <c r="B386" s="1" t="n">
        <v>44874</v>
      </c>
      <c r="C386" s="1" t="n">
        <v>45969</v>
      </c>
      <c r="D386" t="inlineStr">
        <is>
          <t>NORRBOTTENS LÄN</t>
        </is>
      </c>
      <c r="E386" t="inlineStr">
        <is>
          <t>PITEÅ</t>
        </is>
      </c>
      <c r="G386" t="n">
        <v>11.1</v>
      </c>
      <c r="H386" t="n">
        <v>0</v>
      </c>
      <c r="I386" t="n">
        <v>0</v>
      </c>
      <c r="J386" t="n">
        <v>0</v>
      </c>
      <c r="K386" t="n">
        <v>0</v>
      </c>
      <c r="L386" t="n">
        <v>0</v>
      </c>
      <c r="M386" t="n">
        <v>0</v>
      </c>
      <c r="N386" t="n">
        <v>0</v>
      </c>
      <c r="O386" t="n">
        <v>0</v>
      </c>
      <c r="P386" t="n">
        <v>0</v>
      </c>
      <c r="Q386" t="n">
        <v>0</v>
      </c>
      <c r="R386" s="2" t="inlineStr"/>
    </row>
    <row r="387" ht="15" customHeight="1">
      <c r="A387" t="inlineStr">
        <is>
          <t>A 55319-2023</t>
        </is>
      </c>
      <c r="B387" s="1" t="n">
        <v>45237</v>
      </c>
      <c r="C387" s="1" t="n">
        <v>45969</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50747-2024</t>
        </is>
      </c>
      <c r="B388" s="1" t="n">
        <v>45602.42299768519</v>
      </c>
      <c r="C388" s="1" t="n">
        <v>45969</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64972-2023</t>
        </is>
      </c>
      <c r="B389" s="1" t="n">
        <v>45285.40947916666</v>
      </c>
      <c r="C389" s="1" t="n">
        <v>45969</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45728-2024</t>
        </is>
      </c>
      <c r="B390" s="1" t="n">
        <v>45579.59833333334</v>
      </c>
      <c r="C390" s="1" t="n">
        <v>45969</v>
      </c>
      <c r="D390" t="inlineStr">
        <is>
          <t>NORRBOTTENS LÄN</t>
        </is>
      </c>
      <c r="E390" t="inlineStr">
        <is>
          <t>PITEÅ</t>
        </is>
      </c>
      <c r="G390" t="n">
        <v>2.7</v>
      </c>
      <c r="H390" t="n">
        <v>0</v>
      </c>
      <c r="I390" t="n">
        <v>0</v>
      </c>
      <c r="J390" t="n">
        <v>0</v>
      </c>
      <c r="K390" t="n">
        <v>0</v>
      </c>
      <c r="L390" t="n">
        <v>0</v>
      </c>
      <c r="M390" t="n">
        <v>0</v>
      </c>
      <c r="N390" t="n">
        <v>0</v>
      </c>
      <c r="O390" t="n">
        <v>0</v>
      </c>
      <c r="P390" t="n">
        <v>0</v>
      </c>
      <c r="Q390" t="n">
        <v>0</v>
      </c>
      <c r="R390" s="2" t="inlineStr"/>
    </row>
    <row r="391" ht="15" customHeight="1">
      <c r="A391" t="inlineStr">
        <is>
          <t>A 45732-2024</t>
        </is>
      </c>
      <c r="B391" s="1" t="n">
        <v>45579.60060185185</v>
      </c>
      <c r="C391" s="1" t="n">
        <v>45969</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2452-2024</t>
        </is>
      </c>
      <c r="B392" s="1" t="n">
        <v>45312</v>
      </c>
      <c r="C392" s="1" t="n">
        <v>45969</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34628-2023</t>
        </is>
      </c>
      <c r="B393" s="1" t="n">
        <v>45140</v>
      </c>
      <c r="C393" s="1" t="n">
        <v>45969</v>
      </c>
      <c r="D393" t="inlineStr">
        <is>
          <t>NORRBOTTENS LÄN</t>
        </is>
      </c>
      <c r="E393" t="inlineStr">
        <is>
          <t>PITEÅ</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39891-2025</t>
        </is>
      </c>
      <c r="B394" s="1" t="n">
        <v>45891.62828703703</v>
      </c>
      <c r="C394" s="1" t="n">
        <v>45969</v>
      </c>
      <c r="D394" t="inlineStr">
        <is>
          <t>NORRBOTTENS LÄN</t>
        </is>
      </c>
      <c r="E394" t="inlineStr">
        <is>
          <t>PITEÅ</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35197-2023</t>
        </is>
      </c>
      <c r="B395" s="1" t="n">
        <v>45145</v>
      </c>
      <c r="C395" s="1" t="n">
        <v>45969</v>
      </c>
      <c r="D395" t="inlineStr">
        <is>
          <t>NORRBOTTENS LÄN</t>
        </is>
      </c>
      <c r="E395" t="inlineStr">
        <is>
          <t>PITEÅ</t>
        </is>
      </c>
      <c r="G395" t="n">
        <v>4.8</v>
      </c>
      <c r="H395" t="n">
        <v>0</v>
      </c>
      <c r="I395" t="n">
        <v>0</v>
      </c>
      <c r="J395" t="n">
        <v>0</v>
      </c>
      <c r="K395" t="n">
        <v>0</v>
      </c>
      <c r="L395" t="n">
        <v>0</v>
      </c>
      <c r="M395" t="n">
        <v>0</v>
      </c>
      <c r="N395" t="n">
        <v>0</v>
      </c>
      <c r="O395" t="n">
        <v>0</v>
      </c>
      <c r="P395" t="n">
        <v>0</v>
      </c>
      <c r="Q395" t="n">
        <v>0</v>
      </c>
      <c r="R395" s="2" t="inlineStr"/>
    </row>
    <row r="396" ht="15" customHeight="1">
      <c r="A396" t="inlineStr">
        <is>
          <t>A 14560-2025</t>
        </is>
      </c>
      <c r="B396" s="1" t="n">
        <v>45741.78100694445</v>
      </c>
      <c r="C396" s="1" t="n">
        <v>45969</v>
      </c>
      <c r="D396" t="inlineStr">
        <is>
          <t>NORRBOTTENS LÄN</t>
        </is>
      </c>
      <c r="E396" t="inlineStr">
        <is>
          <t>PITEÅ</t>
        </is>
      </c>
      <c r="G396" t="n">
        <v>0.9</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45630.66138888889</v>
      </c>
      <c r="C397" s="1" t="n">
        <v>45969</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64307-2023</t>
        </is>
      </c>
      <c r="B398" s="1" t="n">
        <v>45279</v>
      </c>
      <c r="C398" s="1" t="n">
        <v>45969</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31488-2023</t>
        </is>
      </c>
      <c r="B399" s="1" t="n">
        <v>45114</v>
      </c>
      <c r="C399" s="1" t="n">
        <v>45969</v>
      </c>
      <c r="D399" t="inlineStr">
        <is>
          <t>NORRBOTTENS LÄN</t>
        </is>
      </c>
      <c r="E399" t="inlineStr">
        <is>
          <t>PITEÅ</t>
        </is>
      </c>
      <c r="G399" t="n">
        <v>5.2</v>
      </c>
      <c r="H399" t="n">
        <v>0</v>
      </c>
      <c r="I399" t="n">
        <v>0</v>
      </c>
      <c r="J399" t="n">
        <v>0</v>
      </c>
      <c r="K399" t="n">
        <v>0</v>
      </c>
      <c r="L399" t="n">
        <v>0</v>
      </c>
      <c r="M399" t="n">
        <v>0</v>
      </c>
      <c r="N399" t="n">
        <v>0</v>
      </c>
      <c r="O399" t="n">
        <v>0</v>
      </c>
      <c r="P399" t="n">
        <v>0</v>
      </c>
      <c r="Q399" t="n">
        <v>0</v>
      </c>
      <c r="R399" s="2" t="inlineStr"/>
    </row>
    <row r="400" ht="15" customHeight="1">
      <c r="A400" t="inlineStr">
        <is>
          <t>A 61303-2023</t>
        </is>
      </c>
      <c r="B400" s="1" t="n">
        <v>45264.56266203704</v>
      </c>
      <c r="C400" s="1" t="n">
        <v>45969</v>
      </c>
      <c r="D400" t="inlineStr">
        <is>
          <t>NORRBOTTENS LÄN</t>
        </is>
      </c>
      <c r="E400" t="inlineStr">
        <is>
          <t>PITEÅ</t>
        </is>
      </c>
      <c r="G400" t="n">
        <v>6.9</v>
      </c>
      <c r="H400" t="n">
        <v>0</v>
      </c>
      <c r="I400" t="n">
        <v>0</v>
      </c>
      <c r="J400" t="n">
        <v>0</v>
      </c>
      <c r="K400" t="n">
        <v>0</v>
      </c>
      <c r="L400" t="n">
        <v>0</v>
      </c>
      <c r="M400" t="n">
        <v>0</v>
      </c>
      <c r="N400" t="n">
        <v>0</v>
      </c>
      <c r="O400" t="n">
        <v>0</v>
      </c>
      <c r="P400" t="n">
        <v>0</v>
      </c>
      <c r="Q400" t="n">
        <v>0</v>
      </c>
      <c r="R400" s="2" t="inlineStr"/>
    </row>
    <row r="401" ht="15" customHeight="1">
      <c r="A401" t="inlineStr">
        <is>
          <t>A 60108-2024</t>
        </is>
      </c>
      <c r="B401" s="1" t="n">
        <v>45642.57230324074</v>
      </c>
      <c r="C401" s="1" t="n">
        <v>45969</v>
      </c>
      <c r="D401" t="inlineStr">
        <is>
          <t>NORRBOTTENS LÄN</t>
        </is>
      </c>
      <c r="E401" t="inlineStr">
        <is>
          <t>PITEÅ</t>
        </is>
      </c>
      <c r="G401" t="n">
        <v>5.7</v>
      </c>
      <c r="H401" t="n">
        <v>0</v>
      </c>
      <c r="I401" t="n">
        <v>0</v>
      </c>
      <c r="J401" t="n">
        <v>0</v>
      </c>
      <c r="K401" t="n">
        <v>0</v>
      </c>
      <c r="L401" t="n">
        <v>0</v>
      </c>
      <c r="M401" t="n">
        <v>0</v>
      </c>
      <c r="N401" t="n">
        <v>0</v>
      </c>
      <c r="O401" t="n">
        <v>0</v>
      </c>
      <c r="P401" t="n">
        <v>0</v>
      </c>
      <c r="Q401" t="n">
        <v>0</v>
      </c>
      <c r="R401" s="2" t="inlineStr"/>
    </row>
    <row r="402" ht="15" customHeight="1">
      <c r="A402" t="inlineStr">
        <is>
          <t>A 32371-2023</t>
        </is>
      </c>
      <c r="B402" s="1" t="n">
        <v>45110</v>
      </c>
      <c r="C402" s="1" t="n">
        <v>45969</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57897-2023</t>
        </is>
      </c>
      <c r="B403" s="1" t="n">
        <v>45244</v>
      </c>
      <c r="C403" s="1" t="n">
        <v>45969</v>
      </c>
      <c r="D403" t="inlineStr">
        <is>
          <t>NORRBOTTENS LÄN</t>
        </is>
      </c>
      <c r="E403" t="inlineStr">
        <is>
          <t>PITEÅ</t>
        </is>
      </c>
      <c r="G403" t="n">
        <v>2.4</v>
      </c>
      <c r="H403" t="n">
        <v>0</v>
      </c>
      <c r="I403" t="n">
        <v>0</v>
      </c>
      <c r="J403" t="n">
        <v>0</v>
      </c>
      <c r="K403" t="n">
        <v>0</v>
      </c>
      <c r="L403" t="n">
        <v>0</v>
      </c>
      <c r="M403" t="n">
        <v>0</v>
      </c>
      <c r="N403" t="n">
        <v>0</v>
      </c>
      <c r="O403" t="n">
        <v>0</v>
      </c>
      <c r="P403" t="n">
        <v>0</v>
      </c>
      <c r="Q403" t="n">
        <v>0</v>
      </c>
      <c r="R403" s="2" t="inlineStr"/>
    </row>
    <row r="404" ht="15" customHeight="1">
      <c r="A404" t="inlineStr">
        <is>
          <t>A 16233-2023</t>
        </is>
      </c>
      <c r="B404" s="1" t="n">
        <v>45028</v>
      </c>
      <c r="C404" s="1" t="n">
        <v>45969</v>
      </c>
      <c r="D404" t="inlineStr">
        <is>
          <t>NORRBOTTENS LÄN</t>
        </is>
      </c>
      <c r="E404" t="inlineStr">
        <is>
          <t>PITEÅ</t>
        </is>
      </c>
      <c r="G404" t="n">
        <v>5.6</v>
      </c>
      <c r="H404" t="n">
        <v>0</v>
      </c>
      <c r="I404" t="n">
        <v>0</v>
      </c>
      <c r="J404" t="n">
        <v>0</v>
      </c>
      <c r="K404" t="n">
        <v>0</v>
      </c>
      <c r="L404" t="n">
        <v>0</v>
      </c>
      <c r="M404" t="n">
        <v>0</v>
      </c>
      <c r="N404" t="n">
        <v>0</v>
      </c>
      <c r="O404" t="n">
        <v>0</v>
      </c>
      <c r="P404" t="n">
        <v>0</v>
      </c>
      <c r="Q404" t="n">
        <v>0</v>
      </c>
      <c r="R404" s="2" t="inlineStr"/>
    </row>
    <row r="405" ht="15" customHeight="1">
      <c r="A405" t="inlineStr">
        <is>
          <t>A 5502-2024</t>
        </is>
      </c>
      <c r="B405" s="1" t="n">
        <v>45331</v>
      </c>
      <c r="C405" s="1" t="n">
        <v>45969</v>
      </c>
      <c r="D405" t="inlineStr">
        <is>
          <t>NORRBOTTENS LÄN</t>
        </is>
      </c>
      <c r="E405" t="inlineStr">
        <is>
          <t>PITEÅ</t>
        </is>
      </c>
      <c r="G405" t="n">
        <v>2.8</v>
      </c>
      <c r="H405" t="n">
        <v>0</v>
      </c>
      <c r="I405" t="n">
        <v>0</v>
      </c>
      <c r="J405" t="n">
        <v>0</v>
      </c>
      <c r="K405" t="n">
        <v>0</v>
      </c>
      <c r="L405" t="n">
        <v>0</v>
      </c>
      <c r="M405" t="n">
        <v>0</v>
      </c>
      <c r="N405" t="n">
        <v>0</v>
      </c>
      <c r="O405" t="n">
        <v>0</v>
      </c>
      <c r="P405" t="n">
        <v>0</v>
      </c>
      <c r="Q405" t="n">
        <v>0</v>
      </c>
      <c r="R405" s="2" t="inlineStr"/>
    </row>
    <row r="406" ht="15" customHeight="1">
      <c r="A406" t="inlineStr">
        <is>
          <t>A 32466-2024</t>
        </is>
      </c>
      <c r="B406" s="1" t="n">
        <v>45512.96141203704</v>
      </c>
      <c r="C406" s="1" t="n">
        <v>45969</v>
      </c>
      <c r="D406" t="inlineStr">
        <is>
          <t>NORRBOTTENS LÄN</t>
        </is>
      </c>
      <c r="E406" t="inlineStr">
        <is>
          <t>PITEÅ</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45969</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48532-2025</t>
        </is>
      </c>
      <c r="B408" s="1" t="n">
        <v>45936.40799768519</v>
      </c>
      <c r="C408" s="1" t="n">
        <v>45969</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28720-2024</t>
        </is>
      </c>
      <c r="B409" s="1" t="n">
        <v>45478.54910879629</v>
      </c>
      <c r="C409" s="1" t="n">
        <v>45969</v>
      </c>
      <c r="D409" t="inlineStr">
        <is>
          <t>NORRBOTTENS LÄN</t>
        </is>
      </c>
      <c r="E409" t="inlineStr">
        <is>
          <t>PITEÅ</t>
        </is>
      </c>
      <c r="G409" t="n">
        <v>15</v>
      </c>
      <c r="H409" t="n">
        <v>0</v>
      </c>
      <c r="I409" t="n">
        <v>0</v>
      </c>
      <c r="J409" t="n">
        <v>0</v>
      </c>
      <c r="K409" t="n">
        <v>0</v>
      </c>
      <c r="L409" t="n">
        <v>0</v>
      </c>
      <c r="M409" t="n">
        <v>0</v>
      </c>
      <c r="N409" t="n">
        <v>0</v>
      </c>
      <c r="O409" t="n">
        <v>0</v>
      </c>
      <c r="P409" t="n">
        <v>0</v>
      </c>
      <c r="Q409" t="n">
        <v>0</v>
      </c>
      <c r="R409" s="2" t="inlineStr"/>
    </row>
    <row r="410" ht="15" customHeight="1">
      <c r="A410" t="inlineStr">
        <is>
          <t>A 7905-2024</t>
        </is>
      </c>
      <c r="B410" s="1" t="n">
        <v>45350.4345949074</v>
      </c>
      <c r="C410" s="1" t="n">
        <v>45969</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48555-2025</t>
        </is>
      </c>
      <c r="B411" s="1" t="n">
        <v>45936.42791666667</v>
      </c>
      <c r="C411" s="1" t="n">
        <v>45969</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37703-2024</t>
        </is>
      </c>
      <c r="B412" s="1" t="n">
        <v>45541</v>
      </c>
      <c r="C412" s="1" t="n">
        <v>45969</v>
      </c>
      <c r="D412" t="inlineStr">
        <is>
          <t>NORRBOTTENS LÄN</t>
        </is>
      </c>
      <c r="E412" t="inlineStr">
        <is>
          <t>PITEÅ</t>
        </is>
      </c>
      <c r="G412" t="n">
        <v>14.1</v>
      </c>
      <c r="H412" t="n">
        <v>0</v>
      </c>
      <c r="I412" t="n">
        <v>0</v>
      </c>
      <c r="J412" t="n">
        <v>0</v>
      </c>
      <c r="K412" t="n">
        <v>0</v>
      </c>
      <c r="L412" t="n">
        <v>0</v>
      </c>
      <c r="M412" t="n">
        <v>0</v>
      </c>
      <c r="N412" t="n">
        <v>0</v>
      </c>
      <c r="O412" t="n">
        <v>0</v>
      </c>
      <c r="P412" t="n">
        <v>0</v>
      </c>
      <c r="Q412" t="n">
        <v>0</v>
      </c>
      <c r="R412" s="2" t="inlineStr"/>
    </row>
    <row r="413" ht="15" customHeight="1">
      <c r="A413" t="inlineStr">
        <is>
          <t>A 46410-2024</t>
        </is>
      </c>
      <c r="B413" s="1" t="n">
        <v>45582.44790509259</v>
      </c>
      <c r="C413" s="1" t="n">
        <v>45969</v>
      </c>
      <c r="D413" t="inlineStr">
        <is>
          <t>NORRBOTTENS LÄN</t>
        </is>
      </c>
      <c r="E413" t="inlineStr">
        <is>
          <t>PITEÅ</t>
        </is>
      </c>
      <c r="F413" t="inlineStr">
        <is>
          <t>Sveaskog</t>
        </is>
      </c>
      <c r="G413" t="n">
        <v>9.5</v>
      </c>
      <c r="H413" t="n">
        <v>0</v>
      </c>
      <c r="I413" t="n">
        <v>0</v>
      </c>
      <c r="J413" t="n">
        <v>0</v>
      </c>
      <c r="K413" t="n">
        <v>0</v>
      </c>
      <c r="L413" t="n">
        <v>0</v>
      </c>
      <c r="M413" t="n">
        <v>0</v>
      </c>
      <c r="N413" t="n">
        <v>0</v>
      </c>
      <c r="O413" t="n">
        <v>0</v>
      </c>
      <c r="P413" t="n">
        <v>0</v>
      </c>
      <c r="Q413" t="n">
        <v>0</v>
      </c>
      <c r="R413" s="2" t="inlineStr"/>
    </row>
    <row r="414" ht="15" customHeight="1">
      <c r="A414" t="inlineStr">
        <is>
          <t>A 44120-2024</t>
        </is>
      </c>
      <c r="B414" s="1" t="n">
        <v>45572.63810185185</v>
      </c>
      <c r="C414" s="1" t="n">
        <v>45969</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48430-2025</t>
        </is>
      </c>
      <c r="B415" s="1" t="n">
        <v>45934.87321759259</v>
      </c>
      <c r="C415" s="1" t="n">
        <v>45969</v>
      </c>
      <c r="D415" t="inlineStr">
        <is>
          <t>NORRBOTTENS LÄN</t>
        </is>
      </c>
      <c r="E415" t="inlineStr">
        <is>
          <t>PITEÅ</t>
        </is>
      </c>
      <c r="G415" t="n">
        <v>6.7</v>
      </c>
      <c r="H415" t="n">
        <v>0</v>
      </c>
      <c r="I415" t="n">
        <v>0</v>
      </c>
      <c r="J415" t="n">
        <v>0</v>
      </c>
      <c r="K415" t="n">
        <v>0</v>
      </c>
      <c r="L415" t="n">
        <v>0</v>
      </c>
      <c r="M415" t="n">
        <v>0</v>
      </c>
      <c r="N415" t="n">
        <v>0</v>
      </c>
      <c r="O415" t="n">
        <v>0</v>
      </c>
      <c r="P415" t="n">
        <v>0</v>
      </c>
      <c r="Q415" t="n">
        <v>0</v>
      </c>
      <c r="R415" s="2" t="inlineStr"/>
    </row>
    <row r="416" ht="15" customHeight="1">
      <c r="A416" t="inlineStr">
        <is>
          <t>A 48436-2025</t>
        </is>
      </c>
      <c r="B416" s="1" t="n">
        <v>45935.34542824074</v>
      </c>
      <c r="C416" s="1" t="n">
        <v>45969</v>
      </c>
      <c r="D416" t="inlineStr">
        <is>
          <t>NORRBOTTENS LÄN</t>
        </is>
      </c>
      <c r="E416" t="inlineStr">
        <is>
          <t>PITEÅ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45969</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48446-2025</t>
        </is>
      </c>
      <c r="B418" s="1" t="n">
        <v>45935.59422453704</v>
      </c>
      <c r="C418" s="1" t="n">
        <v>45969</v>
      </c>
      <c r="D418" t="inlineStr">
        <is>
          <t>NORRBOTTENS LÄN</t>
        </is>
      </c>
      <c r="E418" t="inlineStr">
        <is>
          <t>PITEÅ</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21343-2024</t>
        </is>
      </c>
      <c r="B419" s="1" t="n">
        <v>45440.92850694444</v>
      </c>
      <c r="C419" s="1" t="n">
        <v>45969</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31164-2021</t>
        </is>
      </c>
      <c r="B420" s="1" t="n">
        <v>44368</v>
      </c>
      <c r="C420" s="1" t="n">
        <v>45969</v>
      </c>
      <c r="D420" t="inlineStr">
        <is>
          <t>NORRBOTTENS LÄN</t>
        </is>
      </c>
      <c r="E420" t="inlineStr">
        <is>
          <t>PITEÅ</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17994-2024</t>
        </is>
      </c>
      <c r="B421" s="1" t="n">
        <v>45419.92640046297</v>
      </c>
      <c r="C421" s="1" t="n">
        <v>45969</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45969</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45969</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57207-2023</t>
        </is>
      </c>
      <c r="B424" s="1" t="n">
        <v>45245</v>
      </c>
      <c r="C424" s="1" t="n">
        <v>45969</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48554-2025</t>
        </is>
      </c>
      <c r="B425" s="1" t="n">
        <v>45936.4278587963</v>
      </c>
      <c r="C425" s="1" t="n">
        <v>45969</v>
      </c>
      <c r="D425" t="inlineStr">
        <is>
          <t>NORRBOTTENS LÄN</t>
        </is>
      </c>
      <c r="E425" t="inlineStr">
        <is>
          <t>PITEÅ</t>
        </is>
      </c>
      <c r="G425" t="n">
        <v>5.3</v>
      </c>
      <c r="H425" t="n">
        <v>0</v>
      </c>
      <c r="I425" t="n">
        <v>0</v>
      </c>
      <c r="J425" t="n">
        <v>0</v>
      </c>
      <c r="K425" t="n">
        <v>0</v>
      </c>
      <c r="L425" t="n">
        <v>0</v>
      </c>
      <c r="M425" t="n">
        <v>0</v>
      </c>
      <c r="N425" t="n">
        <v>0</v>
      </c>
      <c r="O425" t="n">
        <v>0</v>
      </c>
      <c r="P425" t="n">
        <v>0</v>
      </c>
      <c r="Q425" t="n">
        <v>0</v>
      </c>
      <c r="R425" s="2" t="inlineStr"/>
    </row>
    <row r="426" ht="15" customHeight="1">
      <c r="A426" t="inlineStr">
        <is>
          <t>A 48556-2025</t>
        </is>
      </c>
      <c r="B426" s="1" t="n">
        <v>45936.42798611111</v>
      </c>
      <c r="C426" s="1" t="n">
        <v>45969</v>
      </c>
      <c r="D426" t="inlineStr">
        <is>
          <t>NORRBOTTENS LÄN</t>
        </is>
      </c>
      <c r="E426" t="inlineStr">
        <is>
          <t>PITEÅ</t>
        </is>
      </c>
      <c r="G426" t="n">
        <v>8.1</v>
      </c>
      <c r="H426" t="n">
        <v>0</v>
      </c>
      <c r="I426" t="n">
        <v>0</v>
      </c>
      <c r="J426" t="n">
        <v>0</v>
      </c>
      <c r="K426" t="n">
        <v>0</v>
      </c>
      <c r="L426" t="n">
        <v>0</v>
      </c>
      <c r="M426" t="n">
        <v>0</v>
      </c>
      <c r="N426" t="n">
        <v>0</v>
      </c>
      <c r="O426" t="n">
        <v>0</v>
      </c>
      <c r="P426" t="n">
        <v>0</v>
      </c>
      <c r="Q426" t="n">
        <v>0</v>
      </c>
      <c r="R426" s="2" t="inlineStr"/>
    </row>
    <row r="427" ht="15" customHeight="1">
      <c r="A427" t="inlineStr">
        <is>
          <t>A 48568-2025</t>
        </is>
      </c>
      <c r="B427" s="1" t="n">
        <v>45936.44825231482</v>
      </c>
      <c r="C427" s="1" t="n">
        <v>45969</v>
      </c>
      <c r="D427" t="inlineStr">
        <is>
          <t>NORRBOTTENS LÄN</t>
        </is>
      </c>
      <c r="E427" t="inlineStr">
        <is>
          <t>PITEÅ</t>
        </is>
      </c>
      <c r="G427" t="n">
        <v>1.3</v>
      </c>
      <c r="H427" t="n">
        <v>0</v>
      </c>
      <c r="I427" t="n">
        <v>0</v>
      </c>
      <c r="J427" t="n">
        <v>0</v>
      </c>
      <c r="K427" t="n">
        <v>0</v>
      </c>
      <c r="L427" t="n">
        <v>0</v>
      </c>
      <c r="M427" t="n">
        <v>0</v>
      </c>
      <c r="N427" t="n">
        <v>0</v>
      </c>
      <c r="O427" t="n">
        <v>0</v>
      </c>
      <c r="P427" t="n">
        <v>0</v>
      </c>
      <c r="Q427" t="n">
        <v>0</v>
      </c>
      <c r="R427" s="2" t="inlineStr"/>
    </row>
    <row r="428" ht="15" customHeight="1">
      <c r="A428" t="inlineStr">
        <is>
          <t>A 48570-2025</t>
        </is>
      </c>
      <c r="B428" s="1" t="n">
        <v>45936.44833333333</v>
      </c>
      <c r="C428" s="1" t="n">
        <v>45969</v>
      </c>
      <c r="D428" t="inlineStr">
        <is>
          <t>NORRBOTTENS LÄN</t>
        </is>
      </c>
      <c r="E428" t="inlineStr">
        <is>
          <t>PITEÅ</t>
        </is>
      </c>
      <c r="G428" t="n">
        <v>10.6</v>
      </c>
      <c r="H428" t="n">
        <v>0</v>
      </c>
      <c r="I428" t="n">
        <v>0</v>
      </c>
      <c r="J428" t="n">
        <v>0</v>
      </c>
      <c r="K428" t="n">
        <v>0</v>
      </c>
      <c r="L428" t="n">
        <v>0</v>
      </c>
      <c r="M428" t="n">
        <v>0</v>
      </c>
      <c r="N428" t="n">
        <v>0</v>
      </c>
      <c r="O428" t="n">
        <v>0</v>
      </c>
      <c r="P428" t="n">
        <v>0</v>
      </c>
      <c r="Q428" t="n">
        <v>0</v>
      </c>
      <c r="R428" s="2" t="inlineStr"/>
    </row>
    <row r="429" ht="15" customHeight="1">
      <c r="A429" t="inlineStr">
        <is>
          <t>A 48404-2025</t>
        </is>
      </c>
      <c r="B429" s="1" t="n">
        <v>45934.34547453704</v>
      </c>
      <c r="C429" s="1" t="n">
        <v>45969</v>
      </c>
      <c r="D429" t="inlineStr">
        <is>
          <t>NORRBOTTENS LÄN</t>
        </is>
      </c>
      <c r="E429" t="inlineStr">
        <is>
          <t>PITEÅ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48688-2023</t>
        </is>
      </c>
      <c r="B430" s="1" t="n">
        <v>45202</v>
      </c>
      <c r="C430" s="1" t="n">
        <v>45969</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48435-2025</t>
        </is>
      </c>
      <c r="B431" s="1" t="n">
        <v>45935.34520833333</v>
      </c>
      <c r="C431" s="1" t="n">
        <v>45969</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56073-2022</t>
        </is>
      </c>
      <c r="B432" s="1" t="n">
        <v>44889</v>
      </c>
      <c r="C432" s="1" t="n">
        <v>45969</v>
      </c>
      <c r="D432" t="inlineStr">
        <is>
          <t>NORRBOTTENS LÄN</t>
        </is>
      </c>
      <c r="E432" t="inlineStr">
        <is>
          <t>PITEÅ</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18269-2022</t>
        </is>
      </c>
      <c r="B433" s="1" t="n">
        <v>44685</v>
      </c>
      <c r="C433" s="1" t="n">
        <v>45969</v>
      </c>
      <c r="D433" t="inlineStr">
        <is>
          <t>NORRBOTTENS LÄN</t>
        </is>
      </c>
      <c r="E433" t="inlineStr">
        <is>
          <t>PITEÅ</t>
        </is>
      </c>
      <c r="G433" t="n">
        <v>3</v>
      </c>
      <c r="H433" t="n">
        <v>0</v>
      </c>
      <c r="I433" t="n">
        <v>0</v>
      </c>
      <c r="J433" t="n">
        <v>0</v>
      </c>
      <c r="K433" t="n">
        <v>0</v>
      </c>
      <c r="L433" t="n">
        <v>0</v>
      </c>
      <c r="M433" t="n">
        <v>0</v>
      </c>
      <c r="N433" t="n">
        <v>0</v>
      </c>
      <c r="O433" t="n">
        <v>0</v>
      </c>
      <c r="P433" t="n">
        <v>0</v>
      </c>
      <c r="Q433" t="n">
        <v>0</v>
      </c>
      <c r="R433" s="2" t="inlineStr"/>
    </row>
    <row r="434" ht="15" customHeight="1">
      <c r="A434" t="inlineStr">
        <is>
          <t>A 73026-2021</t>
        </is>
      </c>
      <c r="B434" s="1" t="n">
        <v>44550</v>
      </c>
      <c r="C434" s="1" t="n">
        <v>45969</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45969</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5184-2025</t>
        </is>
      </c>
      <c r="B436" s="1" t="n">
        <v>45691.64054398148</v>
      </c>
      <c r="C436" s="1" t="n">
        <v>45969</v>
      </c>
      <c r="D436" t="inlineStr">
        <is>
          <t>NORRBOTTENS LÄN</t>
        </is>
      </c>
      <c r="E436" t="inlineStr">
        <is>
          <t>PITEÅ</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41195-2024</t>
        </is>
      </c>
      <c r="B437" s="1" t="n">
        <v>45559.51078703703</v>
      </c>
      <c r="C437" s="1" t="n">
        <v>45969</v>
      </c>
      <c r="D437" t="inlineStr">
        <is>
          <t>NORRBOTTENS LÄN</t>
        </is>
      </c>
      <c r="E437" t="inlineStr">
        <is>
          <t>PITEÅ</t>
        </is>
      </c>
      <c r="G437" t="n">
        <v>2.2</v>
      </c>
      <c r="H437" t="n">
        <v>0</v>
      </c>
      <c r="I437" t="n">
        <v>0</v>
      </c>
      <c r="J437" t="n">
        <v>0</v>
      </c>
      <c r="K437" t="n">
        <v>0</v>
      </c>
      <c r="L437" t="n">
        <v>0</v>
      </c>
      <c r="M437" t="n">
        <v>0</v>
      </c>
      <c r="N437" t="n">
        <v>0</v>
      </c>
      <c r="O437" t="n">
        <v>0</v>
      </c>
      <c r="P437" t="n">
        <v>0</v>
      </c>
      <c r="Q437" t="n">
        <v>0</v>
      </c>
      <c r="R437" s="2" t="inlineStr"/>
    </row>
    <row r="438" ht="15" customHeight="1">
      <c r="A438" t="inlineStr">
        <is>
          <t>A 9833-2024</t>
        </is>
      </c>
      <c r="B438" s="1" t="n">
        <v>45363.04724537037</v>
      </c>
      <c r="C438" s="1" t="n">
        <v>45969</v>
      </c>
      <c r="D438" t="inlineStr">
        <is>
          <t>NORRBOTTENS LÄN</t>
        </is>
      </c>
      <c r="E438" t="inlineStr">
        <is>
          <t>PITEÅ</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11844-2024</t>
        </is>
      </c>
      <c r="B439" s="1" t="n">
        <v>45376</v>
      </c>
      <c r="C439" s="1" t="n">
        <v>45969</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44713-2024</t>
        </is>
      </c>
      <c r="B440" s="1" t="n">
        <v>45574.57422453703</v>
      </c>
      <c r="C440" s="1" t="n">
        <v>45969</v>
      </c>
      <c r="D440" t="inlineStr">
        <is>
          <t>NORRBOTTENS LÄN</t>
        </is>
      </c>
      <c r="E440" t="inlineStr">
        <is>
          <t>PITEÅ</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44715-2024</t>
        </is>
      </c>
      <c r="B441" s="1" t="n">
        <v>45574.57452546297</v>
      </c>
      <c r="C441" s="1" t="n">
        <v>45969</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59920-2024</t>
        </is>
      </c>
      <c r="B442" s="1" t="n">
        <v>45641.89890046296</v>
      </c>
      <c r="C442" s="1" t="n">
        <v>45969</v>
      </c>
      <c r="D442" t="inlineStr">
        <is>
          <t>NORRBOTTENS LÄN</t>
        </is>
      </c>
      <c r="E442" t="inlineStr">
        <is>
          <t>PITEÅ</t>
        </is>
      </c>
      <c r="G442" t="n">
        <v>2.2</v>
      </c>
      <c r="H442" t="n">
        <v>0</v>
      </c>
      <c r="I442" t="n">
        <v>0</v>
      </c>
      <c r="J442" t="n">
        <v>0</v>
      </c>
      <c r="K442" t="n">
        <v>0</v>
      </c>
      <c r="L442" t="n">
        <v>0</v>
      </c>
      <c r="M442" t="n">
        <v>0</v>
      </c>
      <c r="N442" t="n">
        <v>0</v>
      </c>
      <c r="O442" t="n">
        <v>0</v>
      </c>
      <c r="P442" t="n">
        <v>0</v>
      </c>
      <c r="Q442" t="n">
        <v>0</v>
      </c>
      <c r="R442" s="2" t="inlineStr"/>
    </row>
    <row r="443" ht="15" customHeight="1">
      <c r="A443" t="inlineStr">
        <is>
          <t>A 63875-2023</t>
        </is>
      </c>
      <c r="B443" s="1" t="n">
        <v>45278.52131944444</v>
      </c>
      <c r="C443" s="1" t="n">
        <v>45969</v>
      </c>
      <c r="D443" t="inlineStr">
        <is>
          <t>NORRBOTTENS LÄN</t>
        </is>
      </c>
      <c r="E443" t="inlineStr">
        <is>
          <t>PITEÅ</t>
        </is>
      </c>
      <c r="G443" t="n">
        <v>4.8</v>
      </c>
      <c r="H443" t="n">
        <v>0</v>
      </c>
      <c r="I443" t="n">
        <v>0</v>
      </c>
      <c r="J443" t="n">
        <v>0</v>
      </c>
      <c r="K443" t="n">
        <v>0</v>
      </c>
      <c r="L443" t="n">
        <v>0</v>
      </c>
      <c r="M443" t="n">
        <v>0</v>
      </c>
      <c r="N443" t="n">
        <v>0</v>
      </c>
      <c r="O443" t="n">
        <v>0</v>
      </c>
      <c r="P443" t="n">
        <v>0</v>
      </c>
      <c r="Q443" t="n">
        <v>0</v>
      </c>
      <c r="R443" s="2" t="inlineStr"/>
    </row>
    <row r="444" ht="15" customHeight="1">
      <c r="A444" t="inlineStr">
        <is>
          <t>A 38938-2024</t>
        </is>
      </c>
      <c r="B444" s="1" t="n">
        <v>45548.34413194445</v>
      </c>
      <c r="C444" s="1" t="n">
        <v>45969</v>
      </c>
      <c r="D444" t="inlineStr">
        <is>
          <t>NORRBOTTENS LÄN</t>
        </is>
      </c>
      <c r="E444" t="inlineStr">
        <is>
          <t>PITEÅ</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25342-2024</t>
        </is>
      </c>
      <c r="B445" s="1" t="n">
        <v>45462</v>
      </c>
      <c r="C445" s="1" t="n">
        <v>45969</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34424-2023</t>
        </is>
      </c>
      <c r="B446" s="1" t="n">
        <v>45139.60627314815</v>
      </c>
      <c r="C446" s="1" t="n">
        <v>45969</v>
      </c>
      <c r="D446" t="inlineStr">
        <is>
          <t>NORRBOTTENS LÄN</t>
        </is>
      </c>
      <c r="E446" t="inlineStr">
        <is>
          <t>PITEÅ</t>
        </is>
      </c>
      <c r="G446" t="n">
        <v>4.7</v>
      </c>
      <c r="H446" t="n">
        <v>0</v>
      </c>
      <c r="I446" t="n">
        <v>0</v>
      </c>
      <c r="J446" t="n">
        <v>0</v>
      </c>
      <c r="K446" t="n">
        <v>0</v>
      </c>
      <c r="L446" t="n">
        <v>0</v>
      </c>
      <c r="M446" t="n">
        <v>0</v>
      </c>
      <c r="N446" t="n">
        <v>0</v>
      </c>
      <c r="O446" t="n">
        <v>0</v>
      </c>
      <c r="P446" t="n">
        <v>0</v>
      </c>
      <c r="Q446" t="n">
        <v>0</v>
      </c>
      <c r="R446" s="2" t="inlineStr"/>
    </row>
    <row r="447" ht="15" customHeight="1">
      <c r="A447" t="inlineStr">
        <is>
          <t>A 44403-2024</t>
        </is>
      </c>
      <c r="B447" s="1" t="n">
        <v>45573.71189814815</v>
      </c>
      <c r="C447" s="1" t="n">
        <v>45969</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64571-2023</t>
        </is>
      </c>
      <c r="B448" s="1" t="n">
        <v>45281.434375</v>
      </c>
      <c r="C448" s="1" t="n">
        <v>45969</v>
      </c>
      <c r="D448" t="inlineStr">
        <is>
          <t>NORRBOTTENS LÄN</t>
        </is>
      </c>
      <c r="E448" t="inlineStr">
        <is>
          <t>PITEÅ</t>
        </is>
      </c>
      <c r="G448" t="n">
        <v>4.1</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45969</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58064-2023</t>
        </is>
      </c>
      <c r="B450" s="1" t="n">
        <v>45247</v>
      </c>
      <c r="C450" s="1" t="n">
        <v>45969</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57908-2024</t>
        </is>
      </c>
      <c r="B451" s="1" t="n">
        <v>45631.49189814815</v>
      </c>
      <c r="C451" s="1" t="n">
        <v>45969</v>
      </c>
      <c r="D451" t="inlineStr">
        <is>
          <t>NORRBOTTENS LÄN</t>
        </is>
      </c>
      <c r="E451" t="inlineStr">
        <is>
          <t>PITEÅ</t>
        </is>
      </c>
      <c r="G451" t="n">
        <v>6.1</v>
      </c>
      <c r="H451" t="n">
        <v>0</v>
      </c>
      <c r="I451" t="n">
        <v>0</v>
      </c>
      <c r="J451" t="n">
        <v>0</v>
      </c>
      <c r="K451" t="n">
        <v>0</v>
      </c>
      <c r="L451" t="n">
        <v>0</v>
      </c>
      <c r="M451" t="n">
        <v>0</v>
      </c>
      <c r="N451" t="n">
        <v>0</v>
      </c>
      <c r="O451" t="n">
        <v>0</v>
      </c>
      <c r="P451" t="n">
        <v>0</v>
      </c>
      <c r="Q451" t="n">
        <v>0</v>
      </c>
      <c r="R451" s="2" t="inlineStr"/>
    </row>
    <row r="452" ht="15" customHeight="1">
      <c r="A452" t="inlineStr">
        <is>
          <t>A 40086-2025</t>
        </is>
      </c>
      <c r="B452" s="1" t="n">
        <v>45894.47443287037</v>
      </c>
      <c r="C452" s="1" t="n">
        <v>45969</v>
      </c>
      <c r="D452" t="inlineStr">
        <is>
          <t>NORRBOTTENS LÄN</t>
        </is>
      </c>
      <c r="E452" t="inlineStr">
        <is>
          <t>PITEÅ</t>
        </is>
      </c>
      <c r="G452" t="n">
        <v>3</v>
      </c>
      <c r="H452" t="n">
        <v>0</v>
      </c>
      <c r="I452" t="n">
        <v>0</v>
      </c>
      <c r="J452" t="n">
        <v>0</v>
      </c>
      <c r="K452" t="n">
        <v>0</v>
      </c>
      <c r="L452" t="n">
        <v>0</v>
      </c>
      <c r="M452" t="n">
        <v>0</v>
      </c>
      <c r="N452" t="n">
        <v>0</v>
      </c>
      <c r="O452" t="n">
        <v>0</v>
      </c>
      <c r="P452" t="n">
        <v>0</v>
      </c>
      <c r="Q452" t="n">
        <v>0</v>
      </c>
      <c r="R452" s="2" t="inlineStr"/>
    </row>
    <row r="453" ht="15" customHeight="1">
      <c r="A453" t="inlineStr">
        <is>
          <t>A 48695-2025</t>
        </is>
      </c>
      <c r="B453" s="1" t="n">
        <v>45936.61523148148</v>
      </c>
      <c r="C453" s="1" t="n">
        <v>45969</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2691-2023</t>
        </is>
      </c>
      <c r="B454" s="1" t="n">
        <v>44944.47784722222</v>
      </c>
      <c r="C454" s="1" t="n">
        <v>45969</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39423-2024</t>
        </is>
      </c>
      <c r="B455" s="1" t="n">
        <v>45551</v>
      </c>
      <c r="C455" s="1" t="n">
        <v>45969</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50015-2021</t>
        </is>
      </c>
      <c r="B456" s="1" t="n">
        <v>44454</v>
      </c>
      <c r="C456" s="1" t="n">
        <v>45969</v>
      </c>
      <c r="D456" t="inlineStr">
        <is>
          <t>NORRBOTTENS LÄN</t>
        </is>
      </c>
      <c r="E456" t="inlineStr">
        <is>
          <t>PITEÅ</t>
        </is>
      </c>
      <c r="G456" t="n">
        <v>7.1</v>
      </c>
      <c r="H456" t="n">
        <v>0</v>
      </c>
      <c r="I456" t="n">
        <v>0</v>
      </c>
      <c r="J456" t="n">
        <v>0</v>
      </c>
      <c r="K456" t="n">
        <v>0</v>
      </c>
      <c r="L456" t="n">
        <v>0</v>
      </c>
      <c r="M456" t="n">
        <v>0</v>
      </c>
      <c r="N456" t="n">
        <v>0</v>
      </c>
      <c r="O456" t="n">
        <v>0</v>
      </c>
      <c r="P456" t="n">
        <v>0</v>
      </c>
      <c r="Q456" t="n">
        <v>0</v>
      </c>
      <c r="R456" s="2" t="inlineStr"/>
    </row>
    <row r="457" ht="15" customHeight="1">
      <c r="A457" t="inlineStr">
        <is>
          <t>A 54859-2023</t>
        </is>
      </c>
      <c r="B457" s="1" t="n">
        <v>45229</v>
      </c>
      <c r="C457" s="1" t="n">
        <v>45969</v>
      </c>
      <c r="D457" t="inlineStr">
        <is>
          <t>NORRBOTTENS LÄN</t>
        </is>
      </c>
      <c r="E457" t="inlineStr">
        <is>
          <t>PITEÅ</t>
        </is>
      </c>
      <c r="F457" t="inlineStr">
        <is>
          <t>Kommuner</t>
        </is>
      </c>
      <c r="G457" t="n">
        <v>10.7</v>
      </c>
      <c r="H457" t="n">
        <v>0</v>
      </c>
      <c r="I457" t="n">
        <v>0</v>
      </c>
      <c r="J457" t="n">
        <v>0</v>
      </c>
      <c r="K457" t="n">
        <v>0</v>
      </c>
      <c r="L457" t="n">
        <v>0</v>
      </c>
      <c r="M457" t="n">
        <v>0</v>
      </c>
      <c r="N457" t="n">
        <v>0</v>
      </c>
      <c r="O457" t="n">
        <v>0</v>
      </c>
      <c r="P457" t="n">
        <v>0</v>
      </c>
      <c r="Q457" t="n">
        <v>0</v>
      </c>
      <c r="R457" s="2" t="inlineStr"/>
    </row>
    <row r="458" ht="15" customHeight="1">
      <c r="A458" t="inlineStr">
        <is>
          <t>A 25835-2024</t>
        </is>
      </c>
      <c r="B458" s="1" t="n">
        <v>45467.41854166667</v>
      </c>
      <c r="C458" s="1" t="n">
        <v>45969</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69078-2021</t>
        </is>
      </c>
      <c r="B459" s="1" t="n">
        <v>44529</v>
      </c>
      <c r="C459" s="1" t="n">
        <v>45969</v>
      </c>
      <c r="D459" t="inlineStr">
        <is>
          <t>NORRBOTTENS LÄN</t>
        </is>
      </c>
      <c r="E459" t="inlineStr">
        <is>
          <t>PITEÅ</t>
        </is>
      </c>
      <c r="G459" t="n">
        <v>0.9</v>
      </c>
      <c r="H459" t="n">
        <v>0</v>
      </c>
      <c r="I459" t="n">
        <v>0</v>
      </c>
      <c r="J459" t="n">
        <v>0</v>
      </c>
      <c r="K459" t="n">
        <v>0</v>
      </c>
      <c r="L459" t="n">
        <v>0</v>
      </c>
      <c r="M459" t="n">
        <v>0</v>
      </c>
      <c r="N459" t="n">
        <v>0</v>
      </c>
      <c r="O459" t="n">
        <v>0</v>
      </c>
      <c r="P459" t="n">
        <v>0</v>
      </c>
      <c r="Q459" t="n">
        <v>0</v>
      </c>
      <c r="R459" s="2" t="inlineStr"/>
    </row>
    <row r="460" ht="15" customHeight="1">
      <c r="A460" t="inlineStr">
        <is>
          <t>A 63179-2023</t>
        </is>
      </c>
      <c r="B460" s="1" t="n">
        <v>45273.58069444444</v>
      </c>
      <c r="C460" s="1" t="n">
        <v>45969</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32936-2023</t>
        </is>
      </c>
      <c r="B461" s="1" t="n">
        <v>45125</v>
      </c>
      <c r="C461" s="1" t="n">
        <v>45969</v>
      </c>
      <c r="D461" t="inlineStr">
        <is>
          <t>NORRBOTTENS LÄN</t>
        </is>
      </c>
      <c r="E461" t="inlineStr">
        <is>
          <t>PITEÅ</t>
        </is>
      </c>
      <c r="G461" t="n">
        <v>0.5</v>
      </c>
      <c r="H461" t="n">
        <v>0</v>
      </c>
      <c r="I461" t="n">
        <v>0</v>
      </c>
      <c r="J461" t="n">
        <v>0</v>
      </c>
      <c r="K461" t="n">
        <v>0</v>
      </c>
      <c r="L461" t="n">
        <v>0</v>
      </c>
      <c r="M461" t="n">
        <v>0</v>
      </c>
      <c r="N461" t="n">
        <v>0</v>
      </c>
      <c r="O461" t="n">
        <v>0</v>
      </c>
      <c r="P461" t="n">
        <v>0</v>
      </c>
      <c r="Q461" t="n">
        <v>0</v>
      </c>
      <c r="R461" s="2" t="inlineStr"/>
    </row>
    <row r="462" ht="15" customHeight="1">
      <c r="A462" t="inlineStr">
        <is>
          <t>A 32939-2023</t>
        </is>
      </c>
      <c r="B462" s="1" t="n">
        <v>45125</v>
      </c>
      <c r="C462" s="1" t="n">
        <v>45969</v>
      </c>
      <c r="D462" t="inlineStr">
        <is>
          <t>NORRBOTTENS LÄN</t>
        </is>
      </c>
      <c r="E462" t="inlineStr">
        <is>
          <t>PITEÅ</t>
        </is>
      </c>
      <c r="G462" t="n">
        <v>0.5</v>
      </c>
      <c r="H462" t="n">
        <v>0</v>
      </c>
      <c r="I462" t="n">
        <v>0</v>
      </c>
      <c r="J462" t="n">
        <v>0</v>
      </c>
      <c r="K462" t="n">
        <v>0</v>
      </c>
      <c r="L462" t="n">
        <v>0</v>
      </c>
      <c r="M462" t="n">
        <v>0</v>
      </c>
      <c r="N462" t="n">
        <v>0</v>
      </c>
      <c r="O462" t="n">
        <v>0</v>
      </c>
      <c r="P462" t="n">
        <v>0</v>
      </c>
      <c r="Q462" t="n">
        <v>0</v>
      </c>
      <c r="R462" s="2" t="inlineStr"/>
    </row>
    <row r="463" ht="15" customHeight="1">
      <c r="A463" t="inlineStr">
        <is>
          <t>A 44712-2024</t>
        </is>
      </c>
      <c r="B463" s="1" t="n">
        <v>45574.57420138889</v>
      </c>
      <c r="C463" s="1" t="n">
        <v>45969</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44716-2024</t>
        </is>
      </c>
      <c r="B464" s="1" t="n">
        <v>45574.57457175926</v>
      </c>
      <c r="C464" s="1" t="n">
        <v>45969</v>
      </c>
      <c r="D464" t="inlineStr">
        <is>
          <t>NORRBOTTENS LÄN</t>
        </is>
      </c>
      <c r="E464" t="inlineStr">
        <is>
          <t>PITEÅ</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50080-2024</t>
        </is>
      </c>
      <c r="B465" s="1" t="n">
        <v>45600</v>
      </c>
      <c r="C465" s="1" t="n">
        <v>45969</v>
      </c>
      <c r="D465" t="inlineStr">
        <is>
          <t>NORRBOTTENS LÄN</t>
        </is>
      </c>
      <c r="E465" t="inlineStr">
        <is>
          <t>PITEÅ</t>
        </is>
      </c>
      <c r="F465" t="inlineStr">
        <is>
          <t>Sveaskog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59678-2024</t>
        </is>
      </c>
      <c r="B466" s="1" t="n">
        <v>45639.39559027777</v>
      </c>
      <c r="C466" s="1" t="n">
        <v>45969</v>
      </c>
      <c r="D466" t="inlineStr">
        <is>
          <t>NORRBOTTENS LÄN</t>
        </is>
      </c>
      <c r="E466" t="inlineStr">
        <is>
          <t>PITEÅ</t>
        </is>
      </c>
      <c r="G466" t="n">
        <v>0.3</v>
      </c>
      <c r="H466" t="n">
        <v>0</v>
      </c>
      <c r="I466" t="n">
        <v>0</v>
      </c>
      <c r="J466" t="n">
        <v>0</v>
      </c>
      <c r="K466" t="n">
        <v>0</v>
      </c>
      <c r="L466" t="n">
        <v>0</v>
      </c>
      <c r="M466" t="n">
        <v>0</v>
      </c>
      <c r="N466" t="n">
        <v>0</v>
      </c>
      <c r="O466" t="n">
        <v>0</v>
      </c>
      <c r="P466" t="n">
        <v>0</v>
      </c>
      <c r="Q466" t="n">
        <v>0</v>
      </c>
      <c r="R466" s="2" t="inlineStr"/>
    </row>
    <row r="467" ht="15" customHeight="1">
      <c r="A467" t="inlineStr">
        <is>
          <t>A 51174-2023</t>
        </is>
      </c>
      <c r="B467" s="1" t="n">
        <v>45219.38791666667</v>
      </c>
      <c r="C467" s="1" t="n">
        <v>45969</v>
      </c>
      <c r="D467" t="inlineStr">
        <is>
          <t>NORRBOTTENS LÄN</t>
        </is>
      </c>
      <c r="E467" t="inlineStr">
        <is>
          <t>PITEÅ</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32387-2022</t>
        </is>
      </c>
      <c r="B468" s="1" t="n">
        <v>44782</v>
      </c>
      <c r="C468" s="1" t="n">
        <v>45969</v>
      </c>
      <c r="D468" t="inlineStr">
        <is>
          <t>NORRBOTTENS LÄN</t>
        </is>
      </c>
      <c r="E468" t="inlineStr">
        <is>
          <t>PITEÅ</t>
        </is>
      </c>
      <c r="G468" t="n">
        <v>3.2</v>
      </c>
      <c r="H468" t="n">
        <v>0</v>
      </c>
      <c r="I468" t="n">
        <v>0</v>
      </c>
      <c r="J468" t="n">
        <v>0</v>
      </c>
      <c r="K468" t="n">
        <v>0</v>
      </c>
      <c r="L468" t="n">
        <v>0</v>
      </c>
      <c r="M468" t="n">
        <v>0</v>
      </c>
      <c r="N468" t="n">
        <v>0</v>
      </c>
      <c r="O468" t="n">
        <v>0</v>
      </c>
      <c r="P468" t="n">
        <v>0</v>
      </c>
      <c r="Q468" t="n">
        <v>0</v>
      </c>
      <c r="R468" s="2" t="inlineStr"/>
    </row>
    <row r="469" ht="15" customHeight="1">
      <c r="A469" t="inlineStr">
        <is>
          <t>A 11971-2024</t>
        </is>
      </c>
      <c r="B469" s="1" t="n">
        <v>45376</v>
      </c>
      <c r="C469" s="1" t="n">
        <v>45969</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4232-2024</t>
        </is>
      </c>
      <c r="B470" s="1" t="n">
        <v>45324.43004629629</v>
      </c>
      <c r="C470" s="1" t="n">
        <v>45969</v>
      </c>
      <c r="D470" t="inlineStr">
        <is>
          <t>NORRBOTTENS LÄN</t>
        </is>
      </c>
      <c r="E470" t="inlineStr">
        <is>
          <t>PITEÅ</t>
        </is>
      </c>
      <c r="F470" t="inlineStr">
        <is>
          <t>Sveaskog</t>
        </is>
      </c>
      <c r="G470" t="n">
        <v>11.1</v>
      </c>
      <c r="H470" t="n">
        <v>0</v>
      </c>
      <c r="I470" t="n">
        <v>0</v>
      </c>
      <c r="J470" t="n">
        <v>0</v>
      </c>
      <c r="K470" t="n">
        <v>0</v>
      </c>
      <c r="L470" t="n">
        <v>0</v>
      </c>
      <c r="M470" t="n">
        <v>0</v>
      </c>
      <c r="N470" t="n">
        <v>0</v>
      </c>
      <c r="O470" t="n">
        <v>0</v>
      </c>
      <c r="P470" t="n">
        <v>0</v>
      </c>
      <c r="Q470" t="n">
        <v>0</v>
      </c>
      <c r="R470" s="2" t="inlineStr"/>
    </row>
    <row r="471" ht="15" customHeight="1">
      <c r="A471" t="inlineStr">
        <is>
          <t>A 9152-2025</t>
        </is>
      </c>
      <c r="B471" s="1" t="n">
        <v>45714.34454861111</v>
      </c>
      <c r="C471" s="1" t="n">
        <v>45969</v>
      </c>
      <c r="D471" t="inlineStr">
        <is>
          <t>NORRBOTTENS LÄN</t>
        </is>
      </c>
      <c r="E471" t="inlineStr">
        <is>
          <t>PITEÅ</t>
        </is>
      </c>
      <c r="G471" t="n">
        <v>14.9</v>
      </c>
      <c r="H471" t="n">
        <v>0</v>
      </c>
      <c r="I471" t="n">
        <v>0</v>
      </c>
      <c r="J471" t="n">
        <v>0</v>
      </c>
      <c r="K471" t="n">
        <v>0</v>
      </c>
      <c r="L471" t="n">
        <v>0</v>
      </c>
      <c r="M471" t="n">
        <v>0</v>
      </c>
      <c r="N471" t="n">
        <v>0</v>
      </c>
      <c r="O471" t="n">
        <v>0</v>
      </c>
      <c r="P471" t="n">
        <v>0</v>
      </c>
      <c r="Q471" t="n">
        <v>0</v>
      </c>
      <c r="R471" s="2" t="inlineStr"/>
    </row>
    <row r="472" ht="15" customHeight="1">
      <c r="A472" t="inlineStr">
        <is>
          <t>A 15513-2021</t>
        </is>
      </c>
      <c r="B472" s="1" t="n">
        <v>44285</v>
      </c>
      <c r="C472" s="1" t="n">
        <v>45969</v>
      </c>
      <c r="D472" t="inlineStr">
        <is>
          <t>NORRBOTTENS LÄN</t>
        </is>
      </c>
      <c r="E472" t="inlineStr">
        <is>
          <t>PITEÅ</t>
        </is>
      </c>
      <c r="F472" t="inlineStr">
        <is>
          <t>Sveaskog</t>
        </is>
      </c>
      <c r="G472" t="n">
        <v>40.1</v>
      </c>
      <c r="H472" t="n">
        <v>0</v>
      </c>
      <c r="I472" t="n">
        <v>0</v>
      </c>
      <c r="J472" t="n">
        <v>0</v>
      </c>
      <c r="K472" t="n">
        <v>0</v>
      </c>
      <c r="L472" t="n">
        <v>0</v>
      </c>
      <c r="M472" t="n">
        <v>0</v>
      </c>
      <c r="N472" t="n">
        <v>0</v>
      </c>
      <c r="O472" t="n">
        <v>0</v>
      </c>
      <c r="P472" t="n">
        <v>0</v>
      </c>
      <c r="Q472" t="n">
        <v>0</v>
      </c>
      <c r="R472" s="2" t="inlineStr"/>
    </row>
    <row r="473" ht="15" customHeight="1">
      <c r="A473" t="inlineStr">
        <is>
          <t>A 39879-2024</t>
        </is>
      </c>
      <c r="B473" s="1" t="n">
        <v>45553.46583333334</v>
      </c>
      <c r="C473" s="1" t="n">
        <v>45969</v>
      </c>
      <c r="D473" t="inlineStr">
        <is>
          <t>NORRBOTTENS LÄN</t>
        </is>
      </c>
      <c r="E473" t="inlineStr">
        <is>
          <t>PITEÅ</t>
        </is>
      </c>
      <c r="G473" t="n">
        <v>5.4</v>
      </c>
      <c r="H473" t="n">
        <v>0</v>
      </c>
      <c r="I473" t="n">
        <v>0</v>
      </c>
      <c r="J473" t="n">
        <v>0</v>
      </c>
      <c r="K473" t="n">
        <v>0</v>
      </c>
      <c r="L473" t="n">
        <v>0</v>
      </c>
      <c r="M473" t="n">
        <v>0</v>
      </c>
      <c r="N473" t="n">
        <v>0</v>
      </c>
      <c r="O473" t="n">
        <v>0</v>
      </c>
      <c r="P473" t="n">
        <v>0</v>
      </c>
      <c r="Q473" t="n">
        <v>0</v>
      </c>
      <c r="R473" s="2" t="inlineStr"/>
    </row>
    <row r="474" ht="15" customHeight="1">
      <c r="A474" t="inlineStr">
        <is>
          <t>A 40123-2025</t>
        </is>
      </c>
      <c r="B474" s="1" t="n">
        <v>45894.53157407408</v>
      </c>
      <c r="C474" s="1" t="n">
        <v>45969</v>
      </c>
      <c r="D474" t="inlineStr">
        <is>
          <t>NORRBOTTENS LÄN</t>
        </is>
      </c>
      <c r="E474" t="inlineStr">
        <is>
          <t>PITEÅ</t>
        </is>
      </c>
      <c r="G474" t="n">
        <v>4.4</v>
      </c>
      <c r="H474" t="n">
        <v>0</v>
      </c>
      <c r="I474" t="n">
        <v>0</v>
      </c>
      <c r="J474" t="n">
        <v>0</v>
      </c>
      <c r="K474" t="n">
        <v>0</v>
      </c>
      <c r="L474" t="n">
        <v>0</v>
      </c>
      <c r="M474" t="n">
        <v>0</v>
      </c>
      <c r="N474" t="n">
        <v>0</v>
      </c>
      <c r="O474" t="n">
        <v>0</v>
      </c>
      <c r="P474" t="n">
        <v>0</v>
      </c>
      <c r="Q474" t="n">
        <v>0</v>
      </c>
      <c r="R474" s="2" t="inlineStr"/>
    </row>
    <row r="475" ht="15" customHeight="1">
      <c r="A475" t="inlineStr">
        <is>
          <t>A 40088-2025</t>
        </is>
      </c>
      <c r="B475" s="1" t="n">
        <v>45894.47658564815</v>
      </c>
      <c r="C475" s="1" t="n">
        <v>45969</v>
      </c>
      <c r="D475" t="inlineStr">
        <is>
          <t>NORRBOTTENS LÄN</t>
        </is>
      </c>
      <c r="E475" t="inlineStr">
        <is>
          <t>PITEÅ</t>
        </is>
      </c>
      <c r="G475" t="n">
        <v>2.5</v>
      </c>
      <c r="H475" t="n">
        <v>0</v>
      </c>
      <c r="I475" t="n">
        <v>0</v>
      </c>
      <c r="J475" t="n">
        <v>0</v>
      </c>
      <c r="K475" t="n">
        <v>0</v>
      </c>
      <c r="L475" t="n">
        <v>0</v>
      </c>
      <c r="M475" t="n">
        <v>0</v>
      </c>
      <c r="N475" t="n">
        <v>0</v>
      </c>
      <c r="O475" t="n">
        <v>0</v>
      </c>
      <c r="P475" t="n">
        <v>0</v>
      </c>
      <c r="Q475" t="n">
        <v>0</v>
      </c>
      <c r="R475" s="2" t="inlineStr"/>
    </row>
    <row r="476" ht="15" customHeight="1">
      <c r="A476" t="inlineStr">
        <is>
          <t>A 40087-2025</t>
        </is>
      </c>
      <c r="B476" s="1" t="n">
        <v>45894.47574074074</v>
      </c>
      <c r="C476" s="1" t="n">
        <v>45969</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48107-2025</t>
        </is>
      </c>
      <c r="B477" s="1" t="n">
        <v>45933.34452546296</v>
      </c>
      <c r="C477" s="1" t="n">
        <v>45969</v>
      </c>
      <c r="D477" t="inlineStr">
        <is>
          <t>NORRBOTTENS LÄN</t>
        </is>
      </c>
      <c r="E477" t="inlineStr">
        <is>
          <t>PITEÅ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45969</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45969</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49165-2025</t>
        </is>
      </c>
      <c r="B480" s="1" t="n">
        <v>45938.36506944444</v>
      </c>
      <c r="C480" s="1" t="n">
        <v>45969</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49060-2025</t>
        </is>
      </c>
      <c r="B481" s="1" t="n">
        <v>45937.64141203704</v>
      </c>
      <c r="C481" s="1" t="n">
        <v>45969</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40537-2025</t>
        </is>
      </c>
      <c r="B482" s="1" t="n">
        <v>45896.41564814815</v>
      </c>
      <c r="C482" s="1" t="n">
        <v>45969</v>
      </c>
      <c r="D482" t="inlineStr">
        <is>
          <t>NORRBOTTENS LÄN</t>
        </is>
      </c>
      <c r="E482" t="inlineStr">
        <is>
          <t>PITEÅ</t>
        </is>
      </c>
      <c r="G482" t="n">
        <v>4.5</v>
      </c>
      <c r="H482" t="n">
        <v>0</v>
      </c>
      <c r="I482" t="n">
        <v>0</v>
      </c>
      <c r="J482" t="n">
        <v>0</v>
      </c>
      <c r="K482" t="n">
        <v>0</v>
      </c>
      <c r="L482" t="n">
        <v>0</v>
      </c>
      <c r="M482" t="n">
        <v>0</v>
      </c>
      <c r="N482" t="n">
        <v>0</v>
      </c>
      <c r="O482" t="n">
        <v>0</v>
      </c>
      <c r="P482" t="n">
        <v>0</v>
      </c>
      <c r="Q482" t="n">
        <v>0</v>
      </c>
      <c r="R482" s="2" t="inlineStr"/>
    </row>
    <row r="483" ht="15" customHeight="1">
      <c r="A483" t="inlineStr">
        <is>
          <t>A 40541-2025</t>
        </is>
      </c>
      <c r="B483" s="1" t="n">
        <v>45896.42334490741</v>
      </c>
      <c r="C483" s="1" t="n">
        <v>45969</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2168-2023</t>
        </is>
      </c>
      <c r="B484" s="1" t="n">
        <v>44941</v>
      </c>
      <c r="C484" s="1" t="n">
        <v>45969</v>
      </c>
      <c r="D484" t="inlineStr">
        <is>
          <t>NORRBOTTENS LÄN</t>
        </is>
      </c>
      <c r="E484" t="inlineStr">
        <is>
          <t>PITEÅ</t>
        </is>
      </c>
      <c r="G484" t="n">
        <v>6.8</v>
      </c>
      <c r="H484" t="n">
        <v>0</v>
      </c>
      <c r="I484" t="n">
        <v>0</v>
      </c>
      <c r="J484" t="n">
        <v>0</v>
      </c>
      <c r="K484" t="n">
        <v>0</v>
      </c>
      <c r="L484" t="n">
        <v>0</v>
      </c>
      <c r="M484" t="n">
        <v>0</v>
      </c>
      <c r="N484" t="n">
        <v>0</v>
      </c>
      <c r="O484" t="n">
        <v>0</v>
      </c>
      <c r="P484" t="n">
        <v>0</v>
      </c>
      <c r="Q484" t="n">
        <v>0</v>
      </c>
      <c r="R484" s="2" t="inlineStr"/>
    </row>
    <row r="485" ht="15" customHeight="1">
      <c r="A485" t="inlineStr">
        <is>
          <t>A 40387-2025</t>
        </is>
      </c>
      <c r="B485" s="1" t="n">
        <v>45895</v>
      </c>
      <c r="C485" s="1" t="n">
        <v>45969</v>
      </c>
      <c r="D485" t="inlineStr">
        <is>
          <t>NORRBOTTENS LÄN</t>
        </is>
      </c>
      <c r="E485" t="inlineStr">
        <is>
          <t>PITEÅ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54210-2023</t>
        </is>
      </c>
      <c r="B486" s="1" t="n">
        <v>45232.56853009259</v>
      </c>
      <c r="C486" s="1" t="n">
        <v>45969</v>
      </c>
      <c r="D486" t="inlineStr">
        <is>
          <t>NORRBOTTENS LÄN</t>
        </is>
      </c>
      <c r="E486" t="inlineStr">
        <is>
          <t>PITEÅ</t>
        </is>
      </c>
      <c r="F486" t="inlineStr">
        <is>
          <t>Sveaskog</t>
        </is>
      </c>
      <c r="G486" t="n">
        <v>4.2</v>
      </c>
      <c r="H486" t="n">
        <v>0</v>
      </c>
      <c r="I486" t="n">
        <v>0</v>
      </c>
      <c r="J486" t="n">
        <v>0</v>
      </c>
      <c r="K486" t="n">
        <v>0</v>
      </c>
      <c r="L486" t="n">
        <v>0</v>
      </c>
      <c r="M486" t="n">
        <v>0</v>
      </c>
      <c r="N486" t="n">
        <v>0</v>
      </c>
      <c r="O486" t="n">
        <v>0</v>
      </c>
      <c r="P486" t="n">
        <v>0</v>
      </c>
      <c r="Q486" t="n">
        <v>0</v>
      </c>
      <c r="R486" s="2" t="inlineStr"/>
    </row>
    <row r="487" ht="15" customHeight="1">
      <c r="A487" t="inlineStr">
        <is>
          <t>A 40251-2025</t>
        </is>
      </c>
      <c r="B487" s="1" t="n">
        <v>45895.31371527778</v>
      </c>
      <c r="C487" s="1" t="n">
        <v>45969</v>
      </c>
      <c r="D487" t="inlineStr">
        <is>
          <t>NORRBOTTENS LÄN</t>
        </is>
      </c>
      <c r="E487" t="inlineStr">
        <is>
          <t>PITEÅ</t>
        </is>
      </c>
      <c r="G487" t="n">
        <v>2.4</v>
      </c>
      <c r="H487" t="n">
        <v>0</v>
      </c>
      <c r="I487" t="n">
        <v>0</v>
      </c>
      <c r="J487" t="n">
        <v>0</v>
      </c>
      <c r="K487" t="n">
        <v>0</v>
      </c>
      <c r="L487" t="n">
        <v>0</v>
      </c>
      <c r="M487" t="n">
        <v>0</v>
      </c>
      <c r="N487" t="n">
        <v>0</v>
      </c>
      <c r="O487" t="n">
        <v>0</v>
      </c>
      <c r="P487" t="n">
        <v>0</v>
      </c>
      <c r="Q487" t="n">
        <v>0</v>
      </c>
      <c r="R487" s="2" t="inlineStr"/>
    </row>
    <row r="488" ht="15" customHeight="1">
      <c r="A488" t="inlineStr">
        <is>
          <t>A 40254-2025</t>
        </is>
      </c>
      <c r="B488" s="1" t="n">
        <v>45895.32181712963</v>
      </c>
      <c r="C488" s="1" t="n">
        <v>45969</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44559-2024</t>
        </is>
      </c>
      <c r="B489" s="1" t="n">
        <v>45574.47001157407</v>
      </c>
      <c r="C489" s="1" t="n">
        <v>45969</v>
      </c>
      <c r="D489" t="inlineStr">
        <is>
          <t>NORRBOTTENS LÄN</t>
        </is>
      </c>
      <c r="E489" t="inlineStr">
        <is>
          <t>PITEÅ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40265-2025</t>
        </is>
      </c>
      <c r="B490" s="1" t="n">
        <v>45895.34462962963</v>
      </c>
      <c r="C490" s="1" t="n">
        <v>45969</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60840-2023</t>
        </is>
      </c>
      <c r="B491" s="1" t="n">
        <v>45260</v>
      </c>
      <c r="C491" s="1" t="n">
        <v>45969</v>
      </c>
      <c r="D491" t="inlineStr">
        <is>
          <t>NORRBOTTENS LÄN</t>
        </is>
      </c>
      <c r="E491" t="inlineStr">
        <is>
          <t>PITEÅ</t>
        </is>
      </c>
      <c r="G491" t="n">
        <v>2.7</v>
      </c>
      <c r="H491" t="n">
        <v>0</v>
      </c>
      <c r="I491" t="n">
        <v>0</v>
      </c>
      <c r="J491" t="n">
        <v>0</v>
      </c>
      <c r="K491" t="n">
        <v>0</v>
      </c>
      <c r="L491" t="n">
        <v>0</v>
      </c>
      <c r="M491" t="n">
        <v>0</v>
      </c>
      <c r="N491" t="n">
        <v>0</v>
      </c>
      <c r="O491" t="n">
        <v>0</v>
      </c>
      <c r="P491" t="n">
        <v>0</v>
      </c>
      <c r="Q491" t="n">
        <v>0</v>
      </c>
      <c r="R491" s="2" t="inlineStr"/>
    </row>
    <row r="492" ht="15" customHeight="1">
      <c r="A492" t="inlineStr">
        <is>
          <t>A 31281-2024</t>
        </is>
      </c>
      <c r="B492" s="1" t="n">
        <v>45504.41072916667</v>
      </c>
      <c r="C492" s="1" t="n">
        <v>45969</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41464-2023</t>
        </is>
      </c>
      <c r="B493" s="1" t="n">
        <v>45175.41883101852</v>
      </c>
      <c r="C493" s="1" t="n">
        <v>45969</v>
      </c>
      <c r="D493" t="inlineStr">
        <is>
          <t>NORRBOTTENS LÄN</t>
        </is>
      </c>
      <c r="E493" t="inlineStr">
        <is>
          <t>PITEÅ</t>
        </is>
      </c>
      <c r="G493" t="n">
        <v>5.2</v>
      </c>
      <c r="H493" t="n">
        <v>0</v>
      </c>
      <c r="I493" t="n">
        <v>0</v>
      </c>
      <c r="J493" t="n">
        <v>0</v>
      </c>
      <c r="K493" t="n">
        <v>0</v>
      </c>
      <c r="L493" t="n">
        <v>0</v>
      </c>
      <c r="M493" t="n">
        <v>0</v>
      </c>
      <c r="N493" t="n">
        <v>0</v>
      </c>
      <c r="O493" t="n">
        <v>0</v>
      </c>
      <c r="P493" t="n">
        <v>0</v>
      </c>
      <c r="Q493" t="n">
        <v>0</v>
      </c>
      <c r="R493" s="2" t="inlineStr"/>
    </row>
    <row r="494" ht="15" customHeight="1">
      <c r="A494" t="inlineStr">
        <is>
          <t>A 49340-2025</t>
        </is>
      </c>
      <c r="B494" s="1" t="n">
        <v>45938.59431712963</v>
      </c>
      <c r="C494" s="1" t="n">
        <v>45969</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48569-2025</t>
        </is>
      </c>
      <c r="B495" s="1" t="n">
        <v>45936.44826388889</v>
      </c>
      <c r="C495" s="1" t="n">
        <v>45969</v>
      </c>
      <c r="D495" t="inlineStr">
        <is>
          <t>NORRBOTTENS LÄN</t>
        </is>
      </c>
      <c r="E495" t="inlineStr">
        <is>
          <t>PITEÅ</t>
        </is>
      </c>
      <c r="G495" t="n">
        <v>0.2</v>
      </c>
      <c r="H495" t="n">
        <v>0</v>
      </c>
      <c r="I495" t="n">
        <v>0</v>
      </c>
      <c r="J495" t="n">
        <v>0</v>
      </c>
      <c r="K495" t="n">
        <v>0</v>
      </c>
      <c r="L495" t="n">
        <v>0</v>
      </c>
      <c r="M495" t="n">
        <v>0</v>
      </c>
      <c r="N495" t="n">
        <v>0</v>
      </c>
      <c r="O495" t="n">
        <v>0</v>
      </c>
      <c r="P495" t="n">
        <v>0</v>
      </c>
      <c r="Q495" t="n">
        <v>0</v>
      </c>
      <c r="R495" s="2" t="inlineStr"/>
    </row>
    <row r="496" ht="15" customHeight="1">
      <c r="A496" t="inlineStr">
        <is>
          <t>A 49153-2025</t>
        </is>
      </c>
      <c r="B496" s="1" t="n">
        <v>45938.34552083333</v>
      </c>
      <c r="C496" s="1" t="n">
        <v>45969</v>
      </c>
      <c r="D496" t="inlineStr">
        <is>
          <t>NORRBOTTENS LÄN</t>
        </is>
      </c>
      <c r="E496" t="inlineStr">
        <is>
          <t>PITEÅ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29894-2022</t>
        </is>
      </c>
      <c r="B497" s="1" t="n">
        <v>44756</v>
      </c>
      <c r="C497" s="1" t="n">
        <v>45969</v>
      </c>
      <c r="D497" t="inlineStr">
        <is>
          <t>NORRBOTTENS LÄN</t>
        </is>
      </c>
      <c r="E497" t="inlineStr">
        <is>
          <t>PITEÅ</t>
        </is>
      </c>
      <c r="G497" t="n">
        <v>0.8</v>
      </c>
      <c r="H497" t="n">
        <v>0</v>
      </c>
      <c r="I497" t="n">
        <v>0</v>
      </c>
      <c r="J497" t="n">
        <v>0</v>
      </c>
      <c r="K497" t="n">
        <v>0</v>
      </c>
      <c r="L497" t="n">
        <v>0</v>
      </c>
      <c r="M497" t="n">
        <v>0</v>
      </c>
      <c r="N497" t="n">
        <v>0</v>
      </c>
      <c r="O497" t="n">
        <v>0</v>
      </c>
      <c r="P497" t="n">
        <v>0</v>
      </c>
      <c r="Q497" t="n">
        <v>0</v>
      </c>
      <c r="R497" s="2" t="inlineStr"/>
    </row>
    <row r="498" ht="15" customHeight="1">
      <c r="A498" t="inlineStr">
        <is>
          <t>A 20646-2025</t>
        </is>
      </c>
      <c r="B498" s="1" t="n">
        <v>45776.38480324074</v>
      </c>
      <c r="C498" s="1" t="n">
        <v>45969</v>
      </c>
      <c r="D498" t="inlineStr">
        <is>
          <t>NORRBOTTENS LÄN</t>
        </is>
      </c>
      <c r="E498" t="inlineStr">
        <is>
          <t>PITEÅ</t>
        </is>
      </c>
      <c r="G498" t="n">
        <v>4.7</v>
      </c>
      <c r="H498" t="n">
        <v>0</v>
      </c>
      <c r="I498" t="n">
        <v>0</v>
      </c>
      <c r="J498" t="n">
        <v>0</v>
      </c>
      <c r="K498" t="n">
        <v>0</v>
      </c>
      <c r="L498" t="n">
        <v>0</v>
      </c>
      <c r="M498" t="n">
        <v>0</v>
      </c>
      <c r="N498" t="n">
        <v>0</v>
      </c>
      <c r="O498" t="n">
        <v>0</v>
      </c>
      <c r="P498" t="n">
        <v>0</v>
      </c>
      <c r="Q498" t="n">
        <v>0</v>
      </c>
      <c r="R498" s="2" t="inlineStr"/>
    </row>
    <row r="499" ht="15" customHeight="1">
      <c r="A499" t="inlineStr">
        <is>
          <t>A 40542-2025</t>
        </is>
      </c>
      <c r="B499" s="1" t="n">
        <v>45896.42896990741</v>
      </c>
      <c r="C499" s="1" t="n">
        <v>45969</v>
      </c>
      <c r="D499" t="inlineStr">
        <is>
          <t>NORRBOTTENS LÄN</t>
        </is>
      </c>
      <c r="E499" t="inlineStr">
        <is>
          <t>PITEÅ</t>
        </is>
      </c>
      <c r="G499" t="n">
        <v>2.1</v>
      </c>
      <c r="H499" t="n">
        <v>0</v>
      </c>
      <c r="I499" t="n">
        <v>0</v>
      </c>
      <c r="J499" t="n">
        <v>0</v>
      </c>
      <c r="K499" t="n">
        <v>0</v>
      </c>
      <c r="L499" t="n">
        <v>0</v>
      </c>
      <c r="M499" t="n">
        <v>0</v>
      </c>
      <c r="N499" t="n">
        <v>0</v>
      </c>
      <c r="O499" t="n">
        <v>0</v>
      </c>
      <c r="P499" t="n">
        <v>0</v>
      </c>
      <c r="Q499" t="n">
        <v>0</v>
      </c>
      <c r="R499" s="2" t="inlineStr"/>
    </row>
    <row r="500" ht="15" customHeight="1">
      <c r="A500" t="inlineStr">
        <is>
          <t>A 40545-2025</t>
        </is>
      </c>
      <c r="B500" s="1" t="n">
        <v>45896.43145833333</v>
      </c>
      <c r="C500" s="1" t="n">
        <v>45969</v>
      </c>
      <c r="D500" t="inlineStr">
        <is>
          <t>NORRBOTTENS LÄN</t>
        </is>
      </c>
      <c r="E500" t="inlineStr">
        <is>
          <t>PITEÅ</t>
        </is>
      </c>
      <c r="G500" t="n">
        <v>0.6</v>
      </c>
      <c r="H500" t="n">
        <v>0</v>
      </c>
      <c r="I500" t="n">
        <v>0</v>
      </c>
      <c r="J500" t="n">
        <v>0</v>
      </c>
      <c r="K500" t="n">
        <v>0</v>
      </c>
      <c r="L500" t="n">
        <v>0</v>
      </c>
      <c r="M500" t="n">
        <v>0</v>
      </c>
      <c r="N500" t="n">
        <v>0</v>
      </c>
      <c r="O500" t="n">
        <v>0</v>
      </c>
      <c r="P500" t="n">
        <v>0</v>
      </c>
      <c r="Q500" t="n">
        <v>0</v>
      </c>
      <c r="R500" s="2" t="inlineStr"/>
    </row>
    <row r="501" ht="15" customHeight="1">
      <c r="A501" t="inlineStr">
        <is>
          <t>A 48802-2025</t>
        </is>
      </c>
      <c r="B501" s="1" t="n">
        <v>45937.34538194445</v>
      </c>
      <c r="C501" s="1" t="n">
        <v>45969</v>
      </c>
      <c r="D501" t="inlineStr">
        <is>
          <t>NORRBOTTENS LÄN</t>
        </is>
      </c>
      <c r="E501" t="inlineStr">
        <is>
          <t>PITEÅ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20649-2025</t>
        </is>
      </c>
      <c r="B502" s="1" t="n">
        <v>45776.3900462963</v>
      </c>
      <c r="C502" s="1" t="n">
        <v>45969</v>
      </c>
      <c r="D502" t="inlineStr">
        <is>
          <t>NORRBOTTENS LÄN</t>
        </is>
      </c>
      <c r="E502" t="inlineStr">
        <is>
          <t>PITEÅ</t>
        </is>
      </c>
      <c r="G502" t="n">
        <v>10.3</v>
      </c>
      <c r="H502" t="n">
        <v>0</v>
      </c>
      <c r="I502" t="n">
        <v>0</v>
      </c>
      <c r="J502" t="n">
        <v>0</v>
      </c>
      <c r="K502" t="n">
        <v>0</v>
      </c>
      <c r="L502" t="n">
        <v>0</v>
      </c>
      <c r="M502" t="n">
        <v>0</v>
      </c>
      <c r="N502" t="n">
        <v>0</v>
      </c>
      <c r="O502" t="n">
        <v>0</v>
      </c>
      <c r="P502" t="n">
        <v>0</v>
      </c>
      <c r="Q502" t="n">
        <v>0</v>
      </c>
      <c r="R502" s="2" t="inlineStr"/>
    </row>
    <row r="503" ht="15" customHeight="1">
      <c r="A503" t="inlineStr">
        <is>
          <t>A 54331-2024</t>
        </is>
      </c>
      <c r="B503" s="1" t="n">
        <v>45617.37787037037</v>
      </c>
      <c r="C503" s="1" t="n">
        <v>45969</v>
      </c>
      <c r="D503" t="inlineStr">
        <is>
          <t>NORRBOTTENS LÄN</t>
        </is>
      </c>
      <c r="E503" t="inlineStr">
        <is>
          <t>PITEÅ</t>
        </is>
      </c>
      <c r="G503" t="n">
        <v>5.9</v>
      </c>
      <c r="H503" t="n">
        <v>0</v>
      </c>
      <c r="I503" t="n">
        <v>0</v>
      </c>
      <c r="J503" t="n">
        <v>0</v>
      </c>
      <c r="K503" t="n">
        <v>0</v>
      </c>
      <c r="L503" t="n">
        <v>0</v>
      </c>
      <c r="M503" t="n">
        <v>0</v>
      </c>
      <c r="N503" t="n">
        <v>0</v>
      </c>
      <c r="O503" t="n">
        <v>0</v>
      </c>
      <c r="P503" t="n">
        <v>0</v>
      </c>
      <c r="Q503" t="n">
        <v>0</v>
      </c>
      <c r="R503" s="2" t="inlineStr"/>
    </row>
    <row r="504" ht="15" customHeight="1">
      <c r="A504" t="inlineStr">
        <is>
          <t>A 20668-2025</t>
        </is>
      </c>
      <c r="B504" s="1" t="n">
        <v>45776.43038194445</v>
      </c>
      <c r="C504" s="1" t="n">
        <v>45969</v>
      </c>
      <c r="D504" t="inlineStr">
        <is>
          <t>NORRBOTTENS LÄN</t>
        </is>
      </c>
      <c r="E504" t="inlineStr">
        <is>
          <t>PITEÅ</t>
        </is>
      </c>
      <c r="G504" t="n">
        <v>7.5</v>
      </c>
      <c r="H504" t="n">
        <v>0</v>
      </c>
      <c r="I504" t="n">
        <v>0</v>
      </c>
      <c r="J504" t="n">
        <v>0</v>
      </c>
      <c r="K504" t="n">
        <v>0</v>
      </c>
      <c r="L504" t="n">
        <v>0</v>
      </c>
      <c r="M504" t="n">
        <v>0</v>
      </c>
      <c r="N504" t="n">
        <v>0</v>
      </c>
      <c r="O504" t="n">
        <v>0</v>
      </c>
      <c r="P504" t="n">
        <v>0</v>
      </c>
      <c r="Q504" t="n">
        <v>0</v>
      </c>
      <c r="R504" s="2" t="inlineStr"/>
    </row>
    <row r="505" ht="15" customHeight="1">
      <c r="A505" t="inlineStr">
        <is>
          <t>A 48403-2025</t>
        </is>
      </c>
      <c r="B505" s="1" t="n">
        <v>45934.34480324074</v>
      </c>
      <c r="C505" s="1" t="n">
        <v>45969</v>
      </c>
      <c r="D505" t="inlineStr">
        <is>
          <t>NORRBOTTENS LÄN</t>
        </is>
      </c>
      <c r="E505" t="inlineStr">
        <is>
          <t>PITEÅ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44710-2024</t>
        </is>
      </c>
      <c r="B506" s="1" t="n">
        <v>45574.57387731481</v>
      </c>
      <c r="C506" s="1" t="n">
        <v>45969</v>
      </c>
      <c r="D506" t="inlineStr">
        <is>
          <t>NORRBOTTENS LÄN</t>
        </is>
      </c>
      <c r="E506" t="inlineStr">
        <is>
          <t>PITEÅ</t>
        </is>
      </c>
      <c r="F506" t="inlineStr">
        <is>
          <t>SCA</t>
        </is>
      </c>
      <c r="G506" t="n">
        <v>5.9</v>
      </c>
      <c r="H506" t="n">
        <v>0</v>
      </c>
      <c r="I506" t="n">
        <v>0</v>
      </c>
      <c r="J506" t="n">
        <v>0</v>
      </c>
      <c r="K506" t="n">
        <v>0</v>
      </c>
      <c r="L506" t="n">
        <v>0</v>
      </c>
      <c r="M506" t="n">
        <v>0</v>
      </c>
      <c r="N506" t="n">
        <v>0</v>
      </c>
      <c r="O506" t="n">
        <v>0</v>
      </c>
      <c r="P506" t="n">
        <v>0</v>
      </c>
      <c r="Q506" t="n">
        <v>0</v>
      </c>
      <c r="R506" s="2" t="inlineStr"/>
    </row>
    <row r="507" ht="15" customHeight="1">
      <c r="A507" t="inlineStr">
        <is>
          <t>A 27899-2023</t>
        </is>
      </c>
      <c r="B507" s="1" t="n">
        <v>45098</v>
      </c>
      <c r="C507" s="1" t="n">
        <v>45969</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56707-2024</t>
        </is>
      </c>
      <c r="B508" s="1" t="n">
        <v>45627.84545138889</v>
      </c>
      <c r="C508" s="1" t="n">
        <v>45969</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4100-2024</t>
        </is>
      </c>
      <c r="B509" s="1" t="n">
        <v>45323</v>
      </c>
      <c r="C509" s="1" t="n">
        <v>45969</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39399-2022</t>
        </is>
      </c>
      <c r="B510" s="1" t="n">
        <v>44817.94883101852</v>
      </c>
      <c r="C510" s="1" t="n">
        <v>45969</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9112-2024</t>
        </is>
      </c>
      <c r="B511" s="1" t="n">
        <v>45357.96129629629</v>
      </c>
      <c r="C511" s="1" t="n">
        <v>45969</v>
      </c>
      <c r="D511" t="inlineStr">
        <is>
          <t>NORRBOTTENS LÄN</t>
        </is>
      </c>
      <c r="E511" t="inlineStr">
        <is>
          <t>PITEÅ</t>
        </is>
      </c>
      <c r="G511" t="n">
        <v>5.4</v>
      </c>
      <c r="H511" t="n">
        <v>0</v>
      </c>
      <c r="I511" t="n">
        <v>0</v>
      </c>
      <c r="J511" t="n">
        <v>0</v>
      </c>
      <c r="K511" t="n">
        <v>0</v>
      </c>
      <c r="L511" t="n">
        <v>0</v>
      </c>
      <c r="M511" t="n">
        <v>0</v>
      </c>
      <c r="N511" t="n">
        <v>0</v>
      </c>
      <c r="O511" t="n">
        <v>0</v>
      </c>
      <c r="P511" t="n">
        <v>0</v>
      </c>
      <c r="Q511" t="n">
        <v>0</v>
      </c>
      <c r="R511" s="2" t="inlineStr"/>
    </row>
    <row r="512" ht="15" customHeight="1">
      <c r="A512" t="inlineStr">
        <is>
          <t>A 49152-2025</t>
        </is>
      </c>
      <c r="B512" s="1" t="n">
        <v>45938.34530092592</v>
      </c>
      <c r="C512" s="1" t="n">
        <v>45969</v>
      </c>
      <c r="D512" t="inlineStr">
        <is>
          <t>NORRBOTTENS LÄN</t>
        </is>
      </c>
      <c r="E512" t="inlineStr">
        <is>
          <t>PITEÅ</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16044-2024</t>
        </is>
      </c>
      <c r="B513" s="1" t="n">
        <v>45405.96737268518</v>
      </c>
      <c r="C513" s="1" t="n">
        <v>45969</v>
      </c>
      <c r="D513" t="inlineStr">
        <is>
          <t>NORRBOTTENS LÄN</t>
        </is>
      </c>
      <c r="E513" t="inlineStr">
        <is>
          <t>PITEÅ</t>
        </is>
      </c>
      <c r="G513" t="n">
        <v>4.3</v>
      </c>
      <c r="H513" t="n">
        <v>0</v>
      </c>
      <c r="I513" t="n">
        <v>0</v>
      </c>
      <c r="J513" t="n">
        <v>0</v>
      </c>
      <c r="K513" t="n">
        <v>0</v>
      </c>
      <c r="L513" t="n">
        <v>0</v>
      </c>
      <c r="M513" t="n">
        <v>0</v>
      </c>
      <c r="N513" t="n">
        <v>0</v>
      </c>
      <c r="O513" t="n">
        <v>0</v>
      </c>
      <c r="P513" t="n">
        <v>0</v>
      </c>
      <c r="Q513" t="n">
        <v>0</v>
      </c>
      <c r="R513" s="2" t="inlineStr"/>
    </row>
    <row r="514" ht="15" customHeight="1">
      <c r="A514" t="inlineStr">
        <is>
          <t>A 47446-2023</t>
        </is>
      </c>
      <c r="B514" s="1" t="n">
        <v>45202.69947916667</v>
      </c>
      <c r="C514" s="1" t="n">
        <v>45969</v>
      </c>
      <c r="D514" t="inlineStr">
        <is>
          <t>NORRBOTTENS LÄN</t>
        </is>
      </c>
      <c r="E514" t="inlineStr">
        <is>
          <t>PITEÅ</t>
        </is>
      </c>
      <c r="F514" t="inlineStr">
        <is>
          <t>Övriga Aktiebolag</t>
        </is>
      </c>
      <c r="G514" t="n">
        <v>0.7</v>
      </c>
      <c r="H514" t="n">
        <v>0</v>
      </c>
      <c r="I514" t="n">
        <v>0</v>
      </c>
      <c r="J514" t="n">
        <v>0</v>
      </c>
      <c r="K514" t="n">
        <v>0</v>
      </c>
      <c r="L514" t="n">
        <v>0</v>
      </c>
      <c r="M514" t="n">
        <v>0</v>
      </c>
      <c r="N514" t="n">
        <v>0</v>
      </c>
      <c r="O514" t="n">
        <v>0</v>
      </c>
      <c r="P514" t="n">
        <v>0</v>
      </c>
      <c r="Q514" t="n">
        <v>0</v>
      </c>
      <c r="R514" s="2" t="inlineStr"/>
    </row>
    <row r="515" ht="15" customHeight="1">
      <c r="A515" t="inlineStr">
        <is>
          <t>A 20082-2024</t>
        </is>
      </c>
      <c r="B515" s="1" t="n">
        <v>45434.44953703704</v>
      </c>
      <c r="C515" s="1" t="n">
        <v>45969</v>
      </c>
      <c r="D515" t="inlineStr">
        <is>
          <t>NORRBOTTENS LÄN</t>
        </is>
      </c>
      <c r="E515" t="inlineStr">
        <is>
          <t>PITEÅ</t>
        </is>
      </c>
      <c r="G515" t="n">
        <v>2.7</v>
      </c>
      <c r="H515" t="n">
        <v>0</v>
      </c>
      <c r="I515" t="n">
        <v>0</v>
      </c>
      <c r="J515" t="n">
        <v>0</v>
      </c>
      <c r="K515" t="n">
        <v>0</v>
      </c>
      <c r="L515" t="n">
        <v>0</v>
      </c>
      <c r="M515" t="n">
        <v>0</v>
      </c>
      <c r="N515" t="n">
        <v>0</v>
      </c>
      <c r="O515" t="n">
        <v>0</v>
      </c>
      <c r="P515" t="n">
        <v>0</v>
      </c>
      <c r="Q515" t="n">
        <v>0</v>
      </c>
      <c r="R515" s="2" t="inlineStr"/>
    </row>
    <row r="516" ht="15" customHeight="1">
      <c r="A516" t="inlineStr">
        <is>
          <t>A 63224-2023</t>
        </is>
      </c>
      <c r="B516" s="1" t="n">
        <v>45273</v>
      </c>
      <c r="C516" s="1" t="n">
        <v>45969</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21444-2025</t>
        </is>
      </c>
      <c r="B517" s="1" t="n">
        <v>45782.54247685185</v>
      </c>
      <c r="C517" s="1" t="n">
        <v>45969</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15469-2025</t>
        </is>
      </c>
      <c r="B518" s="1" t="n">
        <v>45747.53148148148</v>
      </c>
      <c r="C518" s="1" t="n">
        <v>45969</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44526-2024</t>
        </is>
      </c>
      <c r="B519" s="1" t="n">
        <v>45574.44390046296</v>
      </c>
      <c r="C519" s="1" t="n">
        <v>45969</v>
      </c>
      <c r="D519" t="inlineStr">
        <is>
          <t>NORRBOTTENS LÄN</t>
        </is>
      </c>
      <c r="E519" t="inlineStr">
        <is>
          <t>PITEÅ</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44532-2024</t>
        </is>
      </c>
      <c r="B520" s="1" t="n">
        <v>45574.45082175926</v>
      </c>
      <c r="C520" s="1" t="n">
        <v>45969</v>
      </c>
      <c r="D520" t="inlineStr">
        <is>
          <t>NORRBOTTENS LÄN</t>
        </is>
      </c>
      <c r="E520" t="inlineStr">
        <is>
          <t>PITEÅ</t>
        </is>
      </c>
      <c r="F520" t="inlineStr">
        <is>
          <t>Sveaskog</t>
        </is>
      </c>
      <c r="G520" t="n">
        <v>7.3</v>
      </c>
      <c r="H520" t="n">
        <v>0</v>
      </c>
      <c r="I520" t="n">
        <v>0</v>
      </c>
      <c r="J520" t="n">
        <v>0</v>
      </c>
      <c r="K520" t="n">
        <v>0</v>
      </c>
      <c r="L520" t="n">
        <v>0</v>
      </c>
      <c r="M520" t="n">
        <v>0</v>
      </c>
      <c r="N520" t="n">
        <v>0</v>
      </c>
      <c r="O520" t="n">
        <v>0</v>
      </c>
      <c r="P520" t="n">
        <v>0</v>
      </c>
      <c r="Q520" t="n">
        <v>0</v>
      </c>
      <c r="R520" s="2" t="inlineStr"/>
    </row>
    <row r="521" ht="15" customHeight="1">
      <c r="A521" t="inlineStr">
        <is>
          <t>A 21494-2025</t>
        </is>
      </c>
      <c r="B521" s="1" t="n">
        <v>45782.5971412037</v>
      </c>
      <c r="C521" s="1" t="n">
        <v>45969</v>
      </c>
      <c r="D521" t="inlineStr">
        <is>
          <t>NORRBOTTENS LÄN</t>
        </is>
      </c>
      <c r="E521" t="inlineStr">
        <is>
          <t>PITEÅ</t>
        </is>
      </c>
      <c r="G521" t="n">
        <v>4.4</v>
      </c>
      <c r="H521" t="n">
        <v>0</v>
      </c>
      <c r="I521" t="n">
        <v>0</v>
      </c>
      <c r="J521" t="n">
        <v>0</v>
      </c>
      <c r="K521" t="n">
        <v>0</v>
      </c>
      <c r="L521" t="n">
        <v>0</v>
      </c>
      <c r="M521" t="n">
        <v>0</v>
      </c>
      <c r="N521" t="n">
        <v>0</v>
      </c>
      <c r="O521" t="n">
        <v>0</v>
      </c>
      <c r="P521" t="n">
        <v>0</v>
      </c>
      <c r="Q521" t="n">
        <v>0</v>
      </c>
      <c r="R521" s="2" t="inlineStr"/>
    </row>
    <row r="522" ht="15" customHeight="1">
      <c r="A522" t="inlineStr">
        <is>
          <t>A 21498-2025</t>
        </is>
      </c>
      <c r="B522" s="1" t="n">
        <v>45782.60648148148</v>
      </c>
      <c r="C522" s="1" t="n">
        <v>45969</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44539-2024</t>
        </is>
      </c>
      <c r="B523" s="1" t="n">
        <v>45574.45609953703</v>
      </c>
      <c r="C523" s="1" t="n">
        <v>45969</v>
      </c>
      <c r="D523" t="inlineStr">
        <is>
          <t>NORRBOTTENS LÄN</t>
        </is>
      </c>
      <c r="E523" t="inlineStr">
        <is>
          <t>PITEÅ</t>
        </is>
      </c>
      <c r="F523" t="inlineStr">
        <is>
          <t>Sveaskog</t>
        </is>
      </c>
      <c r="G523" t="n">
        <v>6.7</v>
      </c>
      <c r="H523" t="n">
        <v>0</v>
      </c>
      <c r="I523" t="n">
        <v>0</v>
      </c>
      <c r="J523" t="n">
        <v>0</v>
      </c>
      <c r="K523" t="n">
        <v>0</v>
      </c>
      <c r="L523" t="n">
        <v>0</v>
      </c>
      <c r="M523" t="n">
        <v>0</v>
      </c>
      <c r="N523" t="n">
        <v>0</v>
      </c>
      <c r="O523" t="n">
        <v>0</v>
      </c>
      <c r="P523" t="n">
        <v>0</v>
      </c>
      <c r="Q523" t="n">
        <v>0</v>
      </c>
      <c r="R523" s="2" t="inlineStr"/>
    </row>
    <row r="524" ht="15" customHeight="1">
      <c r="A524" t="inlineStr">
        <is>
          <t>A 21540-2025</t>
        </is>
      </c>
      <c r="B524" s="1" t="n">
        <v>45782.66539351852</v>
      </c>
      <c r="C524" s="1" t="n">
        <v>45969</v>
      </c>
      <c r="D524" t="inlineStr">
        <is>
          <t>NORRBOTTENS LÄN</t>
        </is>
      </c>
      <c r="E524" t="inlineStr">
        <is>
          <t>PITEÅ</t>
        </is>
      </c>
      <c r="G524" t="n">
        <v>6.8</v>
      </c>
      <c r="H524" t="n">
        <v>0</v>
      </c>
      <c r="I524" t="n">
        <v>0</v>
      </c>
      <c r="J524" t="n">
        <v>0</v>
      </c>
      <c r="K524" t="n">
        <v>0</v>
      </c>
      <c r="L524" t="n">
        <v>0</v>
      </c>
      <c r="M524" t="n">
        <v>0</v>
      </c>
      <c r="N524" t="n">
        <v>0</v>
      </c>
      <c r="O524" t="n">
        <v>0</v>
      </c>
      <c r="P524" t="n">
        <v>0</v>
      </c>
      <c r="Q524" t="n">
        <v>0</v>
      </c>
      <c r="R524" s="2" t="inlineStr"/>
    </row>
    <row r="525" ht="15" customHeight="1">
      <c r="A525" t="inlineStr">
        <is>
          <t>A 55826-2023</t>
        </is>
      </c>
      <c r="B525" s="1" t="n">
        <v>45239</v>
      </c>
      <c r="C525" s="1" t="n">
        <v>45969</v>
      </c>
      <c r="D525" t="inlineStr">
        <is>
          <t>NORRBOTTENS LÄN</t>
        </is>
      </c>
      <c r="E525" t="inlineStr">
        <is>
          <t>PITEÅ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v>
      </c>
      <c r="C526" s="1" t="n">
        <v>45969</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21593-2025</t>
        </is>
      </c>
      <c r="B527" s="1" t="n">
        <v>45783.34435185185</v>
      </c>
      <c r="C527" s="1" t="n">
        <v>45969</v>
      </c>
      <c r="D527" t="inlineStr">
        <is>
          <t>NORRBOTTENS LÄN</t>
        </is>
      </c>
      <c r="E527" t="inlineStr">
        <is>
          <t>PITEÅ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46722-2024</t>
        </is>
      </c>
      <c r="B528" s="1" t="n">
        <v>45583.4578125</v>
      </c>
      <c r="C528" s="1" t="n">
        <v>45969</v>
      </c>
      <c r="D528" t="inlineStr">
        <is>
          <t>NORRBOTTENS LÄN</t>
        </is>
      </c>
      <c r="E528" t="inlineStr">
        <is>
          <t>PITEÅ</t>
        </is>
      </c>
      <c r="G528" t="n">
        <v>2.2</v>
      </c>
      <c r="H528" t="n">
        <v>0</v>
      </c>
      <c r="I528" t="n">
        <v>0</v>
      </c>
      <c r="J528" t="n">
        <v>0</v>
      </c>
      <c r="K528" t="n">
        <v>0</v>
      </c>
      <c r="L528" t="n">
        <v>0</v>
      </c>
      <c r="M528" t="n">
        <v>0</v>
      </c>
      <c r="N528" t="n">
        <v>0</v>
      </c>
      <c r="O528" t="n">
        <v>0</v>
      </c>
      <c r="P528" t="n">
        <v>0</v>
      </c>
      <c r="Q528" t="n">
        <v>0</v>
      </c>
      <c r="R528" s="2" t="inlineStr"/>
    </row>
    <row r="529" ht="15" customHeight="1">
      <c r="A529" t="inlineStr">
        <is>
          <t>A 47822-2025</t>
        </is>
      </c>
      <c r="B529" s="1" t="n">
        <v>45932.34443287037</v>
      </c>
      <c r="C529" s="1" t="n">
        <v>45969</v>
      </c>
      <c r="D529" t="inlineStr">
        <is>
          <t>NORRBOTTENS LÄN</t>
        </is>
      </c>
      <c r="E529" t="inlineStr">
        <is>
          <t>PITEÅ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15803-2023</t>
        </is>
      </c>
      <c r="B530" s="1" t="n">
        <v>45021</v>
      </c>
      <c r="C530" s="1" t="n">
        <v>45969</v>
      </c>
      <c r="D530" t="inlineStr">
        <is>
          <t>NORRBOTTENS LÄN</t>
        </is>
      </c>
      <c r="E530" t="inlineStr">
        <is>
          <t>PITEÅ</t>
        </is>
      </c>
      <c r="G530" t="n">
        <v>10.2</v>
      </c>
      <c r="H530" t="n">
        <v>0</v>
      </c>
      <c r="I530" t="n">
        <v>0</v>
      </c>
      <c r="J530" t="n">
        <v>0</v>
      </c>
      <c r="K530" t="n">
        <v>0</v>
      </c>
      <c r="L530" t="n">
        <v>0</v>
      </c>
      <c r="M530" t="n">
        <v>0</v>
      </c>
      <c r="N530" t="n">
        <v>0</v>
      </c>
      <c r="O530" t="n">
        <v>0</v>
      </c>
      <c r="P530" t="n">
        <v>0</v>
      </c>
      <c r="Q530" t="n">
        <v>0</v>
      </c>
      <c r="R530" s="2" t="inlineStr"/>
    </row>
    <row r="531" ht="15" customHeight="1">
      <c r="A531" t="inlineStr">
        <is>
          <t>A 2842-2024</t>
        </is>
      </c>
      <c r="B531" s="1" t="n">
        <v>45315</v>
      </c>
      <c r="C531" s="1" t="n">
        <v>45969</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2889-2024</t>
        </is>
      </c>
      <c r="B532" s="1" t="n">
        <v>45315.49657407407</v>
      </c>
      <c r="C532" s="1" t="n">
        <v>45969</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41100-2025</t>
        </is>
      </c>
      <c r="B533" s="1" t="n">
        <v>45898.45086805556</v>
      </c>
      <c r="C533" s="1" t="n">
        <v>45969</v>
      </c>
      <c r="D533" t="inlineStr">
        <is>
          <t>NORRBOTTENS LÄN</t>
        </is>
      </c>
      <c r="E533" t="inlineStr">
        <is>
          <t>PITEÅ</t>
        </is>
      </c>
      <c r="F533" t="inlineStr">
        <is>
          <t>Sveaskog</t>
        </is>
      </c>
      <c r="G533" t="n">
        <v>8.1</v>
      </c>
      <c r="H533" t="n">
        <v>0</v>
      </c>
      <c r="I533" t="n">
        <v>0</v>
      </c>
      <c r="J533" t="n">
        <v>0</v>
      </c>
      <c r="K533" t="n">
        <v>0</v>
      </c>
      <c r="L533" t="n">
        <v>0</v>
      </c>
      <c r="M533" t="n">
        <v>0</v>
      </c>
      <c r="N533" t="n">
        <v>0</v>
      </c>
      <c r="O533" t="n">
        <v>0</v>
      </c>
      <c r="P533" t="n">
        <v>0</v>
      </c>
      <c r="Q533" t="n">
        <v>0</v>
      </c>
      <c r="R533" s="2" t="inlineStr"/>
    </row>
    <row r="534" ht="15" customHeight="1">
      <c r="A534" t="inlineStr">
        <is>
          <t>A 25983-2023</t>
        </is>
      </c>
      <c r="B534" s="1" t="n">
        <v>45090</v>
      </c>
      <c r="C534" s="1" t="n">
        <v>45969</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32377-2023</t>
        </is>
      </c>
      <c r="B535" s="1" t="n">
        <v>45110</v>
      </c>
      <c r="C535" s="1" t="n">
        <v>45969</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30454-2024</t>
        </is>
      </c>
      <c r="B536" s="1" t="n">
        <v>45491.92782407408</v>
      </c>
      <c r="C536" s="1" t="n">
        <v>45969</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31159-2024</t>
        </is>
      </c>
      <c r="B537" s="1" t="n">
        <v>45503</v>
      </c>
      <c r="C537" s="1" t="n">
        <v>45969</v>
      </c>
      <c r="D537" t="inlineStr">
        <is>
          <t>NORRBOTTENS LÄN</t>
        </is>
      </c>
      <c r="E537" t="inlineStr">
        <is>
          <t>PITEÅ</t>
        </is>
      </c>
      <c r="G537" t="n">
        <v>6.2</v>
      </c>
      <c r="H537" t="n">
        <v>0</v>
      </c>
      <c r="I537" t="n">
        <v>0</v>
      </c>
      <c r="J537" t="n">
        <v>0</v>
      </c>
      <c r="K537" t="n">
        <v>0</v>
      </c>
      <c r="L537" t="n">
        <v>0</v>
      </c>
      <c r="M537" t="n">
        <v>0</v>
      </c>
      <c r="N537" t="n">
        <v>0</v>
      </c>
      <c r="O537" t="n">
        <v>0</v>
      </c>
      <c r="P537" t="n">
        <v>0</v>
      </c>
      <c r="Q537" t="n">
        <v>0</v>
      </c>
      <c r="R537" s="2" t="inlineStr"/>
    </row>
    <row r="538" ht="15" customHeight="1">
      <c r="A538" t="inlineStr">
        <is>
          <t>A 30453-2024</t>
        </is>
      </c>
      <c r="B538" s="1" t="n">
        <v>45491.92774305555</v>
      </c>
      <c r="C538" s="1" t="n">
        <v>45969</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46932-2024</t>
        </is>
      </c>
      <c r="B539" s="1" t="n">
        <v>45585.00625</v>
      </c>
      <c r="C539" s="1" t="n">
        <v>45969</v>
      </c>
      <c r="D539" t="inlineStr">
        <is>
          <t>NORRBOTTENS LÄN</t>
        </is>
      </c>
      <c r="E539" t="inlineStr">
        <is>
          <t>PITEÅ</t>
        </is>
      </c>
      <c r="G539" t="n">
        <v>7.5</v>
      </c>
      <c r="H539" t="n">
        <v>0</v>
      </c>
      <c r="I539" t="n">
        <v>0</v>
      </c>
      <c r="J539" t="n">
        <v>0</v>
      </c>
      <c r="K539" t="n">
        <v>0</v>
      </c>
      <c r="L539" t="n">
        <v>0</v>
      </c>
      <c r="M539" t="n">
        <v>0</v>
      </c>
      <c r="N539" t="n">
        <v>0</v>
      </c>
      <c r="O539" t="n">
        <v>0</v>
      </c>
      <c r="P539" t="n">
        <v>0</v>
      </c>
      <c r="Q539" t="n">
        <v>0</v>
      </c>
      <c r="R539" s="2" t="inlineStr"/>
    </row>
    <row r="540" ht="15" customHeight="1">
      <c r="A540" t="inlineStr">
        <is>
          <t>A 23692-2025</t>
        </is>
      </c>
      <c r="B540" s="1" t="n">
        <v>45793.34496527778</v>
      </c>
      <c r="C540" s="1" t="n">
        <v>45969</v>
      </c>
      <c r="D540" t="inlineStr">
        <is>
          <t>NORRBOTTENS LÄN</t>
        </is>
      </c>
      <c r="E540" t="inlineStr">
        <is>
          <t>PITEÅ</t>
        </is>
      </c>
      <c r="G540" t="n">
        <v>2.7</v>
      </c>
      <c r="H540" t="n">
        <v>0</v>
      </c>
      <c r="I540" t="n">
        <v>0</v>
      </c>
      <c r="J540" t="n">
        <v>0</v>
      </c>
      <c r="K540" t="n">
        <v>0</v>
      </c>
      <c r="L540" t="n">
        <v>0</v>
      </c>
      <c r="M540" t="n">
        <v>0</v>
      </c>
      <c r="N540" t="n">
        <v>0</v>
      </c>
      <c r="O540" t="n">
        <v>0</v>
      </c>
      <c r="P540" t="n">
        <v>0</v>
      </c>
      <c r="Q540" t="n">
        <v>0</v>
      </c>
      <c r="R540" s="2" t="inlineStr"/>
    </row>
    <row r="541" ht="15" customHeight="1">
      <c r="A541" t="inlineStr">
        <is>
          <t>A 23032-2025</t>
        </is>
      </c>
      <c r="B541" s="1" t="n">
        <v>45790.65756944445</v>
      </c>
      <c r="C541" s="1" t="n">
        <v>45969</v>
      </c>
      <c r="D541" t="inlineStr">
        <is>
          <t>NORRBOTTENS LÄN</t>
        </is>
      </c>
      <c r="E541" t="inlineStr">
        <is>
          <t>PITEÅ</t>
        </is>
      </c>
      <c r="G541" t="n">
        <v>1.3</v>
      </c>
      <c r="H541" t="n">
        <v>0</v>
      </c>
      <c r="I541" t="n">
        <v>0</v>
      </c>
      <c r="J541" t="n">
        <v>0</v>
      </c>
      <c r="K541" t="n">
        <v>0</v>
      </c>
      <c r="L541" t="n">
        <v>0</v>
      </c>
      <c r="M541" t="n">
        <v>0</v>
      </c>
      <c r="N541" t="n">
        <v>0</v>
      </c>
      <c r="O541" t="n">
        <v>0</v>
      </c>
      <c r="P541" t="n">
        <v>0</v>
      </c>
      <c r="Q541" t="n">
        <v>0</v>
      </c>
      <c r="R541" s="2" t="inlineStr"/>
    </row>
    <row r="542" ht="15" customHeight="1">
      <c r="A542" t="inlineStr">
        <is>
          <t>A 6963-2025</t>
        </is>
      </c>
      <c r="B542" s="1" t="n">
        <v>45701.4969212963</v>
      </c>
      <c r="C542" s="1" t="n">
        <v>45969</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15607-2024</t>
        </is>
      </c>
      <c r="B543" s="1" t="n">
        <v>45401.92539351852</v>
      </c>
      <c r="C543" s="1" t="n">
        <v>45969</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45969</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22956-2025</t>
        </is>
      </c>
      <c r="B545" s="1" t="n">
        <v>45789</v>
      </c>
      <c r="C545" s="1" t="n">
        <v>45969</v>
      </c>
      <c r="D545" t="inlineStr">
        <is>
          <t>NORRBOTTENS LÄN</t>
        </is>
      </c>
      <c r="E545" t="inlineStr">
        <is>
          <t>PITEÅ</t>
        </is>
      </c>
      <c r="G545" t="n">
        <v>3.2</v>
      </c>
      <c r="H545" t="n">
        <v>0</v>
      </c>
      <c r="I545" t="n">
        <v>0</v>
      </c>
      <c r="J545" t="n">
        <v>0</v>
      </c>
      <c r="K545" t="n">
        <v>0</v>
      </c>
      <c r="L545" t="n">
        <v>0</v>
      </c>
      <c r="M545" t="n">
        <v>0</v>
      </c>
      <c r="N545" t="n">
        <v>0</v>
      </c>
      <c r="O545" t="n">
        <v>0</v>
      </c>
      <c r="P545" t="n">
        <v>0</v>
      </c>
      <c r="Q545" t="n">
        <v>0</v>
      </c>
      <c r="R545" s="2" t="inlineStr"/>
    </row>
    <row r="546" ht="15" customHeight="1">
      <c r="A546" t="inlineStr">
        <is>
          <t>A 40785-2025</t>
        </is>
      </c>
      <c r="B546" s="1" t="n">
        <v>45897</v>
      </c>
      <c r="C546" s="1" t="n">
        <v>45969</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49757-2025</t>
        </is>
      </c>
      <c r="B547" s="1" t="n">
        <v>45940.34592592593</v>
      </c>
      <c r="C547" s="1" t="n">
        <v>45969</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20445-2025</t>
        </is>
      </c>
      <c r="B548" s="1" t="n">
        <v>45775</v>
      </c>
      <c r="C548" s="1" t="n">
        <v>45969</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22978-2025</t>
        </is>
      </c>
      <c r="B549" s="1" t="n">
        <v>45790</v>
      </c>
      <c r="C549" s="1" t="n">
        <v>45969</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34862-2024</t>
        </is>
      </c>
      <c r="B550" s="1" t="n">
        <v>45527.33951388889</v>
      </c>
      <c r="C550" s="1" t="n">
        <v>45969</v>
      </c>
      <c r="D550" t="inlineStr">
        <is>
          <t>NORRBOTTENS LÄN</t>
        </is>
      </c>
      <c r="E550" t="inlineStr">
        <is>
          <t>PITEÅ</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22990-2025</t>
        </is>
      </c>
      <c r="B551" s="1" t="n">
        <v>45790</v>
      </c>
      <c r="C551" s="1" t="n">
        <v>45969</v>
      </c>
      <c r="D551" t="inlineStr">
        <is>
          <t>NORRBOTTENS LÄN</t>
        </is>
      </c>
      <c r="E551" t="inlineStr">
        <is>
          <t>PITEÅ</t>
        </is>
      </c>
      <c r="G551" t="n">
        <v>4.4</v>
      </c>
      <c r="H551" t="n">
        <v>0</v>
      </c>
      <c r="I551" t="n">
        <v>0</v>
      </c>
      <c r="J551" t="n">
        <v>0</v>
      </c>
      <c r="K551" t="n">
        <v>0</v>
      </c>
      <c r="L551" t="n">
        <v>0</v>
      </c>
      <c r="M551" t="n">
        <v>0</v>
      </c>
      <c r="N551" t="n">
        <v>0</v>
      </c>
      <c r="O551" t="n">
        <v>0</v>
      </c>
      <c r="P551" t="n">
        <v>0</v>
      </c>
      <c r="Q551" t="n">
        <v>0</v>
      </c>
      <c r="R551" s="2" t="inlineStr"/>
    </row>
    <row r="552" ht="15" customHeight="1">
      <c r="A552" t="inlineStr">
        <is>
          <t>A 48431-2025</t>
        </is>
      </c>
      <c r="B552" s="1" t="n">
        <v>45934.88195601852</v>
      </c>
      <c r="C552" s="1" t="n">
        <v>45969</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34922-2024</t>
        </is>
      </c>
      <c r="B553" s="1" t="n">
        <v>45527</v>
      </c>
      <c r="C553" s="1" t="n">
        <v>45969</v>
      </c>
      <c r="D553" t="inlineStr">
        <is>
          <t>NORRBOTTENS LÄN</t>
        </is>
      </c>
      <c r="E553" t="inlineStr">
        <is>
          <t>PITEÅ</t>
        </is>
      </c>
      <c r="F553" t="inlineStr">
        <is>
          <t>Sveaskog</t>
        </is>
      </c>
      <c r="G553" t="n">
        <v>18.1</v>
      </c>
      <c r="H553" t="n">
        <v>0</v>
      </c>
      <c r="I553" t="n">
        <v>0</v>
      </c>
      <c r="J553" t="n">
        <v>0</v>
      </c>
      <c r="K553" t="n">
        <v>0</v>
      </c>
      <c r="L553" t="n">
        <v>0</v>
      </c>
      <c r="M553" t="n">
        <v>0</v>
      </c>
      <c r="N553" t="n">
        <v>0</v>
      </c>
      <c r="O553" t="n">
        <v>0</v>
      </c>
      <c r="P553" t="n">
        <v>0</v>
      </c>
      <c r="Q553" t="n">
        <v>0</v>
      </c>
      <c r="R553" s="2" t="inlineStr"/>
    </row>
    <row r="554" ht="15" customHeight="1">
      <c r="A554" t="inlineStr">
        <is>
          <t>A 34878-2023</t>
        </is>
      </c>
      <c r="B554" s="1" t="n">
        <v>45141</v>
      </c>
      <c r="C554" s="1" t="n">
        <v>45969</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45329-2024</t>
        </is>
      </c>
      <c r="B555" s="1" t="n">
        <v>45576.45633101852</v>
      </c>
      <c r="C555" s="1" t="n">
        <v>45969</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37030-2022</t>
        </is>
      </c>
      <c r="B556" s="1" t="n">
        <v>44806.43287037037</v>
      </c>
      <c r="C556" s="1" t="n">
        <v>45969</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45969</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23128-2025</t>
        </is>
      </c>
      <c r="B558" s="1" t="n">
        <v>45791</v>
      </c>
      <c r="C558" s="1" t="n">
        <v>45969</v>
      </c>
      <c r="D558" t="inlineStr">
        <is>
          <t>NORRBOTTENS LÄN</t>
        </is>
      </c>
      <c r="E558" t="inlineStr">
        <is>
          <t>PITEÅ</t>
        </is>
      </c>
      <c r="G558" t="n">
        <v>3.1</v>
      </c>
      <c r="H558" t="n">
        <v>0</v>
      </c>
      <c r="I558" t="n">
        <v>0</v>
      </c>
      <c r="J558" t="n">
        <v>0</v>
      </c>
      <c r="K558" t="n">
        <v>0</v>
      </c>
      <c r="L558" t="n">
        <v>0</v>
      </c>
      <c r="M558" t="n">
        <v>0</v>
      </c>
      <c r="N558" t="n">
        <v>0</v>
      </c>
      <c r="O558" t="n">
        <v>0</v>
      </c>
      <c r="P558" t="n">
        <v>0</v>
      </c>
      <c r="Q558" t="n">
        <v>0</v>
      </c>
      <c r="R558" s="2" t="inlineStr"/>
    </row>
    <row r="559" ht="15" customHeight="1">
      <c r="A559" t="inlineStr">
        <is>
          <t>A 49758-2025</t>
        </is>
      </c>
      <c r="B559" s="1" t="n">
        <v>45940.34598379629</v>
      </c>
      <c r="C559" s="1" t="n">
        <v>45969</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41002-2025</t>
        </is>
      </c>
      <c r="B560" s="1" t="n">
        <v>45898</v>
      </c>
      <c r="C560" s="1" t="n">
        <v>45969</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34615-2022</t>
        </is>
      </c>
      <c r="B561" s="1" t="n">
        <v>44795</v>
      </c>
      <c r="C561" s="1" t="n">
        <v>45969</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29303-2021</t>
        </is>
      </c>
      <c r="B562" s="1" t="n">
        <v>44361</v>
      </c>
      <c r="C562" s="1" t="n">
        <v>45969</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40915-2025</t>
        </is>
      </c>
      <c r="B563" s="1" t="n">
        <v>45897</v>
      </c>
      <c r="C563" s="1" t="n">
        <v>45969</v>
      </c>
      <c r="D563" t="inlineStr">
        <is>
          <t>NORRBOTTENS LÄN</t>
        </is>
      </c>
      <c r="E563" t="inlineStr">
        <is>
          <t>PITEÅ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40923-2025</t>
        </is>
      </c>
      <c r="B564" s="1" t="n">
        <v>45897.63584490741</v>
      </c>
      <c r="C564" s="1" t="n">
        <v>45969</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49768-2025</t>
        </is>
      </c>
      <c r="B565" s="1" t="n">
        <v>45940.36502314815</v>
      </c>
      <c r="C565" s="1" t="n">
        <v>45969</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41296-2025</t>
        </is>
      </c>
      <c r="B566" s="1" t="n">
        <v>45898.65670138889</v>
      </c>
      <c r="C566" s="1" t="n">
        <v>45969</v>
      </c>
      <c r="D566" t="inlineStr">
        <is>
          <t>NORRBOTTENS LÄN</t>
        </is>
      </c>
      <c r="E566" t="inlineStr">
        <is>
          <t>PITEÅ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23161-2025</t>
        </is>
      </c>
      <c r="B567" s="1" t="n">
        <v>45791.40768518519</v>
      </c>
      <c r="C567" s="1" t="n">
        <v>45969</v>
      </c>
      <c r="D567" t="inlineStr">
        <is>
          <t>NORRBOTTENS LÄN</t>
        </is>
      </c>
      <c r="E567" t="inlineStr">
        <is>
          <t>PITEÅ</t>
        </is>
      </c>
      <c r="G567" t="n">
        <v>16.7</v>
      </c>
      <c r="H567" t="n">
        <v>0</v>
      </c>
      <c r="I567" t="n">
        <v>0</v>
      </c>
      <c r="J567" t="n">
        <v>0</v>
      </c>
      <c r="K567" t="n">
        <v>0</v>
      </c>
      <c r="L567" t="n">
        <v>0</v>
      </c>
      <c r="M567" t="n">
        <v>0</v>
      </c>
      <c r="N567" t="n">
        <v>0</v>
      </c>
      <c r="O567" t="n">
        <v>0</v>
      </c>
      <c r="P567" t="n">
        <v>0</v>
      </c>
      <c r="Q567" t="n">
        <v>0</v>
      </c>
      <c r="R567" s="2" t="inlineStr"/>
    </row>
    <row r="568" ht="15" customHeight="1">
      <c r="A568" t="inlineStr">
        <is>
          <t>A 41703-2025</t>
        </is>
      </c>
      <c r="B568" s="1" t="n">
        <v>45902.4184375</v>
      </c>
      <c r="C568" s="1" t="n">
        <v>45969</v>
      </c>
      <c r="D568" t="inlineStr">
        <is>
          <t>NORRBOTTENS LÄN</t>
        </is>
      </c>
      <c r="E568" t="inlineStr">
        <is>
          <t>PITEÅ</t>
        </is>
      </c>
      <c r="G568" t="n">
        <v>3.2</v>
      </c>
      <c r="H568" t="n">
        <v>0</v>
      </c>
      <c r="I568" t="n">
        <v>0</v>
      </c>
      <c r="J568" t="n">
        <v>0</v>
      </c>
      <c r="K568" t="n">
        <v>0</v>
      </c>
      <c r="L568" t="n">
        <v>0</v>
      </c>
      <c r="M568" t="n">
        <v>0</v>
      </c>
      <c r="N568" t="n">
        <v>0</v>
      </c>
      <c r="O568" t="n">
        <v>0</v>
      </c>
      <c r="P568" t="n">
        <v>0</v>
      </c>
      <c r="Q568" t="n">
        <v>0</v>
      </c>
      <c r="R568" s="2" t="inlineStr"/>
    </row>
    <row r="569" ht="15" customHeight="1">
      <c r="A569" t="inlineStr">
        <is>
          <t>A 49984-2025</t>
        </is>
      </c>
      <c r="B569" s="1" t="n">
        <v>45942.71923611111</v>
      </c>
      <c r="C569" s="1" t="n">
        <v>45969</v>
      </c>
      <c r="D569" t="inlineStr">
        <is>
          <t>NORRBOTTENS LÄN</t>
        </is>
      </c>
      <c r="E569" t="inlineStr">
        <is>
          <t>PITEÅ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8331-2025</t>
        </is>
      </c>
      <c r="B570" s="1" t="n">
        <v>45708.64608796296</v>
      </c>
      <c r="C570" s="1" t="n">
        <v>45969</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41474-2025</t>
        </is>
      </c>
      <c r="B571" s="1" t="n">
        <v>45901.4696412037</v>
      </c>
      <c r="C571" s="1" t="n">
        <v>45969</v>
      </c>
      <c r="D571" t="inlineStr">
        <is>
          <t>NORRBOTTENS LÄN</t>
        </is>
      </c>
      <c r="E571" t="inlineStr">
        <is>
          <t>PITEÅ</t>
        </is>
      </c>
      <c r="G571" t="n">
        <v>3.5</v>
      </c>
      <c r="H571" t="n">
        <v>0</v>
      </c>
      <c r="I571" t="n">
        <v>0</v>
      </c>
      <c r="J571" t="n">
        <v>0</v>
      </c>
      <c r="K571" t="n">
        <v>0</v>
      </c>
      <c r="L571" t="n">
        <v>0</v>
      </c>
      <c r="M571" t="n">
        <v>0</v>
      </c>
      <c r="N571" t="n">
        <v>0</v>
      </c>
      <c r="O571" t="n">
        <v>0</v>
      </c>
      <c r="P571" t="n">
        <v>0</v>
      </c>
      <c r="Q571" t="n">
        <v>0</v>
      </c>
      <c r="R571" s="2" t="inlineStr"/>
    </row>
    <row r="572" ht="15" customHeight="1">
      <c r="A572" t="inlineStr">
        <is>
          <t>A 49974-2025</t>
        </is>
      </c>
      <c r="B572" s="1" t="n">
        <v>45942.49037037037</v>
      </c>
      <c r="C572" s="1" t="n">
        <v>45969</v>
      </c>
      <c r="D572" t="inlineStr">
        <is>
          <t>NORRBOTTENS LÄN</t>
        </is>
      </c>
      <c r="E572" t="inlineStr">
        <is>
          <t>PITEÅ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53752-2023</t>
        </is>
      </c>
      <c r="B573" s="1" t="n">
        <v>45230</v>
      </c>
      <c r="C573" s="1" t="n">
        <v>45969</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58034-2024</t>
        </is>
      </c>
      <c r="B574" s="1" t="n">
        <v>45631.71248842592</v>
      </c>
      <c r="C574" s="1" t="n">
        <v>45969</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4129-2024</t>
        </is>
      </c>
      <c r="B575" s="1" t="n">
        <v>45323</v>
      </c>
      <c r="C575" s="1" t="n">
        <v>45969</v>
      </c>
      <c r="D575" t="inlineStr">
        <is>
          <t>NORRBOTTENS LÄN</t>
        </is>
      </c>
      <c r="E575" t="inlineStr">
        <is>
          <t>PITEÅ</t>
        </is>
      </c>
      <c r="F575" t="inlineStr">
        <is>
          <t>Sveaskog</t>
        </is>
      </c>
      <c r="G575" t="n">
        <v>37.1</v>
      </c>
      <c r="H575" t="n">
        <v>0</v>
      </c>
      <c r="I575" t="n">
        <v>0</v>
      </c>
      <c r="J575" t="n">
        <v>0</v>
      </c>
      <c r="K575" t="n">
        <v>0</v>
      </c>
      <c r="L575" t="n">
        <v>0</v>
      </c>
      <c r="M575" t="n">
        <v>0</v>
      </c>
      <c r="N575" t="n">
        <v>0</v>
      </c>
      <c r="O575" t="n">
        <v>0</v>
      </c>
      <c r="P575" t="n">
        <v>0</v>
      </c>
      <c r="Q575" t="n">
        <v>0</v>
      </c>
      <c r="R575" s="2" t="inlineStr"/>
    </row>
    <row r="576" ht="15" customHeight="1">
      <c r="A576" t="inlineStr">
        <is>
          <t>A 33597-2024</t>
        </is>
      </c>
      <c r="B576" s="1" t="n">
        <v>45520</v>
      </c>
      <c r="C576" s="1" t="n">
        <v>45969</v>
      </c>
      <c r="D576" t="inlineStr">
        <is>
          <t>NORRBOTTENS LÄN</t>
        </is>
      </c>
      <c r="E576" t="inlineStr">
        <is>
          <t>PITEÅ</t>
        </is>
      </c>
      <c r="G576" t="n">
        <v>7</v>
      </c>
      <c r="H576" t="n">
        <v>0</v>
      </c>
      <c r="I576" t="n">
        <v>0</v>
      </c>
      <c r="J576" t="n">
        <v>0</v>
      </c>
      <c r="K576" t="n">
        <v>0</v>
      </c>
      <c r="L576" t="n">
        <v>0</v>
      </c>
      <c r="M576" t="n">
        <v>0</v>
      </c>
      <c r="N576" t="n">
        <v>0</v>
      </c>
      <c r="O576" t="n">
        <v>0</v>
      </c>
      <c r="P576" t="n">
        <v>0</v>
      </c>
      <c r="Q576" t="n">
        <v>0</v>
      </c>
      <c r="R576" s="2" t="inlineStr"/>
    </row>
    <row r="577" ht="15" customHeight="1">
      <c r="A577" t="inlineStr">
        <is>
          <t>A 51285-2023</t>
        </is>
      </c>
      <c r="B577" s="1" t="n">
        <v>45219</v>
      </c>
      <c r="C577" s="1" t="n">
        <v>45969</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49973-2025</t>
        </is>
      </c>
      <c r="B578" s="1" t="n">
        <v>45942.4903125</v>
      </c>
      <c r="C578" s="1" t="n">
        <v>45969</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24827-2024</t>
        </is>
      </c>
      <c r="B579" s="1" t="n">
        <v>45461.37427083333</v>
      </c>
      <c r="C579" s="1" t="n">
        <v>45969</v>
      </c>
      <c r="D579" t="inlineStr">
        <is>
          <t>NORRBOTTENS LÄN</t>
        </is>
      </c>
      <c r="E579" t="inlineStr">
        <is>
          <t>PITEÅ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24509-2024</t>
        </is>
      </c>
      <c r="B580" s="1" t="n">
        <v>45460</v>
      </c>
      <c r="C580" s="1" t="n">
        <v>45969</v>
      </c>
      <c r="D580" t="inlineStr">
        <is>
          <t>NORRBOTTENS LÄN</t>
        </is>
      </c>
      <c r="E580" t="inlineStr">
        <is>
          <t>PITEÅ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2550-2024</t>
        </is>
      </c>
      <c r="B581" s="1" t="n">
        <v>45313</v>
      </c>
      <c r="C581" s="1" t="n">
        <v>45969</v>
      </c>
      <c r="D581" t="inlineStr">
        <is>
          <t>NORRBOTTENS LÄN</t>
        </is>
      </c>
      <c r="E581" t="inlineStr">
        <is>
          <t>PITEÅ</t>
        </is>
      </c>
      <c r="G581" t="n">
        <v>6</v>
      </c>
      <c r="H581" t="n">
        <v>0</v>
      </c>
      <c r="I581" t="n">
        <v>0</v>
      </c>
      <c r="J581" t="n">
        <v>0</v>
      </c>
      <c r="K581" t="n">
        <v>0</v>
      </c>
      <c r="L581" t="n">
        <v>0</v>
      </c>
      <c r="M581" t="n">
        <v>0</v>
      </c>
      <c r="N581" t="n">
        <v>0</v>
      </c>
      <c r="O581" t="n">
        <v>0</v>
      </c>
      <c r="P581" t="n">
        <v>0</v>
      </c>
      <c r="Q581" t="n">
        <v>0</v>
      </c>
      <c r="R581" s="2" t="inlineStr"/>
    </row>
    <row r="582" ht="15" customHeight="1">
      <c r="A582" t="inlineStr">
        <is>
          <t>A 23949-2025</t>
        </is>
      </c>
      <c r="B582" s="1" t="n">
        <v>45796.3506712963</v>
      </c>
      <c r="C582" s="1" t="n">
        <v>45969</v>
      </c>
      <c r="D582" t="inlineStr">
        <is>
          <t>NORRBOTTENS LÄN</t>
        </is>
      </c>
      <c r="E582" t="inlineStr">
        <is>
          <t>PITEÅ</t>
        </is>
      </c>
      <c r="G582" t="n">
        <v>13.4</v>
      </c>
      <c r="H582" t="n">
        <v>0</v>
      </c>
      <c r="I582" t="n">
        <v>0</v>
      </c>
      <c r="J582" t="n">
        <v>0</v>
      </c>
      <c r="K582" t="n">
        <v>0</v>
      </c>
      <c r="L582" t="n">
        <v>0</v>
      </c>
      <c r="M582" t="n">
        <v>0</v>
      </c>
      <c r="N582" t="n">
        <v>0</v>
      </c>
      <c r="O582" t="n">
        <v>0</v>
      </c>
      <c r="P582" t="n">
        <v>0</v>
      </c>
      <c r="Q582" t="n">
        <v>0</v>
      </c>
      <c r="R582" s="2" t="inlineStr"/>
    </row>
    <row r="583" ht="15" customHeight="1">
      <c r="A583" t="inlineStr">
        <is>
          <t>A 71301-2021</t>
        </is>
      </c>
      <c r="B583" s="1" t="n">
        <v>44538</v>
      </c>
      <c r="C583" s="1" t="n">
        <v>45969</v>
      </c>
      <c r="D583" t="inlineStr">
        <is>
          <t>NORRBOTTENS LÄN</t>
        </is>
      </c>
      <c r="E583" t="inlineStr">
        <is>
          <t>PITEÅ</t>
        </is>
      </c>
      <c r="G583" t="n">
        <v>4.6</v>
      </c>
      <c r="H583" t="n">
        <v>0</v>
      </c>
      <c r="I583" t="n">
        <v>0</v>
      </c>
      <c r="J583" t="n">
        <v>0</v>
      </c>
      <c r="K583" t="n">
        <v>0</v>
      </c>
      <c r="L583" t="n">
        <v>0</v>
      </c>
      <c r="M583" t="n">
        <v>0</v>
      </c>
      <c r="N583" t="n">
        <v>0</v>
      </c>
      <c r="O583" t="n">
        <v>0</v>
      </c>
      <c r="P583" t="n">
        <v>0</v>
      </c>
      <c r="Q583" t="n">
        <v>0</v>
      </c>
      <c r="R583" s="2" t="inlineStr"/>
    </row>
    <row r="584" ht="15" customHeight="1">
      <c r="A584" t="inlineStr">
        <is>
          <t>A 57811-2024</t>
        </is>
      </c>
      <c r="B584" s="1" t="n">
        <v>45631</v>
      </c>
      <c r="C584" s="1" t="n">
        <v>45969</v>
      </c>
      <c r="D584" t="inlineStr">
        <is>
          <t>NORRBOTTENS LÄN</t>
        </is>
      </c>
      <c r="E584" t="inlineStr">
        <is>
          <t>PITEÅ</t>
        </is>
      </c>
      <c r="G584" t="n">
        <v>3.9</v>
      </c>
      <c r="H584" t="n">
        <v>0</v>
      </c>
      <c r="I584" t="n">
        <v>0</v>
      </c>
      <c r="J584" t="n">
        <v>0</v>
      </c>
      <c r="K584" t="n">
        <v>0</v>
      </c>
      <c r="L584" t="n">
        <v>0</v>
      </c>
      <c r="M584" t="n">
        <v>0</v>
      </c>
      <c r="N584" t="n">
        <v>0</v>
      </c>
      <c r="O584" t="n">
        <v>0</v>
      </c>
      <c r="P584" t="n">
        <v>0</v>
      </c>
      <c r="Q584" t="n">
        <v>0</v>
      </c>
      <c r="R584" s="2" t="inlineStr"/>
    </row>
    <row r="585" ht="15" customHeight="1">
      <c r="A585" t="inlineStr">
        <is>
          <t>A 15081-2021</t>
        </is>
      </c>
      <c r="B585" s="1" t="n">
        <v>44281</v>
      </c>
      <c r="C585" s="1" t="n">
        <v>45969</v>
      </c>
      <c r="D585" t="inlineStr">
        <is>
          <t>NORRBOTTENS LÄN</t>
        </is>
      </c>
      <c r="E585" t="inlineStr">
        <is>
          <t>PITEÅ</t>
        </is>
      </c>
      <c r="G585" t="n">
        <v>0.4</v>
      </c>
      <c r="H585" t="n">
        <v>0</v>
      </c>
      <c r="I585" t="n">
        <v>0</v>
      </c>
      <c r="J585" t="n">
        <v>0</v>
      </c>
      <c r="K585" t="n">
        <v>0</v>
      </c>
      <c r="L585" t="n">
        <v>0</v>
      </c>
      <c r="M585" t="n">
        <v>0</v>
      </c>
      <c r="N585" t="n">
        <v>0</v>
      </c>
      <c r="O585" t="n">
        <v>0</v>
      </c>
      <c r="P585" t="n">
        <v>0</v>
      </c>
      <c r="Q585" t="n">
        <v>0</v>
      </c>
      <c r="R585" s="2" t="inlineStr"/>
    </row>
    <row r="586" ht="15" customHeight="1">
      <c r="A586" t="inlineStr">
        <is>
          <t>A 18057-2024</t>
        </is>
      </c>
      <c r="B586" s="1" t="n">
        <v>45420</v>
      </c>
      <c r="C586" s="1" t="n">
        <v>45969</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41157-2024</t>
        </is>
      </c>
      <c r="B587" s="1" t="n">
        <v>45559.4780787037</v>
      </c>
      <c r="C587" s="1" t="n">
        <v>45969</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49520-2024</t>
        </is>
      </c>
      <c r="B588" s="1" t="n">
        <v>45596</v>
      </c>
      <c r="C588" s="1" t="n">
        <v>45969</v>
      </c>
      <c r="D588" t="inlineStr">
        <is>
          <t>NORRBOTTENS LÄN</t>
        </is>
      </c>
      <c r="E588" t="inlineStr">
        <is>
          <t>PITEÅ</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28718-2024</t>
        </is>
      </c>
      <c r="B589" s="1" t="n">
        <v>45478.54375</v>
      </c>
      <c r="C589" s="1" t="n">
        <v>45969</v>
      </c>
      <c r="D589" t="inlineStr">
        <is>
          <t>NORRBOTTENS LÄN</t>
        </is>
      </c>
      <c r="E589" t="inlineStr">
        <is>
          <t>PITEÅ</t>
        </is>
      </c>
      <c r="G589" t="n">
        <v>2</v>
      </c>
      <c r="H589" t="n">
        <v>0</v>
      </c>
      <c r="I589" t="n">
        <v>0</v>
      </c>
      <c r="J589" t="n">
        <v>0</v>
      </c>
      <c r="K589" t="n">
        <v>0</v>
      </c>
      <c r="L589" t="n">
        <v>0</v>
      </c>
      <c r="M589" t="n">
        <v>0</v>
      </c>
      <c r="N589" t="n">
        <v>0</v>
      </c>
      <c r="O589" t="n">
        <v>0</v>
      </c>
      <c r="P589" t="n">
        <v>0</v>
      </c>
      <c r="Q589" t="n">
        <v>0</v>
      </c>
      <c r="R589" s="2" t="inlineStr"/>
    </row>
    <row r="590" ht="15" customHeight="1">
      <c r="A590" t="inlineStr">
        <is>
          <t>A 48624-2023</t>
        </is>
      </c>
      <c r="B590" s="1" t="n">
        <v>45208</v>
      </c>
      <c r="C590" s="1" t="n">
        <v>45969</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24304-2025</t>
        </is>
      </c>
      <c r="B591" s="1" t="n">
        <v>45797.48927083334</v>
      </c>
      <c r="C591" s="1" t="n">
        <v>45969</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41671-2025</t>
        </is>
      </c>
      <c r="B592" s="1" t="n">
        <v>45902.36240740741</v>
      </c>
      <c r="C592" s="1" t="n">
        <v>45969</v>
      </c>
      <c r="D592" t="inlineStr">
        <is>
          <t>NORRBOTTENS LÄN</t>
        </is>
      </c>
      <c r="E592" t="inlineStr">
        <is>
          <t>PITEÅ</t>
        </is>
      </c>
      <c r="G592" t="n">
        <v>4.8</v>
      </c>
      <c r="H592" t="n">
        <v>0</v>
      </c>
      <c r="I592" t="n">
        <v>0</v>
      </c>
      <c r="J592" t="n">
        <v>0</v>
      </c>
      <c r="K592" t="n">
        <v>0</v>
      </c>
      <c r="L592" t="n">
        <v>0</v>
      </c>
      <c r="M592" t="n">
        <v>0</v>
      </c>
      <c r="N592" t="n">
        <v>0</v>
      </c>
      <c r="O592" t="n">
        <v>0</v>
      </c>
      <c r="P592" t="n">
        <v>0</v>
      </c>
      <c r="Q592" t="n">
        <v>0</v>
      </c>
      <c r="R592" s="2" t="inlineStr"/>
    </row>
    <row r="593" ht="15" customHeight="1">
      <c r="A593" t="inlineStr">
        <is>
          <t>A 5524-2024</t>
        </is>
      </c>
      <c r="B593" s="1" t="n">
        <v>45334.3878125</v>
      </c>
      <c r="C593" s="1" t="n">
        <v>45969</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41678-2025</t>
        </is>
      </c>
      <c r="B594" s="1" t="n">
        <v>45902.37390046296</v>
      </c>
      <c r="C594" s="1" t="n">
        <v>45969</v>
      </c>
      <c r="D594" t="inlineStr">
        <is>
          <t>NORRBOTTENS LÄN</t>
        </is>
      </c>
      <c r="E594" t="inlineStr">
        <is>
          <t>PITEÅ</t>
        </is>
      </c>
      <c r="G594" t="n">
        <v>3.9</v>
      </c>
      <c r="H594" t="n">
        <v>0</v>
      </c>
      <c r="I594" t="n">
        <v>0</v>
      </c>
      <c r="J594" t="n">
        <v>0</v>
      </c>
      <c r="K594" t="n">
        <v>0</v>
      </c>
      <c r="L594" t="n">
        <v>0</v>
      </c>
      <c r="M594" t="n">
        <v>0</v>
      </c>
      <c r="N594" t="n">
        <v>0</v>
      </c>
      <c r="O594" t="n">
        <v>0</v>
      </c>
      <c r="P594" t="n">
        <v>0</v>
      </c>
      <c r="Q594" t="n">
        <v>0</v>
      </c>
      <c r="R594" s="2" t="inlineStr"/>
    </row>
    <row r="595" ht="15" customHeight="1">
      <c r="A595" t="inlineStr">
        <is>
          <t>A 24302-2025</t>
        </is>
      </c>
      <c r="B595" s="1" t="n">
        <v>45797.48444444445</v>
      </c>
      <c r="C595" s="1" t="n">
        <v>45969</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43911-2023</t>
        </is>
      </c>
      <c r="B596" s="1" t="n">
        <v>45187.69538194445</v>
      </c>
      <c r="C596" s="1" t="n">
        <v>45969</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24288-2025</t>
        </is>
      </c>
      <c r="B597" s="1" t="n">
        <v>45797.46248842592</v>
      </c>
      <c r="C597" s="1" t="n">
        <v>45969</v>
      </c>
      <c r="D597" t="inlineStr">
        <is>
          <t>NORRBOTTENS LÄN</t>
        </is>
      </c>
      <c r="E597" t="inlineStr">
        <is>
          <t>PITEÅ</t>
        </is>
      </c>
      <c r="G597" t="n">
        <v>17.5</v>
      </c>
      <c r="H597" t="n">
        <v>0</v>
      </c>
      <c r="I597" t="n">
        <v>0</v>
      </c>
      <c r="J597" t="n">
        <v>0</v>
      </c>
      <c r="K597" t="n">
        <v>0</v>
      </c>
      <c r="L597" t="n">
        <v>0</v>
      </c>
      <c r="M597" t="n">
        <v>0</v>
      </c>
      <c r="N597" t="n">
        <v>0</v>
      </c>
      <c r="O597" t="n">
        <v>0</v>
      </c>
      <c r="P597" t="n">
        <v>0</v>
      </c>
      <c r="Q597" t="n">
        <v>0</v>
      </c>
      <c r="R597" s="2" t="inlineStr"/>
    </row>
    <row r="598" ht="15" customHeight="1">
      <c r="A598" t="inlineStr">
        <is>
          <t>A 37821-2023</t>
        </is>
      </c>
      <c r="B598" s="1" t="n">
        <v>45160.30193287037</v>
      </c>
      <c r="C598" s="1" t="n">
        <v>45969</v>
      </c>
      <c r="D598" t="inlineStr">
        <is>
          <t>NORRBOTTENS LÄN</t>
        </is>
      </c>
      <c r="E598" t="inlineStr">
        <is>
          <t>PITEÅ</t>
        </is>
      </c>
      <c r="F598" t="inlineStr">
        <is>
          <t>Sveaskog</t>
        </is>
      </c>
      <c r="G598" t="n">
        <v>15.7</v>
      </c>
      <c r="H598" t="n">
        <v>0</v>
      </c>
      <c r="I598" t="n">
        <v>0</v>
      </c>
      <c r="J598" t="n">
        <v>0</v>
      </c>
      <c r="K598" t="n">
        <v>0</v>
      </c>
      <c r="L598" t="n">
        <v>0</v>
      </c>
      <c r="M598" t="n">
        <v>0</v>
      </c>
      <c r="N598" t="n">
        <v>0</v>
      </c>
      <c r="O598" t="n">
        <v>0</v>
      </c>
      <c r="P598" t="n">
        <v>0</v>
      </c>
      <c r="Q598" t="n">
        <v>0</v>
      </c>
      <c r="R598" s="2" t="inlineStr"/>
    </row>
    <row r="599" ht="15" customHeight="1">
      <c r="A599" t="inlineStr">
        <is>
          <t>A 60739-2024</t>
        </is>
      </c>
      <c r="B599" s="1" t="n">
        <v>45644.54944444444</v>
      </c>
      <c r="C599" s="1" t="n">
        <v>45969</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53751-2023</t>
        </is>
      </c>
      <c r="B600" s="1" t="n">
        <v>45230</v>
      </c>
      <c r="C600" s="1" t="n">
        <v>45969</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4096-2024</t>
        </is>
      </c>
      <c r="B601" s="1" t="n">
        <v>45323</v>
      </c>
      <c r="C601" s="1" t="n">
        <v>45969</v>
      </c>
      <c r="D601" t="inlineStr">
        <is>
          <t>NORRBOTTENS LÄN</t>
        </is>
      </c>
      <c r="E601" t="inlineStr">
        <is>
          <t>PITEÅ</t>
        </is>
      </c>
      <c r="G601" t="n">
        <v>5</v>
      </c>
      <c r="H601" t="n">
        <v>0</v>
      </c>
      <c r="I601" t="n">
        <v>0</v>
      </c>
      <c r="J601" t="n">
        <v>0</v>
      </c>
      <c r="K601" t="n">
        <v>0</v>
      </c>
      <c r="L601" t="n">
        <v>0</v>
      </c>
      <c r="M601" t="n">
        <v>0</v>
      </c>
      <c r="N601" t="n">
        <v>0</v>
      </c>
      <c r="O601" t="n">
        <v>0</v>
      </c>
      <c r="P601" t="n">
        <v>0</v>
      </c>
      <c r="Q601" t="n">
        <v>0</v>
      </c>
      <c r="R601" s="2" t="inlineStr"/>
    </row>
    <row r="602" ht="15" customHeight="1">
      <c r="A602" t="inlineStr">
        <is>
          <t>A 50438-2024</t>
        </is>
      </c>
      <c r="B602" s="1" t="n">
        <v>45601.41054398148</v>
      </c>
      <c r="C602" s="1" t="n">
        <v>45969</v>
      </c>
      <c r="D602" t="inlineStr">
        <is>
          <t>NORRBOTTENS LÄN</t>
        </is>
      </c>
      <c r="E602" t="inlineStr">
        <is>
          <t>PITEÅ</t>
        </is>
      </c>
      <c r="G602" t="n">
        <v>38.7</v>
      </c>
      <c r="H602" t="n">
        <v>0</v>
      </c>
      <c r="I602" t="n">
        <v>0</v>
      </c>
      <c r="J602" t="n">
        <v>0</v>
      </c>
      <c r="K602" t="n">
        <v>0</v>
      </c>
      <c r="L602" t="n">
        <v>0</v>
      </c>
      <c r="M602" t="n">
        <v>0</v>
      </c>
      <c r="N602" t="n">
        <v>0</v>
      </c>
      <c r="O602" t="n">
        <v>0</v>
      </c>
      <c r="P602" t="n">
        <v>0</v>
      </c>
      <c r="Q602" t="n">
        <v>0</v>
      </c>
      <c r="R602" s="2" t="inlineStr"/>
    </row>
    <row r="603" ht="15" customHeight="1">
      <c r="A603" t="inlineStr">
        <is>
          <t>A 25955-2024</t>
        </is>
      </c>
      <c r="B603" s="1" t="n">
        <v>45467</v>
      </c>
      <c r="C603" s="1" t="n">
        <v>45969</v>
      </c>
      <c r="D603" t="inlineStr">
        <is>
          <t>NORRBOTTENS LÄN</t>
        </is>
      </c>
      <c r="E603" t="inlineStr">
        <is>
          <t>PITEÅ</t>
        </is>
      </c>
      <c r="F603" t="inlineStr">
        <is>
          <t>Kommuner</t>
        </is>
      </c>
      <c r="G603" t="n">
        <v>3.3</v>
      </c>
      <c r="H603" t="n">
        <v>0</v>
      </c>
      <c r="I603" t="n">
        <v>0</v>
      </c>
      <c r="J603" t="n">
        <v>0</v>
      </c>
      <c r="K603" t="n">
        <v>0</v>
      </c>
      <c r="L603" t="n">
        <v>0</v>
      </c>
      <c r="M603" t="n">
        <v>0</v>
      </c>
      <c r="N603" t="n">
        <v>0</v>
      </c>
      <c r="O603" t="n">
        <v>0</v>
      </c>
      <c r="P603" t="n">
        <v>0</v>
      </c>
      <c r="Q603" t="n">
        <v>0</v>
      </c>
      <c r="R603" s="2" t="inlineStr"/>
    </row>
    <row r="604" ht="15" customHeight="1">
      <c r="A604" t="inlineStr">
        <is>
          <t>A 24749-2025</t>
        </is>
      </c>
      <c r="B604" s="1" t="n">
        <v>45799.34695601852</v>
      </c>
      <c r="C604" s="1" t="n">
        <v>45969</v>
      </c>
      <c r="D604" t="inlineStr">
        <is>
          <t>NORRBOTTENS LÄN</t>
        </is>
      </c>
      <c r="E604" t="inlineStr">
        <is>
          <t>PITEÅ</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12573-2024</t>
        </is>
      </c>
      <c r="B605" s="1" t="n">
        <v>45379</v>
      </c>
      <c r="C605" s="1" t="n">
        <v>45969</v>
      </c>
      <c r="D605" t="inlineStr">
        <is>
          <t>NORRBOTTENS LÄN</t>
        </is>
      </c>
      <c r="E605" t="inlineStr">
        <is>
          <t>PITEÅ</t>
        </is>
      </c>
      <c r="G605" t="n">
        <v>2.6</v>
      </c>
      <c r="H605" t="n">
        <v>0</v>
      </c>
      <c r="I605" t="n">
        <v>0</v>
      </c>
      <c r="J605" t="n">
        <v>0</v>
      </c>
      <c r="K605" t="n">
        <v>0</v>
      </c>
      <c r="L605" t="n">
        <v>0</v>
      </c>
      <c r="M605" t="n">
        <v>0</v>
      </c>
      <c r="N605" t="n">
        <v>0</v>
      </c>
      <c r="O605" t="n">
        <v>0</v>
      </c>
      <c r="P605" t="n">
        <v>0</v>
      </c>
      <c r="Q605" t="n">
        <v>0</v>
      </c>
      <c r="R605" s="2" t="inlineStr"/>
    </row>
    <row r="606" ht="15" customHeight="1">
      <c r="A606" t="inlineStr">
        <is>
          <t>A 42223-2025</t>
        </is>
      </c>
      <c r="B606" s="1" t="n">
        <v>45904.53167824074</v>
      </c>
      <c r="C606" s="1" t="n">
        <v>45969</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42224-2025</t>
        </is>
      </c>
      <c r="B607" s="1" t="n">
        <v>45904</v>
      </c>
      <c r="C607" s="1" t="n">
        <v>45969</v>
      </c>
      <c r="D607" t="inlineStr">
        <is>
          <t>NORRBOTTENS LÄN</t>
        </is>
      </c>
      <c r="E607" t="inlineStr">
        <is>
          <t>PITEÅ</t>
        </is>
      </c>
      <c r="G607" t="n">
        <v>3.1</v>
      </c>
      <c r="H607" t="n">
        <v>0</v>
      </c>
      <c r="I607" t="n">
        <v>0</v>
      </c>
      <c r="J607" t="n">
        <v>0</v>
      </c>
      <c r="K607" t="n">
        <v>0</v>
      </c>
      <c r="L607" t="n">
        <v>0</v>
      </c>
      <c r="M607" t="n">
        <v>0</v>
      </c>
      <c r="N607" t="n">
        <v>0</v>
      </c>
      <c r="O607" t="n">
        <v>0</v>
      </c>
      <c r="P607" t="n">
        <v>0</v>
      </c>
      <c r="Q607" t="n">
        <v>0</v>
      </c>
      <c r="R607" s="2" t="inlineStr"/>
    </row>
    <row r="608" ht="15" customHeight="1">
      <c r="A608" t="inlineStr">
        <is>
          <t>A 20448-2023</t>
        </is>
      </c>
      <c r="B608" s="1" t="n">
        <v>45056.93006944445</v>
      </c>
      <c r="C608" s="1" t="n">
        <v>45969</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20449-2023</t>
        </is>
      </c>
      <c r="B609" s="1" t="n">
        <v>45056</v>
      </c>
      <c r="C609" s="1" t="n">
        <v>45969</v>
      </c>
      <c r="D609" t="inlineStr">
        <is>
          <t>NORRBOTTENS LÄN</t>
        </is>
      </c>
      <c r="E609" t="inlineStr">
        <is>
          <t>PITEÅ</t>
        </is>
      </c>
      <c r="G609" t="n">
        <v>8.6</v>
      </c>
      <c r="H609" t="n">
        <v>0</v>
      </c>
      <c r="I609" t="n">
        <v>0</v>
      </c>
      <c r="J609" t="n">
        <v>0</v>
      </c>
      <c r="K609" t="n">
        <v>0</v>
      </c>
      <c r="L609" t="n">
        <v>0</v>
      </c>
      <c r="M609" t="n">
        <v>0</v>
      </c>
      <c r="N609" t="n">
        <v>0</v>
      </c>
      <c r="O609" t="n">
        <v>0</v>
      </c>
      <c r="P609" t="n">
        <v>0</v>
      </c>
      <c r="Q609" t="n">
        <v>0</v>
      </c>
      <c r="R609" s="2" t="inlineStr"/>
    </row>
    <row r="610" ht="15" customHeight="1">
      <c r="A610" t="inlineStr">
        <is>
          <t>A 25429-2025</t>
        </is>
      </c>
      <c r="B610" s="1" t="n">
        <v>45800.71913194445</v>
      </c>
      <c r="C610" s="1" t="n">
        <v>45969</v>
      </c>
      <c r="D610" t="inlineStr">
        <is>
          <t>NORRBOTTENS LÄN</t>
        </is>
      </c>
      <c r="E610" t="inlineStr">
        <is>
          <t>PITEÅ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18771-2023</t>
        </is>
      </c>
      <c r="B611" s="1" t="n">
        <v>45043.94283564815</v>
      </c>
      <c r="C611" s="1" t="n">
        <v>45969</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51642-2024</t>
        </is>
      </c>
      <c r="B612" s="1" t="n">
        <v>45605.82144675926</v>
      </c>
      <c r="C612" s="1" t="n">
        <v>45969</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42244-2025</t>
        </is>
      </c>
      <c r="B613" s="1" t="n">
        <v>45904.57564814815</v>
      </c>
      <c r="C613" s="1" t="n">
        <v>45969</v>
      </c>
      <c r="D613" t="inlineStr">
        <is>
          <t>NORRBOTTENS LÄN</t>
        </is>
      </c>
      <c r="E613" t="inlineStr">
        <is>
          <t>PITEÅ</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42283-2025</t>
        </is>
      </c>
      <c r="B614" s="1" t="n">
        <v>45904.61912037037</v>
      </c>
      <c r="C614" s="1" t="n">
        <v>45969</v>
      </c>
      <c r="D614" t="inlineStr">
        <is>
          <t>NORRBOTTENS LÄN</t>
        </is>
      </c>
      <c r="E614" t="inlineStr">
        <is>
          <t>PITEÅ</t>
        </is>
      </c>
      <c r="G614" t="n">
        <v>11.5</v>
      </c>
      <c r="H614" t="n">
        <v>0</v>
      </c>
      <c r="I614" t="n">
        <v>0</v>
      </c>
      <c r="J614" t="n">
        <v>0</v>
      </c>
      <c r="K614" t="n">
        <v>0</v>
      </c>
      <c r="L614" t="n">
        <v>0</v>
      </c>
      <c r="M614" t="n">
        <v>0</v>
      </c>
      <c r="N614" t="n">
        <v>0</v>
      </c>
      <c r="O614" t="n">
        <v>0</v>
      </c>
      <c r="P614" t="n">
        <v>0</v>
      </c>
      <c r="Q614" t="n">
        <v>0</v>
      </c>
      <c r="R614" s="2" t="inlineStr"/>
    </row>
    <row r="615" ht="15" customHeight="1">
      <c r="A615" t="inlineStr">
        <is>
          <t>A 25934-2025</t>
        </is>
      </c>
      <c r="B615" s="1" t="n">
        <v>45804.59178240741</v>
      </c>
      <c r="C615" s="1" t="n">
        <v>45969</v>
      </c>
      <c r="D615" t="inlineStr">
        <is>
          <t>NORRBOTTENS LÄN</t>
        </is>
      </c>
      <c r="E615" t="inlineStr">
        <is>
          <t>PITEÅ</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37720-2025</t>
        </is>
      </c>
      <c r="B616" s="1" t="n">
        <v>45880</v>
      </c>
      <c r="C616" s="1" t="n">
        <v>45969</v>
      </c>
      <c r="D616" t="inlineStr">
        <is>
          <t>NORRBOTTENS LÄN</t>
        </is>
      </c>
      <c r="E616" t="inlineStr">
        <is>
          <t>PITEÅ</t>
        </is>
      </c>
      <c r="G616" t="n">
        <v>6.5</v>
      </c>
      <c r="H616" t="n">
        <v>0</v>
      </c>
      <c r="I616" t="n">
        <v>0</v>
      </c>
      <c r="J616" t="n">
        <v>0</v>
      </c>
      <c r="K616" t="n">
        <v>0</v>
      </c>
      <c r="L616" t="n">
        <v>0</v>
      </c>
      <c r="M616" t="n">
        <v>0</v>
      </c>
      <c r="N616" t="n">
        <v>0</v>
      </c>
      <c r="O616" t="n">
        <v>0</v>
      </c>
      <c r="P616" t="n">
        <v>0</v>
      </c>
      <c r="Q616" t="n">
        <v>0</v>
      </c>
      <c r="R616" s="2" t="inlineStr"/>
    </row>
    <row r="617" ht="15" customHeight="1">
      <c r="A617" t="inlineStr">
        <is>
          <t>A 47845-2023</t>
        </is>
      </c>
      <c r="B617" s="1" t="n">
        <v>45204.39530092593</v>
      </c>
      <c r="C617" s="1" t="n">
        <v>45969</v>
      </c>
      <c r="D617" t="inlineStr">
        <is>
          <t>NORRBOTTENS LÄN</t>
        </is>
      </c>
      <c r="E617" t="inlineStr">
        <is>
          <t>PITEÅ</t>
        </is>
      </c>
      <c r="F617" t="inlineStr">
        <is>
          <t>Sveaskog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7459-2024</t>
        </is>
      </c>
      <c r="B618" s="1" t="n">
        <v>45345</v>
      </c>
      <c r="C618" s="1" t="n">
        <v>45969</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42456-2025</t>
        </is>
      </c>
      <c r="B619" s="1" t="n">
        <v>45904</v>
      </c>
      <c r="C619" s="1" t="n">
        <v>45969</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24295-2025</t>
        </is>
      </c>
      <c r="B620" s="1" t="n">
        <v>45797.47197916666</v>
      </c>
      <c r="C620" s="1" t="n">
        <v>45969</v>
      </c>
      <c r="D620" t="inlineStr">
        <is>
          <t>NORRBOTTENS LÄN</t>
        </is>
      </c>
      <c r="E620" t="inlineStr">
        <is>
          <t>PITEÅ</t>
        </is>
      </c>
      <c r="G620" t="n">
        <v>6.9</v>
      </c>
      <c r="H620" t="n">
        <v>0</v>
      </c>
      <c r="I620" t="n">
        <v>0</v>
      </c>
      <c r="J620" t="n">
        <v>0</v>
      </c>
      <c r="K620" t="n">
        <v>0</v>
      </c>
      <c r="L620" t="n">
        <v>0</v>
      </c>
      <c r="M620" t="n">
        <v>0</v>
      </c>
      <c r="N620" t="n">
        <v>0</v>
      </c>
      <c r="O620" t="n">
        <v>0</v>
      </c>
      <c r="P620" t="n">
        <v>0</v>
      </c>
      <c r="Q620" t="n">
        <v>0</v>
      </c>
      <c r="R620" s="2" t="inlineStr"/>
    </row>
    <row r="621" ht="15" customHeight="1">
      <c r="A621" t="inlineStr">
        <is>
          <t>A 7504-2024</t>
        </is>
      </c>
      <c r="B621" s="1" t="n">
        <v>45347</v>
      </c>
      <c r="C621" s="1" t="n">
        <v>45969</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39510-2025</t>
        </is>
      </c>
      <c r="B622" s="1" t="n">
        <v>45890</v>
      </c>
      <c r="C622" s="1" t="n">
        <v>45969</v>
      </c>
      <c r="D622" t="inlineStr">
        <is>
          <t>NORRBOTTENS LÄN</t>
        </is>
      </c>
      <c r="E622" t="inlineStr">
        <is>
          <t>PITEÅ</t>
        </is>
      </c>
      <c r="G622" t="n">
        <v>19.7</v>
      </c>
      <c r="H622" t="n">
        <v>0</v>
      </c>
      <c r="I622" t="n">
        <v>0</v>
      </c>
      <c r="J622" t="n">
        <v>0</v>
      </c>
      <c r="K622" t="n">
        <v>0</v>
      </c>
      <c r="L622" t="n">
        <v>0</v>
      </c>
      <c r="M622" t="n">
        <v>0</v>
      </c>
      <c r="N622" t="n">
        <v>0</v>
      </c>
      <c r="O622" t="n">
        <v>0</v>
      </c>
      <c r="P622" t="n">
        <v>0</v>
      </c>
      <c r="Q622" t="n">
        <v>0</v>
      </c>
      <c r="R622" s="2" t="inlineStr"/>
    </row>
    <row r="623" ht="15" customHeight="1">
      <c r="A623" t="inlineStr">
        <is>
          <t>A 42293-2025</t>
        </is>
      </c>
      <c r="B623" s="1" t="n">
        <v>45904.63024305556</v>
      </c>
      <c r="C623" s="1" t="n">
        <v>45969</v>
      </c>
      <c r="D623" t="inlineStr">
        <is>
          <t>NORRBOTTENS LÄN</t>
        </is>
      </c>
      <c r="E623" t="inlineStr">
        <is>
          <t>PITEÅ</t>
        </is>
      </c>
      <c r="G623" t="n">
        <v>6.5</v>
      </c>
      <c r="H623" t="n">
        <v>0</v>
      </c>
      <c r="I623" t="n">
        <v>0</v>
      </c>
      <c r="J623" t="n">
        <v>0</v>
      </c>
      <c r="K623" t="n">
        <v>0</v>
      </c>
      <c r="L623" t="n">
        <v>0</v>
      </c>
      <c r="M623" t="n">
        <v>0</v>
      </c>
      <c r="N623" t="n">
        <v>0</v>
      </c>
      <c r="O623" t="n">
        <v>0</v>
      </c>
      <c r="P623" t="n">
        <v>0</v>
      </c>
      <c r="Q623" t="n">
        <v>0</v>
      </c>
      <c r="R623" s="2" t="inlineStr"/>
    </row>
    <row r="624" ht="15" customHeight="1">
      <c r="A624" t="inlineStr">
        <is>
          <t>A 25768-2025</t>
        </is>
      </c>
      <c r="B624" s="1" t="n">
        <v>45804.34453703704</v>
      </c>
      <c r="C624" s="1" t="n">
        <v>45969</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42222-2025</t>
        </is>
      </c>
      <c r="B625" s="1" t="n">
        <v>45904.53165509259</v>
      </c>
      <c r="C625" s="1" t="n">
        <v>45969</v>
      </c>
      <c r="D625" t="inlineStr">
        <is>
          <t>NORRBOTTENS LÄN</t>
        </is>
      </c>
      <c r="E625" t="inlineStr">
        <is>
          <t>PITEÅ</t>
        </is>
      </c>
      <c r="G625" t="n">
        <v>4</v>
      </c>
      <c r="H625" t="n">
        <v>0</v>
      </c>
      <c r="I625" t="n">
        <v>0</v>
      </c>
      <c r="J625" t="n">
        <v>0</v>
      </c>
      <c r="K625" t="n">
        <v>0</v>
      </c>
      <c r="L625" t="n">
        <v>0</v>
      </c>
      <c r="M625" t="n">
        <v>0</v>
      </c>
      <c r="N625" t="n">
        <v>0</v>
      </c>
      <c r="O625" t="n">
        <v>0</v>
      </c>
      <c r="P625" t="n">
        <v>0</v>
      </c>
      <c r="Q625" t="n">
        <v>0</v>
      </c>
      <c r="R625" s="2" t="inlineStr"/>
    </row>
    <row r="626" ht="15" customHeight="1">
      <c r="A626" t="inlineStr">
        <is>
          <t>A 42225-2025</t>
        </is>
      </c>
      <c r="B626" s="1" t="n">
        <v>45904.53173611111</v>
      </c>
      <c r="C626" s="1" t="n">
        <v>45969</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3870-2025</t>
        </is>
      </c>
      <c r="B627" s="1" t="n">
        <v>45684.3259837963</v>
      </c>
      <c r="C627" s="1" t="n">
        <v>45969</v>
      </c>
      <c r="D627" t="inlineStr">
        <is>
          <t>NORRBOTTENS LÄN</t>
        </is>
      </c>
      <c r="E627" t="inlineStr">
        <is>
          <t>PITEÅ</t>
        </is>
      </c>
      <c r="G627" t="n">
        <v>0.6</v>
      </c>
      <c r="H627" t="n">
        <v>0</v>
      </c>
      <c r="I627" t="n">
        <v>0</v>
      </c>
      <c r="J627" t="n">
        <v>0</v>
      </c>
      <c r="K627" t="n">
        <v>0</v>
      </c>
      <c r="L627" t="n">
        <v>0</v>
      </c>
      <c r="M627" t="n">
        <v>0</v>
      </c>
      <c r="N627" t="n">
        <v>0</v>
      </c>
      <c r="O627" t="n">
        <v>0</v>
      </c>
      <c r="P627" t="n">
        <v>0</v>
      </c>
      <c r="Q627" t="n">
        <v>0</v>
      </c>
      <c r="R627" s="2" t="inlineStr"/>
    </row>
    <row r="628" ht="15" customHeight="1">
      <c r="A628" t="inlineStr">
        <is>
          <t>A 3887-2025</t>
        </is>
      </c>
      <c r="B628" s="1" t="n">
        <v>45684.36634259259</v>
      </c>
      <c r="C628" s="1" t="n">
        <v>45969</v>
      </c>
      <c r="D628" t="inlineStr">
        <is>
          <t>NORRBOTTENS LÄN</t>
        </is>
      </c>
      <c r="E628" t="inlineStr">
        <is>
          <t>PITEÅ</t>
        </is>
      </c>
      <c r="G628" t="n">
        <v>4.1</v>
      </c>
      <c r="H628" t="n">
        <v>0</v>
      </c>
      <c r="I628" t="n">
        <v>0</v>
      </c>
      <c r="J628" t="n">
        <v>0</v>
      </c>
      <c r="K628" t="n">
        <v>0</v>
      </c>
      <c r="L628" t="n">
        <v>0</v>
      </c>
      <c r="M628" t="n">
        <v>0</v>
      </c>
      <c r="N628" t="n">
        <v>0</v>
      </c>
      <c r="O628" t="n">
        <v>0</v>
      </c>
      <c r="P628" t="n">
        <v>0</v>
      </c>
      <c r="Q628" t="n">
        <v>0</v>
      </c>
      <c r="R628" s="2" t="inlineStr"/>
    </row>
    <row r="629" ht="15" customHeight="1">
      <c r="A629" t="inlineStr">
        <is>
          <t>A 2768-2025</t>
        </is>
      </c>
      <c r="B629" s="1" t="n">
        <v>45677.49145833333</v>
      </c>
      <c r="C629" s="1" t="n">
        <v>45969</v>
      </c>
      <c r="D629" t="inlineStr">
        <is>
          <t>NORRBOTTENS LÄN</t>
        </is>
      </c>
      <c r="E629" t="inlineStr">
        <is>
          <t>PITEÅ</t>
        </is>
      </c>
      <c r="G629" t="n">
        <v>9.5</v>
      </c>
      <c r="H629" t="n">
        <v>0</v>
      </c>
      <c r="I629" t="n">
        <v>0</v>
      </c>
      <c r="J629" t="n">
        <v>0</v>
      </c>
      <c r="K629" t="n">
        <v>0</v>
      </c>
      <c r="L629" t="n">
        <v>0</v>
      </c>
      <c r="M629" t="n">
        <v>0</v>
      </c>
      <c r="N629" t="n">
        <v>0</v>
      </c>
      <c r="O629" t="n">
        <v>0</v>
      </c>
      <c r="P629" t="n">
        <v>0</v>
      </c>
      <c r="Q629" t="n">
        <v>0</v>
      </c>
      <c r="R629" s="2" t="inlineStr"/>
    </row>
    <row r="630" ht="15" customHeight="1">
      <c r="A630" t="inlineStr">
        <is>
          <t>A 50448-2025</t>
        </is>
      </c>
      <c r="B630" s="1" t="n">
        <v>45945.29070601852</v>
      </c>
      <c r="C630" s="1" t="n">
        <v>45969</v>
      </c>
      <c r="D630" t="inlineStr">
        <is>
          <t>NORRBOTTENS LÄN</t>
        </is>
      </c>
      <c r="E630" t="inlineStr">
        <is>
          <t>PITEÅ</t>
        </is>
      </c>
      <c r="F630" t="inlineStr">
        <is>
          <t>Sveaskog</t>
        </is>
      </c>
      <c r="G630" t="n">
        <v>24.2</v>
      </c>
      <c r="H630" t="n">
        <v>0</v>
      </c>
      <c r="I630" t="n">
        <v>0</v>
      </c>
      <c r="J630" t="n">
        <v>0</v>
      </c>
      <c r="K630" t="n">
        <v>0</v>
      </c>
      <c r="L630" t="n">
        <v>0</v>
      </c>
      <c r="M630" t="n">
        <v>0</v>
      </c>
      <c r="N630" t="n">
        <v>0</v>
      </c>
      <c r="O630" t="n">
        <v>0</v>
      </c>
      <c r="P630" t="n">
        <v>0</v>
      </c>
      <c r="Q630" t="n">
        <v>0</v>
      </c>
      <c r="R630" s="2" t="inlineStr"/>
    </row>
    <row r="631" ht="15" customHeight="1">
      <c r="A631" t="inlineStr">
        <is>
          <t>A 42067-2025</t>
        </is>
      </c>
      <c r="B631" s="1" t="n">
        <v>45903.65680555555</v>
      </c>
      <c r="C631" s="1" t="n">
        <v>45969</v>
      </c>
      <c r="D631" t="inlineStr">
        <is>
          <t>NORRBOTTENS LÄN</t>
        </is>
      </c>
      <c r="E631" t="inlineStr">
        <is>
          <t>PITEÅ</t>
        </is>
      </c>
      <c r="G631" t="n">
        <v>3.4</v>
      </c>
      <c r="H631" t="n">
        <v>0</v>
      </c>
      <c r="I631" t="n">
        <v>0</v>
      </c>
      <c r="J631" t="n">
        <v>0</v>
      </c>
      <c r="K631" t="n">
        <v>0</v>
      </c>
      <c r="L631" t="n">
        <v>0</v>
      </c>
      <c r="M631" t="n">
        <v>0</v>
      </c>
      <c r="N631" t="n">
        <v>0</v>
      </c>
      <c r="O631" t="n">
        <v>0</v>
      </c>
      <c r="P631" t="n">
        <v>0</v>
      </c>
      <c r="Q631" t="n">
        <v>0</v>
      </c>
      <c r="R631" s="2" t="inlineStr"/>
    </row>
    <row r="632" ht="15" customHeight="1">
      <c r="A632" t="inlineStr">
        <is>
          <t>A 39782-2024</t>
        </is>
      </c>
      <c r="B632" s="1" t="n">
        <v>45553</v>
      </c>
      <c r="C632" s="1" t="n">
        <v>45969</v>
      </c>
      <c r="D632" t="inlineStr">
        <is>
          <t>NORRBOTTENS LÄN</t>
        </is>
      </c>
      <c r="E632" t="inlineStr">
        <is>
          <t>PITEÅ</t>
        </is>
      </c>
      <c r="G632" t="n">
        <v>1.9</v>
      </c>
      <c r="H632" t="n">
        <v>0</v>
      </c>
      <c r="I632" t="n">
        <v>0</v>
      </c>
      <c r="J632" t="n">
        <v>0</v>
      </c>
      <c r="K632" t="n">
        <v>0</v>
      </c>
      <c r="L632" t="n">
        <v>0</v>
      </c>
      <c r="M632" t="n">
        <v>0</v>
      </c>
      <c r="N632" t="n">
        <v>0</v>
      </c>
      <c r="O632" t="n">
        <v>0</v>
      </c>
      <c r="P632" t="n">
        <v>0</v>
      </c>
      <c r="Q632" t="n">
        <v>0</v>
      </c>
      <c r="R632" s="2" t="inlineStr"/>
    </row>
    <row r="633" ht="15" customHeight="1">
      <c r="A633" t="inlineStr">
        <is>
          <t>A 3649-2025</t>
        </is>
      </c>
      <c r="B633" s="1" t="n">
        <v>45681</v>
      </c>
      <c r="C633" s="1" t="n">
        <v>45969</v>
      </c>
      <c r="D633" t="inlineStr">
        <is>
          <t>NORRBOTTENS LÄN</t>
        </is>
      </c>
      <c r="E633" t="inlineStr">
        <is>
          <t>PITEÅ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50475-2025</t>
        </is>
      </c>
      <c r="B634" s="1" t="n">
        <v>45945.3653125</v>
      </c>
      <c r="C634" s="1" t="n">
        <v>45969</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42221-2025</t>
        </is>
      </c>
      <c r="B635" s="1" t="n">
        <v>45904.53163194445</v>
      </c>
      <c r="C635" s="1" t="n">
        <v>45969</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50476-2025</t>
        </is>
      </c>
      <c r="B636" s="1" t="n">
        <v>45945.36537037037</v>
      </c>
      <c r="C636" s="1" t="n">
        <v>45969</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50489-2025</t>
        </is>
      </c>
      <c r="B637" s="1" t="n">
        <v>45945.39273148148</v>
      </c>
      <c r="C637" s="1" t="n">
        <v>45969</v>
      </c>
      <c r="D637" t="inlineStr">
        <is>
          <t>NORRBOTTENS LÄN</t>
        </is>
      </c>
      <c r="E637" t="inlineStr">
        <is>
          <t>PITEÅ</t>
        </is>
      </c>
      <c r="G637" t="n">
        <v>4.7</v>
      </c>
      <c r="H637" t="n">
        <v>0</v>
      </c>
      <c r="I637" t="n">
        <v>0</v>
      </c>
      <c r="J637" t="n">
        <v>0</v>
      </c>
      <c r="K637" t="n">
        <v>0</v>
      </c>
      <c r="L637" t="n">
        <v>0</v>
      </c>
      <c r="M637" t="n">
        <v>0</v>
      </c>
      <c r="N637" t="n">
        <v>0</v>
      </c>
      <c r="O637" t="n">
        <v>0</v>
      </c>
      <c r="P637" t="n">
        <v>0</v>
      </c>
      <c r="Q637" t="n">
        <v>0</v>
      </c>
      <c r="R637" s="2" t="inlineStr"/>
    </row>
    <row r="638" ht="15" customHeight="1">
      <c r="A638" t="inlineStr">
        <is>
          <t>A 50924-2025</t>
        </is>
      </c>
      <c r="B638" s="1" t="n">
        <v>45946.67771990741</v>
      </c>
      <c r="C638" s="1" t="n">
        <v>45969</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50486-2025</t>
        </is>
      </c>
      <c r="B639" s="1" t="n">
        <v>45945.3859375</v>
      </c>
      <c r="C639" s="1" t="n">
        <v>45969</v>
      </c>
      <c r="D639" t="inlineStr">
        <is>
          <t>NORRBOTTENS LÄN</t>
        </is>
      </c>
      <c r="E639" t="inlineStr">
        <is>
          <t>PITEÅ</t>
        </is>
      </c>
      <c r="G639" t="n">
        <v>4.2</v>
      </c>
      <c r="H639" t="n">
        <v>0</v>
      </c>
      <c r="I639" t="n">
        <v>0</v>
      </c>
      <c r="J639" t="n">
        <v>0</v>
      </c>
      <c r="K639" t="n">
        <v>0</v>
      </c>
      <c r="L639" t="n">
        <v>0</v>
      </c>
      <c r="M639" t="n">
        <v>0</v>
      </c>
      <c r="N639" t="n">
        <v>0</v>
      </c>
      <c r="O639" t="n">
        <v>0</v>
      </c>
      <c r="P639" t="n">
        <v>0</v>
      </c>
      <c r="Q639" t="n">
        <v>0</v>
      </c>
      <c r="R639" s="2" t="inlineStr"/>
    </row>
    <row r="640" ht="15" customHeight="1">
      <c r="A640" t="inlineStr">
        <is>
          <t>A 20632-2025</t>
        </is>
      </c>
      <c r="B640" s="1" t="n">
        <v>45776</v>
      </c>
      <c r="C640" s="1" t="n">
        <v>45969</v>
      </c>
      <c r="D640" t="inlineStr">
        <is>
          <t>NORRBOTTENS LÄN</t>
        </is>
      </c>
      <c r="E640" t="inlineStr">
        <is>
          <t>PITEÅ</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42253-2025</t>
        </is>
      </c>
      <c r="B641" s="1" t="n">
        <v>45904.58739583333</v>
      </c>
      <c r="C641" s="1" t="n">
        <v>45969</v>
      </c>
      <c r="D641" t="inlineStr">
        <is>
          <t>NORRBOTTENS LÄN</t>
        </is>
      </c>
      <c r="E641" t="inlineStr">
        <is>
          <t>PITEÅ</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15199-2022</t>
        </is>
      </c>
      <c r="B642" s="1" t="n">
        <v>44658</v>
      </c>
      <c r="C642" s="1" t="n">
        <v>45969</v>
      </c>
      <c r="D642" t="inlineStr">
        <is>
          <t>NORRBOTTENS LÄN</t>
        </is>
      </c>
      <c r="E642" t="inlineStr">
        <is>
          <t>PITEÅ</t>
        </is>
      </c>
      <c r="G642" t="n">
        <v>3.5</v>
      </c>
      <c r="H642" t="n">
        <v>0</v>
      </c>
      <c r="I642" t="n">
        <v>0</v>
      </c>
      <c r="J642" t="n">
        <v>0</v>
      </c>
      <c r="K642" t="n">
        <v>0</v>
      </c>
      <c r="L642" t="n">
        <v>0</v>
      </c>
      <c r="M642" t="n">
        <v>0</v>
      </c>
      <c r="N642" t="n">
        <v>0</v>
      </c>
      <c r="O642" t="n">
        <v>0</v>
      </c>
      <c r="P642" t="n">
        <v>0</v>
      </c>
      <c r="Q642" t="n">
        <v>0</v>
      </c>
      <c r="R642" s="2" t="inlineStr"/>
    </row>
    <row r="643" ht="15" customHeight="1">
      <c r="A643" t="inlineStr">
        <is>
          <t>A 69537-2021</t>
        </is>
      </c>
      <c r="B643" s="1" t="n">
        <v>44531.92215277778</v>
      </c>
      <c r="C643" s="1" t="n">
        <v>45969</v>
      </c>
      <c r="D643" t="inlineStr">
        <is>
          <t>NORRBOTTENS LÄN</t>
        </is>
      </c>
      <c r="E643" t="inlineStr">
        <is>
          <t>PITEÅ</t>
        </is>
      </c>
      <c r="G643" t="n">
        <v>4.9</v>
      </c>
      <c r="H643" t="n">
        <v>0</v>
      </c>
      <c r="I643" t="n">
        <v>0</v>
      </c>
      <c r="J643" t="n">
        <v>0</v>
      </c>
      <c r="K643" t="n">
        <v>0</v>
      </c>
      <c r="L643" t="n">
        <v>0</v>
      </c>
      <c r="M643" t="n">
        <v>0</v>
      </c>
      <c r="N643" t="n">
        <v>0</v>
      </c>
      <c r="O643" t="n">
        <v>0</v>
      </c>
      <c r="P643" t="n">
        <v>0</v>
      </c>
      <c r="Q643" t="n">
        <v>0</v>
      </c>
      <c r="R643" s="2" t="inlineStr"/>
    </row>
    <row r="644" ht="15" customHeight="1">
      <c r="A644" t="inlineStr">
        <is>
          <t>A 26482-2025</t>
        </is>
      </c>
      <c r="B644" s="1" t="n">
        <v>45807.4705787037</v>
      </c>
      <c r="C644" s="1" t="n">
        <v>45969</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42676-2025</t>
        </is>
      </c>
      <c r="B645" s="1" t="n">
        <v>45908.32333333333</v>
      </c>
      <c r="C645" s="1" t="n">
        <v>45969</v>
      </c>
      <c r="D645" t="inlineStr">
        <is>
          <t>NORRBOTTENS LÄN</t>
        </is>
      </c>
      <c r="E645" t="inlineStr">
        <is>
          <t>PITEÅ</t>
        </is>
      </c>
      <c r="F645" t="inlineStr">
        <is>
          <t>Sveaskog</t>
        </is>
      </c>
      <c r="G645" t="n">
        <v>17.9</v>
      </c>
      <c r="H645" t="n">
        <v>0</v>
      </c>
      <c r="I645" t="n">
        <v>0</v>
      </c>
      <c r="J645" t="n">
        <v>0</v>
      </c>
      <c r="K645" t="n">
        <v>0</v>
      </c>
      <c r="L645" t="n">
        <v>0</v>
      </c>
      <c r="M645" t="n">
        <v>0</v>
      </c>
      <c r="N645" t="n">
        <v>0</v>
      </c>
      <c r="O645" t="n">
        <v>0</v>
      </c>
      <c r="P645" t="n">
        <v>0</v>
      </c>
      <c r="Q645" t="n">
        <v>0</v>
      </c>
      <c r="R645" s="2" t="inlineStr"/>
    </row>
    <row r="646" ht="15" customHeight="1">
      <c r="A646" t="inlineStr">
        <is>
          <t>A 51322-2025</t>
        </is>
      </c>
      <c r="B646" s="1" t="n">
        <v>45950.38770833334</v>
      </c>
      <c r="C646" s="1" t="n">
        <v>45969</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51264-2025</t>
        </is>
      </c>
      <c r="B647" s="1" t="n">
        <v>45949.69255787037</v>
      </c>
      <c r="C647" s="1" t="n">
        <v>45969</v>
      </c>
      <c r="D647" t="inlineStr">
        <is>
          <t>NORRBOTTENS LÄN</t>
        </is>
      </c>
      <c r="E647" t="inlineStr">
        <is>
          <t>PITEÅ</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51375-2025</t>
        </is>
      </c>
      <c r="B648" s="1" t="n">
        <v>45950.45288194445</v>
      </c>
      <c r="C648" s="1" t="n">
        <v>45969</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13387-2025</t>
        </is>
      </c>
      <c r="B649" s="1" t="n">
        <v>45735</v>
      </c>
      <c r="C649" s="1" t="n">
        <v>45969</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42555-2025</t>
        </is>
      </c>
      <c r="B650" s="1" t="n">
        <v>45905.59465277778</v>
      </c>
      <c r="C650" s="1" t="n">
        <v>45969</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42556-2025</t>
        </is>
      </c>
      <c r="B651" s="1" t="n">
        <v>45905.59467592592</v>
      </c>
      <c r="C651" s="1" t="n">
        <v>45969</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42685-2025</t>
        </is>
      </c>
      <c r="B652" s="1" t="n">
        <v>45908.35325231482</v>
      </c>
      <c r="C652" s="1" t="n">
        <v>45969</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27689-2023</t>
        </is>
      </c>
      <c r="B653" s="1" t="n">
        <v>45097.93810185185</v>
      </c>
      <c r="C653" s="1" t="n">
        <v>45969</v>
      </c>
      <c r="D653" t="inlineStr">
        <is>
          <t>NORRBOTTENS LÄN</t>
        </is>
      </c>
      <c r="E653" t="inlineStr">
        <is>
          <t>PITEÅ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46944-2024</t>
        </is>
      </c>
      <c r="B654" s="1" t="n">
        <v>45585.7653587963</v>
      </c>
      <c r="C654" s="1" t="n">
        <v>45969</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18267-2022</t>
        </is>
      </c>
      <c r="B655" s="1" t="n">
        <v>44685</v>
      </c>
      <c r="C655" s="1" t="n">
        <v>45969</v>
      </c>
      <c r="D655" t="inlineStr">
        <is>
          <t>NORRBOTTENS LÄN</t>
        </is>
      </c>
      <c r="E655" t="inlineStr">
        <is>
          <t>PITEÅ</t>
        </is>
      </c>
      <c r="G655" t="n">
        <v>2.9</v>
      </c>
      <c r="H655" t="n">
        <v>0</v>
      </c>
      <c r="I655" t="n">
        <v>0</v>
      </c>
      <c r="J655" t="n">
        <v>0</v>
      </c>
      <c r="K655" t="n">
        <v>0</v>
      </c>
      <c r="L655" t="n">
        <v>0</v>
      </c>
      <c r="M655" t="n">
        <v>0</v>
      </c>
      <c r="N655" t="n">
        <v>0</v>
      </c>
      <c r="O655" t="n">
        <v>0</v>
      </c>
      <c r="P655" t="n">
        <v>0</v>
      </c>
      <c r="Q655" t="n">
        <v>0</v>
      </c>
      <c r="R655" s="2" t="inlineStr"/>
    </row>
    <row r="656" ht="15" customHeight="1">
      <c r="A656" t="inlineStr">
        <is>
          <t>A 43147-2025</t>
        </is>
      </c>
      <c r="B656" s="1" t="n">
        <v>45910.31901620371</v>
      </c>
      <c r="C656" s="1" t="n">
        <v>45969</v>
      </c>
      <c r="D656" t="inlineStr">
        <is>
          <t>NORRBOTTENS LÄN</t>
        </is>
      </c>
      <c r="E656" t="inlineStr">
        <is>
          <t>PITEÅ</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25989-2023</t>
        </is>
      </c>
      <c r="B657" s="1" t="n">
        <v>45090.92510416666</v>
      </c>
      <c r="C657" s="1" t="n">
        <v>45969</v>
      </c>
      <c r="D657" t="inlineStr">
        <is>
          <t>NORRBOTTENS LÄN</t>
        </is>
      </c>
      <c r="E657" t="inlineStr">
        <is>
          <t>PITEÅ</t>
        </is>
      </c>
      <c r="G657" t="n">
        <v>2.3</v>
      </c>
      <c r="H657" t="n">
        <v>0</v>
      </c>
      <c r="I657" t="n">
        <v>0</v>
      </c>
      <c r="J657" t="n">
        <v>0</v>
      </c>
      <c r="K657" t="n">
        <v>0</v>
      </c>
      <c r="L657" t="n">
        <v>0</v>
      </c>
      <c r="M657" t="n">
        <v>0</v>
      </c>
      <c r="N657" t="n">
        <v>0</v>
      </c>
      <c r="O657" t="n">
        <v>0</v>
      </c>
      <c r="P657" t="n">
        <v>0</v>
      </c>
      <c r="Q657" t="n">
        <v>0</v>
      </c>
      <c r="R657" s="2" t="inlineStr"/>
    </row>
    <row r="658" ht="15" customHeight="1">
      <c r="A658" t="inlineStr">
        <is>
          <t>A 51571-2025</t>
        </is>
      </c>
      <c r="B658" s="1" t="n">
        <v>45951.33339120371</v>
      </c>
      <c r="C658" s="1" t="n">
        <v>45969</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4673-2025</t>
        </is>
      </c>
      <c r="B659" s="1" t="n">
        <v>45687</v>
      </c>
      <c r="C659" s="1" t="n">
        <v>45969</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4675-2025</t>
        </is>
      </c>
      <c r="B660" s="1" t="n">
        <v>45687.82303240741</v>
      </c>
      <c r="C660" s="1" t="n">
        <v>45969</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50329-2024</t>
        </is>
      </c>
      <c r="B661" s="1" t="n">
        <v>45600.69767361111</v>
      </c>
      <c r="C661" s="1" t="n">
        <v>45969</v>
      </c>
      <c r="D661" t="inlineStr">
        <is>
          <t>NORRBOTTENS LÄN</t>
        </is>
      </c>
      <c r="E661" t="inlineStr">
        <is>
          <t>PITEÅ</t>
        </is>
      </c>
      <c r="F661" t="inlineStr">
        <is>
          <t>Sveaskog</t>
        </is>
      </c>
      <c r="G661" t="n">
        <v>9</v>
      </c>
      <c r="H661" t="n">
        <v>0</v>
      </c>
      <c r="I661" t="n">
        <v>0</v>
      </c>
      <c r="J661" t="n">
        <v>0</v>
      </c>
      <c r="K661" t="n">
        <v>0</v>
      </c>
      <c r="L661" t="n">
        <v>0</v>
      </c>
      <c r="M661" t="n">
        <v>0</v>
      </c>
      <c r="N661" t="n">
        <v>0</v>
      </c>
      <c r="O661" t="n">
        <v>0</v>
      </c>
      <c r="P661" t="n">
        <v>0</v>
      </c>
      <c r="Q661" t="n">
        <v>0</v>
      </c>
      <c r="R661" s="2" t="inlineStr"/>
    </row>
    <row r="662" ht="15" customHeight="1">
      <c r="A662" t="inlineStr">
        <is>
          <t>A 43049-2025</t>
        </is>
      </c>
      <c r="B662" s="1" t="n">
        <v>45909.56523148148</v>
      </c>
      <c r="C662" s="1" t="n">
        <v>45969</v>
      </c>
      <c r="D662" t="inlineStr">
        <is>
          <t>NORRBOTTENS LÄN</t>
        </is>
      </c>
      <c r="E662" t="inlineStr">
        <is>
          <t>PITEÅ</t>
        </is>
      </c>
      <c r="G662" t="n">
        <v>5.1</v>
      </c>
      <c r="H662" t="n">
        <v>0</v>
      </c>
      <c r="I662" t="n">
        <v>0</v>
      </c>
      <c r="J662" t="n">
        <v>0</v>
      </c>
      <c r="K662" t="n">
        <v>0</v>
      </c>
      <c r="L662" t="n">
        <v>0</v>
      </c>
      <c r="M662" t="n">
        <v>0</v>
      </c>
      <c r="N662" t="n">
        <v>0</v>
      </c>
      <c r="O662" t="n">
        <v>0</v>
      </c>
      <c r="P662" t="n">
        <v>0</v>
      </c>
      <c r="Q662" t="n">
        <v>0</v>
      </c>
      <c r="R662" s="2" t="inlineStr"/>
    </row>
    <row r="663" ht="15" customHeight="1">
      <c r="A663" t="inlineStr">
        <is>
          <t>A 52385-2024</t>
        </is>
      </c>
      <c r="B663" s="1" t="n">
        <v>45609</v>
      </c>
      <c r="C663" s="1" t="n">
        <v>45969</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8226-2025</t>
        </is>
      </c>
      <c r="B664" s="1" t="n">
        <v>45708.46348379629</v>
      </c>
      <c r="C664" s="1" t="n">
        <v>45969</v>
      </c>
      <c r="D664" t="inlineStr">
        <is>
          <t>NORRBOTTENS LÄN</t>
        </is>
      </c>
      <c r="E664" t="inlineStr">
        <is>
          <t>PITEÅ</t>
        </is>
      </c>
      <c r="G664" t="n">
        <v>11.9</v>
      </c>
      <c r="H664" t="n">
        <v>0</v>
      </c>
      <c r="I664" t="n">
        <v>0</v>
      </c>
      <c r="J664" t="n">
        <v>0</v>
      </c>
      <c r="K664" t="n">
        <v>0</v>
      </c>
      <c r="L664" t="n">
        <v>0</v>
      </c>
      <c r="M664" t="n">
        <v>0</v>
      </c>
      <c r="N664" t="n">
        <v>0</v>
      </c>
      <c r="O664" t="n">
        <v>0</v>
      </c>
      <c r="P664" t="n">
        <v>0</v>
      </c>
      <c r="Q664" t="n">
        <v>0</v>
      </c>
      <c r="R664" s="2" t="inlineStr"/>
    </row>
    <row r="665" ht="15" customHeight="1">
      <c r="A665" t="inlineStr">
        <is>
          <t>A 44076-2023</t>
        </is>
      </c>
      <c r="B665" s="1" t="n">
        <v>45188</v>
      </c>
      <c r="C665" s="1" t="n">
        <v>45969</v>
      </c>
      <c r="D665" t="inlineStr">
        <is>
          <t>NORRBOTTENS LÄN</t>
        </is>
      </c>
      <c r="E665" t="inlineStr">
        <is>
          <t>PITEÅ</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55812-2023</t>
        </is>
      </c>
      <c r="B666" s="1" t="n">
        <v>45239</v>
      </c>
      <c r="C666" s="1" t="n">
        <v>45969</v>
      </c>
      <c r="D666" t="inlineStr">
        <is>
          <t>NORRBOTTENS LÄN</t>
        </is>
      </c>
      <c r="E666" t="inlineStr">
        <is>
          <t>PITEÅ</t>
        </is>
      </c>
      <c r="G666" t="n">
        <v>2.8</v>
      </c>
      <c r="H666" t="n">
        <v>0</v>
      </c>
      <c r="I666" t="n">
        <v>0</v>
      </c>
      <c r="J666" t="n">
        <v>0</v>
      </c>
      <c r="K666" t="n">
        <v>0</v>
      </c>
      <c r="L666" t="n">
        <v>0</v>
      </c>
      <c r="M666" t="n">
        <v>0</v>
      </c>
      <c r="N666" t="n">
        <v>0</v>
      </c>
      <c r="O666" t="n">
        <v>0</v>
      </c>
      <c r="P666" t="n">
        <v>0</v>
      </c>
      <c r="Q666" t="n">
        <v>0</v>
      </c>
      <c r="R666" s="2" t="inlineStr"/>
    </row>
    <row r="667" ht="15" customHeight="1">
      <c r="A667" t="inlineStr">
        <is>
          <t>A 18904-2024</t>
        </is>
      </c>
      <c r="B667" s="1" t="n">
        <v>45427.36417824074</v>
      </c>
      <c r="C667" s="1" t="n">
        <v>45969</v>
      </c>
      <c r="D667" t="inlineStr">
        <is>
          <t>NORRBOTTENS LÄN</t>
        </is>
      </c>
      <c r="E667" t="inlineStr">
        <is>
          <t>PITEÅ</t>
        </is>
      </c>
      <c r="G667" t="n">
        <v>3.3</v>
      </c>
      <c r="H667" t="n">
        <v>0</v>
      </c>
      <c r="I667" t="n">
        <v>0</v>
      </c>
      <c r="J667" t="n">
        <v>0</v>
      </c>
      <c r="K667" t="n">
        <v>0</v>
      </c>
      <c r="L667" t="n">
        <v>0</v>
      </c>
      <c r="M667" t="n">
        <v>0</v>
      </c>
      <c r="N667" t="n">
        <v>0</v>
      </c>
      <c r="O667" t="n">
        <v>0</v>
      </c>
      <c r="P667" t="n">
        <v>0</v>
      </c>
      <c r="Q667" t="n">
        <v>0</v>
      </c>
      <c r="R667" s="2" t="inlineStr"/>
    </row>
    <row r="668" ht="15" customHeight="1">
      <c r="A668" t="inlineStr">
        <is>
          <t>A 50774-2025</t>
        </is>
      </c>
      <c r="B668" s="1" t="n">
        <v>45946</v>
      </c>
      <c r="C668" s="1" t="n">
        <v>45969</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43383-2024</t>
        </is>
      </c>
      <c r="B669" s="1" t="n">
        <v>45568.59442129629</v>
      </c>
      <c r="C669" s="1" t="n">
        <v>45969</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27069-2025</t>
        </is>
      </c>
      <c r="B670" s="1" t="n">
        <v>45811.63673611111</v>
      </c>
      <c r="C670" s="1" t="n">
        <v>45969</v>
      </c>
      <c r="D670" t="inlineStr">
        <is>
          <t>NORRBOTTENS LÄN</t>
        </is>
      </c>
      <c r="E670" t="inlineStr">
        <is>
          <t>PITEÅ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43101-2025</t>
        </is>
      </c>
      <c r="B671" s="1" t="n">
        <v>45909.63577546296</v>
      </c>
      <c r="C671" s="1" t="n">
        <v>45969</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2727-2025</t>
        </is>
      </c>
      <c r="B672" s="1" t="n">
        <v>45677</v>
      </c>
      <c r="C672" s="1" t="n">
        <v>45969</v>
      </c>
      <c r="D672" t="inlineStr">
        <is>
          <t>NORRBOTTENS LÄN</t>
        </is>
      </c>
      <c r="E672" t="inlineStr">
        <is>
          <t>PITEÅ</t>
        </is>
      </c>
      <c r="G672" t="n">
        <v>8.4</v>
      </c>
      <c r="H672" t="n">
        <v>0</v>
      </c>
      <c r="I672" t="n">
        <v>0</v>
      </c>
      <c r="J672" t="n">
        <v>0</v>
      </c>
      <c r="K672" t="n">
        <v>0</v>
      </c>
      <c r="L672" t="n">
        <v>0</v>
      </c>
      <c r="M672" t="n">
        <v>0</v>
      </c>
      <c r="N672" t="n">
        <v>0</v>
      </c>
      <c r="O672" t="n">
        <v>0</v>
      </c>
      <c r="P672" t="n">
        <v>0</v>
      </c>
      <c r="Q672" t="n">
        <v>0</v>
      </c>
      <c r="R672" s="2" t="inlineStr"/>
    </row>
    <row r="673" ht="15" customHeight="1">
      <c r="A673" t="inlineStr">
        <is>
          <t>A 51606-2025</t>
        </is>
      </c>
      <c r="B673" s="1" t="n">
        <v>45951.38597222222</v>
      </c>
      <c r="C673" s="1" t="n">
        <v>45969</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27686-2025</t>
        </is>
      </c>
      <c r="B674" s="1" t="n">
        <v>45813.65408564815</v>
      </c>
      <c r="C674" s="1" t="n">
        <v>45969</v>
      </c>
      <c r="D674" t="inlineStr">
        <is>
          <t>NORRBOTTENS LÄN</t>
        </is>
      </c>
      <c r="E674" t="inlineStr">
        <is>
          <t>PITEÅ</t>
        </is>
      </c>
      <c r="G674" t="n">
        <v>4.4</v>
      </c>
      <c r="H674" t="n">
        <v>0</v>
      </c>
      <c r="I674" t="n">
        <v>0</v>
      </c>
      <c r="J674" t="n">
        <v>0</v>
      </c>
      <c r="K674" t="n">
        <v>0</v>
      </c>
      <c r="L674" t="n">
        <v>0</v>
      </c>
      <c r="M674" t="n">
        <v>0</v>
      </c>
      <c r="N674" t="n">
        <v>0</v>
      </c>
      <c r="O674" t="n">
        <v>0</v>
      </c>
      <c r="P674" t="n">
        <v>0</v>
      </c>
      <c r="Q674" t="n">
        <v>0</v>
      </c>
      <c r="R674" s="2" t="inlineStr"/>
    </row>
    <row r="675" ht="15" customHeight="1">
      <c r="A675" t="inlineStr">
        <is>
          <t>A 7769-2025</t>
        </is>
      </c>
      <c r="B675" s="1" t="n">
        <v>45706.56214120371</v>
      </c>
      <c r="C675" s="1" t="n">
        <v>45969</v>
      </c>
      <c r="D675" t="inlineStr">
        <is>
          <t>NORRBOTTENS LÄN</t>
        </is>
      </c>
      <c r="E675" t="inlineStr">
        <is>
          <t>PITEÅ</t>
        </is>
      </c>
      <c r="F675" t="inlineStr">
        <is>
          <t>Övriga Aktiebolag</t>
        </is>
      </c>
      <c r="G675" t="n">
        <v>3.6</v>
      </c>
      <c r="H675" t="n">
        <v>0</v>
      </c>
      <c r="I675" t="n">
        <v>0</v>
      </c>
      <c r="J675" t="n">
        <v>0</v>
      </c>
      <c r="K675" t="n">
        <v>0</v>
      </c>
      <c r="L675" t="n">
        <v>0</v>
      </c>
      <c r="M675" t="n">
        <v>0</v>
      </c>
      <c r="N675" t="n">
        <v>0</v>
      </c>
      <c r="O675" t="n">
        <v>0</v>
      </c>
      <c r="P675" t="n">
        <v>0</v>
      </c>
      <c r="Q675" t="n">
        <v>0</v>
      </c>
      <c r="R675" s="2" t="inlineStr"/>
    </row>
    <row r="676" ht="15" customHeight="1">
      <c r="A676" t="inlineStr">
        <is>
          <t>A 55631-2023</t>
        </is>
      </c>
      <c r="B676" s="1" t="n">
        <v>45238.92677083334</v>
      </c>
      <c r="C676" s="1" t="n">
        <v>45969</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43735-2025</t>
        </is>
      </c>
      <c r="B677" s="1" t="n">
        <v>45912</v>
      </c>
      <c r="C677" s="1" t="n">
        <v>45969</v>
      </c>
      <c r="D677" t="inlineStr">
        <is>
          <t>NORRBOTTENS LÄN</t>
        </is>
      </c>
      <c r="E677" t="inlineStr">
        <is>
          <t>PITEÅ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43422-2025</t>
        </is>
      </c>
      <c r="B678" s="1" t="n">
        <v>45911.40783564815</v>
      </c>
      <c r="C678" s="1" t="n">
        <v>45969</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43365-2025</t>
        </is>
      </c>
      <c r="B679" s="1" t="n">
        <v>45911.34506944445</v>
      </c>
      <c r="C679" s="1" t="n">
        <v>45969</v>
      </c>
      <c r="D679" t="inlineStr">
        <is>
          <t>NORRBOTTENS LÄN</t>
        </is>
      </c>
      <c r="E679" t="inlineStr">
        <is>
          <t>PITEÅ</t>
        </is>
      </c>
      <c r="G679" t="n">
        <v>11.2</v>
      </c>
      <c r="H679" t="n">
        <v>0</v>
      </c>
      <c r="I679" t="n">
        <v>0</v>
      </c>
      <c r="J679" t="n">
        <v>0</v>
      </c>
      <c r="K679" t="n">
        <v>0</v>
      </c>
      <c r="L679" t="n">
        <v>0</v>
      </c>
      <c r="M679" t="n">
        <v>0</v>
      </c>
      <c r="N679" t="n">
        <v>0</v>
      </c>
      <c r="O679" t="n">
        <v>0</v>
      </c>
      <c r="P679" t="n">
        <v>0</v>
      </c>
      <c r="Q679" t="n">
        <v>0</v>
      </c>
      <c r="R679" s="2" t="inlineStr"/>
    </row>
    <row r="680" ht="15" customHeight="1">
      <c r="A680" t="inlineStr">
        <is>
          <t>A 43366-2025</t>
        </is>
      </c>
      <c r="B680" s="1" t="n">
        <v>45911.34520833333</v>
      </c>
      <c r="C680" s="1" t="n">
        <v>45969</v>
      </c>
      <c r="D680" t="inlineStr">
        <is>
          <t>NORRBOTTENS LÄN</t>
        </is>
      </c>
      <c r="E680" t="inlineStr">
        <is>
          <t>PITEÅ</t>
        </is>
      </c>
      <c r="G680" t="n">
        <v>7.4</v>
      </c>
      <c r="H680" t="n">
        <v>0</v>
      </c>
      <c r="I680" t="n">
        <v>0</v>
      </c>
      <c r="J680" t="n">
        <v>0</v>
      </c>
      <c r="K680" t="n">
        <v>0</v>
      </c>
      <c r="L680" t="n">
        <v>0</v>
      </c>
      <c r="M680" t="n">
        <v>0</v>
      </c>
      <c r="N680" t="n">
        <v>0</v>
      </c>
      <c r="O680" t="n">
        <v>0</v>
      </c>
      <c r="P680" t="n">
        <v>0</v>
      </c>
      <c r="Q680" t="n">
        <v>0</v>
      </c>
      <c r="R680" s="2" t="inlineStr"/>
    </row>
    <row r="681" ht="15" customHeight="1">
      <c r="A681" t="inlineStr">
        <is>
          <t>A 43674-2025</t>
        </is>
      </c>
      <c r="B681" s="1" t="n">
        <v>45912.36547453704</v>
      </c>
      <c r="C681" s="1" t="n">
        <v>45969</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43675-2025</t>
        </is>
      </c>
      <c r="B682" s="1" t="n">
        <v>45912.36555555555</v>
      </c>
      <c r="C682" s="1" t="n">
        <v>45969</v>
      </c>
      <c r="D682" t="inlineStr">
        <is>
          <t>NORRBOTTENS LÄN</t>
        </is>
      </c>
      <c r="E682" t="inlineStr">
        <is>
          <t>PITEÅ</t>
        </is>
      </c>
      <c r="G682" t="n">
        <v>3</v>
      </c>
      <c r="H682" t="n">
        <v>0</v>
      </c>
      <c r="I682" t="n">
        <v>0</v>
      </c>
      <c r="J682" t="n">
        <v>0</v>
      </c>
      <c r="K682" t="n">
        <v>0</v>
      </c>
      <c r="L682" t="n">
        <v>0</v>
      </c>
      <c r="M682" t="n">
        <v>0</v>
      </c>
      <c r="N682" t="n">
        <v>0</v>
      </c>
      <c r="O682" t="n">
        <v>0</v>
      </c>
      <c r="P682" t="n">
        <v>0</v>
      </c>
      <c r="Q682" t="n">
        <v>0</v>
      </c>
      <c r="R682" s="2" t="inlineStr"/>
    </row>
    <row r="683" ht="15" customHeight="1">
      <c r="A683" t="inlineStr">
        <is>
          <t>A 52396-2025</t>
        </is>
      </c>
      <c r="B683" s="1" t="n">
        <v>45954.34506944445</v>
      </c>
      <c r="C683" s="1" t="n">
        <v>45969</v>
      </c>
      <c r="D683" t="inlineStr">
        <is>
          <t>NORRBOTTENS LÄN</t>
        </is>
      </c>
      <c r="E683" t="inlineStr">
        <is>
          <t>PITEÅ</t>
        </is>
      </c>
      <c r="F683" t="inlineStr">
        <is>
          <t>SCA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45969</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52618-2025</t>
        </is>
      </c>
      <c r="B685" s="1" t="n">
        <v>45954.67841435185</v>
      </c>
      <c r="C685" s="1" t="n">
        <v>45969</v>
      </c>
      <c r="D685" t="inlineStr">
        <is>
          <t>NORRBOTTENS LÄN</t>
        </is>
      </c>
      <c r="E685" t="inlineStr">
        <is>
          <t>PITEÅ</t>
        </is>
      </c>
      <c r="G685" t="n">
        <v>1.6</v>
      </c>
      <c r="H685" t="n">
        <v>0</v>
      </c>
      <c r="I685" t="n">
        <v>0</v>
      </c>
      <c r="J685" t="n">
        <v>0</v>
      </c>
      <c r="K685" t="n">
        <v>0</v>
      </c>
      <c r="L685" t="n">
        <v>0</v>
      </c>
      <c r="M685" t="n">
        <v>0</v>
      </c>
      <c r="N685" t="n">
        <v>0</v>
      </c>
      <c r="O685" t="n">
        <v>0</v>
      </c>
      <c r="P685" t="n">
        <v>0</v>
      </c>
      <c r="Q685" t="n">
        <v>0</v>
      </c>
      <c r="R685" s="2" t="inlineStr"/>
    </row>
    <row r="686" ht="15" customHeight="1">
      <c r="A686" t="inlineStr">
        <is>
          <t>A 34617-2023</t>
        </is>
      </c>
      <c r="B686" s="1" t="n">
        <v>45138</v>
      </c>
      <c r="C686" s="1" t="n">
        <v>45969</v>
      </c>
      <c r="D686" t="inlineStr">
        <is>
          <t>NORRBOTTENS LÄN</t>
        </is>
      </c>
      <c r="E686" t="inlineStr">
        <is>
          <t>PITEÅ</t>
        </is>
      </c>
      <c r="G686" t="n">
        <v>10.1</v>
      </c>
      <c r="H686" t="n">
        <v>0</v>
      </c>
      <c r="I686" t="n">
        <v>0</v>
      </c>
      <c r="J686" t="n">
        <v>0</v>
      </c>
      <c r="K686" t="n">
        <v>0</v>
      </c>
      <c r="L686" t="n">
        <v>0</v>
      </c>
      <c r="M686" t="n">
        <v>0</v>
      </c>
      <c r="N686" t="n">
        <v>0</v>
      </c>
      <c r="O686" t="n">
        <v>0</v>
      </c>
      <c r="P686" t="n">
        <v>0</v>
      </c>
      <c r="Q686" t="n">
        <v>0</v>
      </c>
      <c r="R686" s="2" t="inlineStr"/>
    </row>
    <row r="687" ht="15" customHeight="1">
      <c r="A687" t="inlineStr">
        <is>
          <t>A 43659-2025</t>
        </is>
      </c>
      <c r="B687" s="1" t="n">
        <v>45912</v>
      </c>
      <c r="C687" s="1" t="n">
        <v>45969</v>
      </c>
      <c r="D687" t="inlineStr">
        <is>
          <t>NORRBOTTENS LÄN</t>
        </is>
      </c>
      <c r="E687" t="inlineStr">
        <is>
          <t>PITEÅ</t>
        </is>
      </c>
      <c r="G687" t="n">
        <v>0.3</v>
      </c>
      <c r="H687" t="n">
        <v>0</v>
      </c>
      <c r="I687" t="n">
        <v>0</v>
      </c>
      <c r="J687" t="n">
        <v>0</v>
      </c>
      <c r="K687" t="n">
        <v>0</v>
      </c>
      <c r="L687" t="n">
        <v>0</v>
      </c>
      <c r="M687" t="n">
        <v>0</v>
      </c>
      <c r="N687" t="n">
        <v>0</v>
      </c>
      <c r="O687" t="n">
        <v>0</v>
      </c>
      <c r="P687" t="n">
        <v>0</v>
      </c>
      <c r="Q687" t="n">
        <v>0</v>
      </c>
      <c r="R687" s="2" t="inlineStr"/>
    </row>
    <row r="688" ht="15" customHeight="1">
      <c r="A688" t="inlineStr">
        <is>
          <t>A 52603-2025</t>
        </is>
      </c>
      <c r="B688" s="1" t="n">
        <v>45954.65706018519</v>
      </c>
      <c r="C688" s="1" t="n">
        <v>45969</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14871-2022</t>
        </is>
      </c>
      <c r="B689" s="1" t="n">
        <v>44656</v>
      </c>
      <c r="C689" s="1" t="n">
        <v>45969</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43877-2025</t>
        </is>
      </c>
      <c r="B690" s="1" t="n">
        <v>45912.67767361111</v>
      </c>
      <c r="C690" s="1" t="n">
        <v>45969</v>
      </c>
      <c r="D690" t="inlineStr">
        <is>
          <t>NORRBOTTENS LÄN</t>
        </is>
      </c>
      <c r="E690" t="inlineStr">
        <is>
          <t>PITEÅ</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43673-2025</t>
        </is>
      </c>
      <c r="B691" s="1" t="n">
        <v>45912</v>
      </c>
      <c r="C691" s="1" t="n">
        <v>45969</v>
      </c>
      <c r="D691" t="inlineStr">
        <is>
          <t>NORRBOTTENS LÄN</t>
        </is>
      </c>
      <c r="E691" t="inlineStr">
        <is>
          <t>PITEÅ</t>
        </is>
      </c>
      <c r="G691" t="n">
        <v>1.8</v>
      </c>
      <c r="H691" t="n">
        <v>0</v>
      </c>
      <c r="I691" t="n">
        <v>0</v>
      </c>
      <c r="J691" t="n">
        <v>0</v>
      </c>
      <c r="K691" t="n">
        <v>0</v>
      </c>
      <c r="L691" t="n">
        <v>0</v>
      </c>
      <c r="M691" t="n">
        <v>0</v>
      </c>
      <c r="N691" t="n">
        <v>0</v>
      </c>
      <c r="O691" t="n">
        <v>0</v>
      </c>
      <c r="P691" t="n">
        <v>0</v>
      </c>
      <c r="Q691" t="n">
        <v>0</v>
      </c>
      <c r="R691" s="2" t="inlineStr"/>
    </row>
    <row r="692" ht="15" customHeight="1">
      <c r="A692" t="inlineStr">
        <is>
          <t>A 43676-2025</t>
        </is>
      </c>
      <c r="B692" s="1" t="n">
        <v>45912.36561342593</v>
      </c>
      <c r="C692" s="1" t="n">
        <v>45969</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28262-2025</t>
        </is>
      </c>
      <c r="B693" s="1" t="n">
        <v>45818</v>
      </c>
      <c r="C693" s="1" t="n">
        <v>45969</v>
      </c>
      <c r="D693" t="inlineStr">
        <is>
          <t>NORRBOTTENS LÄN</t>
        </is>
      </c>
      <c r="E693" t="inlineStr">
        <is>
          <t>PITEÅ</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4678-2025</t>
        </is>
      </c>
      <c r="B694" s="1" t="n">
        <v>45687.83862268519</v>
      </c>
      <c r="C694" s="1" t="n">
        <v>45969</v>
      </c>
      <c r="D694" t="inlineStr">
        <is>
          <t>NORRBOTTENS LÄN</t>
        </is>
      </c>
      <c r="E694" t="inlineStr">
        <is>
          <t>PITEÅ</t>
        </is>
      </c>
      <c r="G694" t="n">
        <v>3.3</v>
      </c>
      <c r="H694" t="n">
        <v>0</v>
      </c>
      <c r="I694" t="n">
        <v>0</v>
      </c>
      <c r="J694" t="n">
        <v>0</v>
      </c>
      <c r="K694" t="n">
        <v>0</v>
      </c>
      <c r="L694" t="n">
        <v>0</v>
      </c>
      <c r="M694" t="n">
        <v>0</v>
      </c>
      <c r="N694" t="n">
        <v>0</v>
      </c>
      <c r="O694" t="n">
        <v>0</v>
      </c>
      <c r="P694" t="n">
        <v>0</v>
      </c>
      <c r="Q694" t="n">
        <v>0</v>
      </c>
      <c r="R694" s="2" t="inlineStr"/>
    </row>
    <row r="695" ht="15" customHeight="1">
      <c r="A695" t="inlineStr">
        <is>
          <t>A 4692-2025</t>
        </is>
      </c>
      <c r="B695" s="1" t="n">
        <v>45688.35248842592</v>
      </c>
      <c r="C695" s="1" t="n">
        <v>45969</v>
      </c>
      <c r="D695" t="inlineStr">
        <is>
          <t>NORRBOTTENS LÄN</t>
        </is>
      </c>
      <c r="E695" t="inlineStr">
        <is>
          <t>PITEÅ</t>
        </is>
      </c>
      <c r="F695" t="inlineStr">
        <is>
          <t>Övriga Aktiebolag</t>
        </is>
      </c>
      <c r="G695" t="n">
        <v>11.9</v>
      </c>
      <c r="H695" t="n">
        <v>0</v>
      </c>
      <c r="I695" t="n">
        <v>0</v>
      </c>
      <c r="J695" t="n">
        <v>0</v>
      </c>
      <c r="K695" t="n">
        <v>0</v>
      </c>
      <c r="L695" t="n">
        <v>0</v>
      </c>
      <c r="M695" t="n">
        <v>0</v>
      </c>
      <c r="N695" t="n">
        <v>0</v>
      </c>
      <c r="O695" t="n">
        <v>0</v>
      </c>
      <c r="P695" t="n">
        <v>0</v>
      </c>
      <c r="Q695" t="n">
        <v>0</v>
      </c>
      <c r="R695" s="2" t="inlineStr"/>
    </row>
    <row r="696" ht="15" customHeight="1">
      <c r="A696" t="inlineStr">
        <is>
          <t>A 2778-2025</t>
        </is>
      </c>
      <c r="B696" s="1" t="n">
        <v>45677.53295138889</v>
      </c>
      <c r="C696" s="1" t="n">
        <v>45969</v>
      </c>
      <c r="D696" t="inlineStr">
        <is>
          <t>NORRBOTTENS LÄN</t>
        </is>
      </c>
      <c r="E696" t="inlineStr">
        <is>
          <t>PITEÅ</t>
        </is>
      </c>
      <c r="G696" t="n">
        <v>6.6</v>
      </c>
      <c r="H696" t="n">
        <v>0</v>
      </c>
      <c r="I696" t="n">
        <v>0</v>
      </c>
      <c r="J696" t="n">
        <v>0</v>
      </c>
      <c r="K696" t="n">
        <v>0</v>
      </c>
      <c r="L696" t="n">
        <v>0</v>
      </c>
      <c r="M696" t="n">
        <v>0</v>
      </c>
      <c r="N696" t="n">
        <v>0</v>
      </c>
      <c r="O696" t="n">
        <v>0</v>
      </c>
      <c r="P696" t="n">
        <v>0</v>
      </c>
      <c r="Q696" t="n">
        <v>0</v>
      </c>
      <c r="R696" s="2" t="inlineStr"/>
    </row>
    <row r="697" ht="15" customHeight="1">
      <c r="A697" t="inlineStr">
        <is>
          <t>A 28677-2025</t>
        </is>
      </c>
      <c r="B697" s="1" t="n">
        <v>45819.67777777778</v>
      </c>
      <c r="C697" s="1" t="n">
        <v>45969</v>
      </c>
      <c r="D697" t="inlineStr">
        <is>
          <t>NORRBOTTENS LÄN</t>
        </is>
      </c>
      <c r="E697" t="inlineStr">
        <is>
          <t>PITEÅ</t>
        </is>
      </c>
      <c r="G697" t="n">
        <v>1.9</v>
      </c>
      <c r="H697" t="n">
        <v>0</v>
      </c>
      <c r="I697" t="n">
        <v>0</v>
      </c>
      <c r="J697" t="n">
        <v>0</v>
      </c>
      <c r="K697" t="n">
        <v>0</v>
      </c>
      <c r="L697" t="n">
        <v>0</v>
      </c>
      <c r="M697" t="n">
        <v>0</v>
      </c>
      <c r="N697" t="n">
        <v>0</v>
      </c>
      <c r="O697" t="n">
        <v>0</v>
      </c>
      <c r="P697" t="n">
        <v>0</v>
      </c>
      <c r="Q697" t="n">
        <v>0</v>
      </c>
      <c r="R697" s="2" t="inlineStr"/>
    </row>
    <row r="698" ht="15" customHeight="1">
      <c r="A698" t="inlineStr">
        <is>
          <t>A 52602-2025</t>
        </is>
      </c>
      <c r="B698" s="1" t="n">
        <v>45954.65701388889</v>
      </c>
      <c r="C698" s="1" t="n">
        <v>45969</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28742-2025</t>
        </is>
      </c>
      <c r="B699" s="1" t="n">
        <v>45820.38512731482</v>
      </c>
      <c r="C699" s="1" t="n">
        <v>45969</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28678-2025</t>
        </is>
      </c>
      <c r="B700" s="1" t="n">
        <v>45819.67783564814</v>
      </c>
      <c r="C700" s="1" t="n">
        <v>45969</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28840-2025</t>
        </is>
      </c>
      <c r="B701" s="1" t="n">
        <v>45820.56695601852</v>
      </c>
      <c r="C701" s="1" t="n">
        <v>45969</v>
      </c>
      <c r="D701" t="inlineStr">
        <is>
          <t>NORRBOTTENS LÄN</t>
        </is>
      </c>
      <c r="E701" t="inlineStr">
        <is>
          <t>PITEÅ</t>
        </is>
      </c>
      <c r="G701" t="n">
        <v>1.9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45969</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52617-2025</t>
        </is>
      </c>
      <c r="B703" s="1" t="n">
        <v>45954.67832175926</v>
      </c>
      <c r="C703" s="1" t="n">
        <v>45969</v>
      </c>
      <c r="D703" t="inlineStr">
        <is>
          <t>NORRBOTTENS LÄN</t>
        </is>
      </c>
      <c r="E703" t="inlineStr">
        <is>
          <t>PITEÅ</t>
        </is>
      </c>
      <c r="G703" t="n">
        <v>4.2</v>
      </c>
      <c r="H703" t="n">
        <v>0</v>
      </c>
      <c r="I703" t="n">
        <v>0</v>
      </c>
      <c r="J703" t="n">
        <v>0</v>
      </c>
      <c r="K703" t="n">
        <v>0</v>
      </c>
      <c r="L703" t="n">
        <v>0</v>
      </c>
      <c r="M703" t="n">
        <v>0</v>
      </c>
      <c r="N703" t="n">
        <v>0</v>
      </c>
      <c r="O703" t="n">
        <v>0</v>
      </c>
      <c r="P703" t="n">
        <v>0</v>
      </c>
      <c r="Q703" t="n">
        <v>0</v>
      </c>
      <c r="R703" s="2" t="inlineStr"/>
    </row>
    <row r="704" ht="15" customHeight="1">
      <c r="A704" t="inlineStr">
        <is>
          <t>A 28661-2025</t>
        </is>
      </c>
      <c r="B704" s="1" t="n">
        <v>45819.65800925926</v>
      </c>
      <c r="C704" s="1" t="n">
        <v>45969</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45969</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59919-2024</t>
        </is>
      </c>
      <c r="B706" s="1" t="n">
        <v>45641.89665509259</v>
      </c>
      <c r="C706" s="1" t="n">
        <v>45969</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7083-2025</t>
        </is>
      </c>
      <c r="B707" s="1" t="n">
        <v>45701</v>
      </c>
      <c r="C707" s="1" t="n">
        <v>45969</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59969-2024</t>
        </is>
      </c>
      <c r="B708" s="1" t="n">
        <v>45642.36207175926</v>
      </c>
      <c r="C708" s="1" t="n">
        <v>45969</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43820-2025</t>
        </is>
      </c>
      <c r="B709" s="1" t="n">
        <v>45912.60663194444</v>
      </c>
      <c r="C709" s="1" t="n">
        <v>45969</v>
      </c>
      <c r="D709" t="inlineStr">
        <is>
          <t>NORRBOTTENS LÄN</t>
        </is>
      </c>
      <c r="E709" t="inlineStr">
        <is>
          <t>PITEÅ</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43821-2025</t>
        </is>
      </c>
      <c r="B710" s="1" t="n">
        <v>45912.60855324074</v>
      </c>
      <c r="C710" s="1" t="n">
        <v>45969</v>
      </c>
      <c r="D710" t="inlineStr">
        <is>
          <t>NORRBOTTENS LÄN</t>
        </is>
      </c>
      <c r="E710" t="inlineStr">
        <is>
          <t>PITEÅ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43421-2025</t>
        </is>
      </c>
      <c r="B711" s="1" t="n">
        <v>45911.40780092592</v>
      </c>
      <c r="C711" s="1" t="n">
        <v>45969</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29452-2025</t>
        </is>
      </c>
      <c r="B712" s="1" t="n">
        <v>45824.6791087963</v>
      </c>
      <c r="C712" s="1" t="n">
        <v>45969</v>
      </c>
      <c r="D712" t="inlineStr">
        <is>
          <t>NORRBOTTENS LÄN</t>
        </is>
      </c>
      <c r="E712" t="inlineStr">
        <is>
          <t>PITEÅ</t>
        </is>
      </c>
      <c r="F712" t="inlineStr">
        <is>
          <t>Övriga Aktiebolag</t>
        </is>
      </c>
      <c r="G712" t="n">
        <v>3.6</v>
      </c>
      <c r="H712" t="n">
        <v>0</v>
      </c>
      <c r="I712" t="n">
        <v>0</v>
      </c>
      <c r="J712" t="n">
        <v>0</v>
      </c>
      <c r="K712" t="n">
        <v>0</v>
      </c>
      <c r="L712" t="n">
        <v>0</v>
      </c>
      <c r="M712" t="n">
        <v>0</v>
      </c>
      <c r="N712" t="n">
        <v>0</v>
      </c>
      <c r="O712" t="n">
        <v>0</v>
      </c>
      <c r="P712" t="n">
        <v>0</v>
      </c>
      <c r="Q712" t="n">
        <v>0</v>
      </c>
      <c r="R712" s="2" t="inlineStr"/>
    </row>
    <row r="713" ht="15" customHeight="1">
      <c r="A713" t="inlineStr">
        <is>
          <t>A 44136-2024</t>
        </is>
      </c>
      <c r="B713" s="1" t="n">
        <v>45572.65831018519</v>
      </c>
      <c r="C713" s="1" t="n">
        <v>45969</v>
      </c>
      <c r="D713" t="inlineStr">
        <is>
          <t>NORRBOTTENS LÄN</t>
        </is>
      </c>
      <c r="E713" t="inlineStr">
        <is>
          <t>PITEÅ</t>
        </is>
      </c>
      <c r="G713" t="n">
        <v>12.7</v>
      </c>
      <c r="H713" t="n">
        <v>0</v>
      </c>
      <c r="I713" t="n">
        <v>0</v>
      </c>
      <c r="J713" t="n">
        <v>0</v>
      </c>
      <c r="K713" t="n">
        <v>0</v>
      </c>
      <c r="L713" t="n">
        <v>0</v>
      </c>
      <c r="M713" t="n">
        <v>0</v>
      </c>
      <c r="N713" t="n">
        <v>0</v>
      </c>
      <c r="O713" t="n">
        <v>0</v>
      </c>
      <c r="P713" t="n">
        <v>0</v>
      </c>
      <c r="Q713" t="n">
        <v>0</v>
      </c>
      <c r="R713" s="2" t="inlineStr"/>
    </row>
    <row r="714" ht="15" customHeight="1">
      <c r="A714" t="inlineStr">
        <is>
          <t>A 27896-2023</t>
        </is>
      </c>
      <c r="B714" s="1" t="n">
        <v>45098</v>
      </c>
      <c r="C714" s="1" t="n">
        <v>45969</v>
      </c>
      <c r="D714" t="inlineStr">
        <is>
          <t>NORRBOTTENS LÄN</t>
        </is>
      </c>
      <c r="E714" t="inlineStr">
        <is>
          <t>PITEÅ</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44121-2023</t>
        </is>
      </c>
      <c r="B715" s="1" t="n">
        <v>45188.45032407407</v>
      </c>
      <c r="C715" s="1" t="n">
        <v>45969</v>
      </c>
      <c r="D715" t="inlineStr">
        <is>
          <t>NORRBOTTENS LÄN</t>
        </is>
      </c>
      <c r="E715" t="inlineStr">
        <is>
          <t>PITEÅ</t>
        </is>
      </c>
      <c r="F715" t="inlineStr">
        <is>
          <t>Sveaskog</t>
        </is>
      </c>
      <c r="G715" t="n">
        <v>12.2</v>
      </c>
      <c r="H715" t="n">
        <v>0</v>
      </c>
      <c r="I715" t="n">
        <v>0</v>
      </c>
      <c r="J715" t="n">
        <v>0</v>
      </c>
      <c r="K715" t="n">
        <v>0</v>
      </c>
      <c r="L715" t="n">
        <v>0</v>
      </c>
      <c r="M715" t="n">
        <v>0</v>
      </c>
      <c r="N715" t="n">
        <v>0</v>
      </c>
      <c r="O715" t="n">
        <v>0</v>
      </c>
      <c r="P715" t="n">
        <v>0</v>
      </c>
      <c r="Q715" t="n">
        <v>0</v>
      </c>
      <c r="R715" s="2" t="inlineStr"/>
    </row>
    <row r="716" ht="15" customHeight="1">
      <c r="A716" t="inlineStr">
        <is>
          <t>A 56505-2023</t>
        </is>
      </c>
      <c r="B716" s="1" t="n">
        <v>45243.54659722222</v>
      </c>
      <c r="C716" s="1" t="n">
        <v>45969</v>
      </c>
      <c r="D716" t="inlineStr">
        <is>
          <t>NORRBOTTENS LÄN</t>
        </is>
      </c>
      <c r="E716" t="inlineStr">
        <is>
          <t>PITEÅ</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56532-2023</t>
        </is>
      </c>
      <c r="B717" s="1" t="n">
        <v>45243.57018518518</v>
      </c>
      <c r="C717" s="1" t="n">
        <v>45969</v>
      </c>
      <c r="D717" t="inlineStr">
        <is>
          <t>NORRBOTTENS LÄN</t>
        </is>
      </c>
      <c r="E717" t="inlineStr">
        <is>
          <t>PITEÅ</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42112-2023</t>
        </is>
      </c>
      <c r="B718" s="1" t="n">
        <v>45177</v>
      </c>
      <c r="C718" s="1" t="n">
        <v>45969</v>
      </c>
      <c r="D718" t="inlineStr">
        <is>
          <t>NORRBOTTENS LÄN</t>
        </is>
      </c>
      <c r="E718" t="inlineStr">
        <is>
          <t>PITEÅ</t>
        </is>
      </c>
      <c r="G718" t="n">
        <v>1.8</v>
      </c>
      <c r="H718" t="n">
        <v>0</v>
      </c>
      <c r="I718" t="n">
        <v>0</v>
      </c>
      <c r="J718" t="n">
        <v>0</v>
      </c>
      <c r="K718" t="n">
        <v>0</v>
      </c>
      <c r="L718" t="n">
        <v>0</v>
      </c>
      <c r="M718" t="n">
        <v>0</v>
      </c>
      <c r="N718" t="n">
        <v>0</v>
      </c>
      <c r="O718" t="n">
        <v>0</v>
      </c>
      <c r="P718" t="n">
        <v>0</v>
      </c>
      <c r="Q718" t="n">
        <v>0</v>
      </c>
      <c r="R718" s="2" t="inlineStr"/>
    </row>
    <row r="719" ht="15" customHeight="1">
      <c r="A719" t="inlineStr">
        <is>
          <t>A 43995-2025</t>
        </is>
      </c>
      <c r="B719" s="1" t="n">
        <v>45915.44668981482</v>
      </c>
      <c r="C719" s="1" t="n">
        <v>45969</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18059-2022</t>
        </is>
      </c>
      <c r="B720" s="1" t="n">
        <v>44683</v>
      </c>
      <c r="C720" s="1" t="n">
        <v>45969</v>
      </c>
      <c r="D720" t="inlineStr">
        <is>
          <t>NORRBOTTENS LÄN</t>
        </is>
      </c>
      <c r="E720" t="inlineStr">
        <is>
          <t>PITEÅ</t>
        </is>
      </c>
      <c r="G720" t="n">
        <v>5.6</v>
      </c>
      <c r="H720" t="n">
        <v>0</v>
      </c>
      <c r="I720" t="n">
        <v>0</v>
      </c>
      <c r="J720" t="n">
        <v>0</v>
      </c>
      <c r="K720" t="n">
        <v>0</v>
      </c>
      <c r="L720" t="n">
        <v>0</v>
      </c>
      <c r="M720" t="n">
        <v>0</v>
      </c>
      <c r="N720" t="n">
        <v>0</v>
      </c>
      <c r="O720" t="n">
        <v>0</v>
      </c>
      <c r="P720" t="n">
        <v>0</v>
      </c>
      <c r="Q720" t="n">
        <v>0</v>
      </c>
      <c r="R720" s="2" t="inlineStr"/>
    </row>
    <row r="721" ht="15" customHeight="1">
      <c r="A721" t="inlineStr">
        <is>
          <t>A 29768-2025</t>
        </is>
      </c>
      <c r="B721" s="1" t="n">
        <v>45825.6278587963</v>
      </c>
      <c r="C721" s="1" t="n">
        <v>45969</v>
      </c>
      <c r="D721" t="inlineStr">
        <is>
          <t>NORRBOTTENS LÄN</t>
        </is>
      </c>
      <c r="E721" t="inlineStr">
        <is>
          <t>PITEÅ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30459-2025</t>
        </is>
      </c>
      <c r="B722" s="1" t="n">
        <v>45827</v>
      </c>
      <c r="C722" s="1" t="n">
        <v>45969</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15815-2025</t>
        </is>
      </c>
      <c r="B723" s="1" t="n">
        <v>45748.66990740741</v>
      </c>
      <c r="C723" s="1" t="n">
        <v>45969</v>
      </c>
      <c r="D723" t="inlineStr">
        <is>
          <t>NORRBOTTENS LÄN</t>
        </is>
      </c>
      <c r="E723" t="inlineStr">
        <is>
          <t>PITEÅ</t>
        </is>
      </c>
      <c r="G723" t="n">
        <v>7.5</v>
      </c>
      <c r="H723" t="n">
        <v>0</v>
      </c>
      <c r="I723" t="n">
        <v>0</v>
      </c>
      <c r="J723" t="n">
        <v>0</v>
      </c>
      <c r="K723" t="n">
        <v>0</v>
      </c>
      <c r="L723" t="n">
        <v>0</v>
      </c>
      <c r="M723" t="n">
        <v>0</v>
      </c>
      <c r="N723" t="n">
        <v>0</v>
      </c>
      <c r="O723" t="n">
        <v>0</v>
      </c>
      <c r="P723" t="n">
        <v>0</v>
      </c>
      <c r="Q723" t="n">
        <v>0</v>
      </c>
      <c r="R723" s="2" t="inlineStr"/>
    </row>
    <row r="724" ht="15" customHeight="1">
      <c r="A724" t="inlineStr">
        <is>
          <t>A 51569-2023</t>
        </is>
      </c>
      <c r="B724" s="1" t="n">
        <v>45215</v>
      </c>
      <c r="C724" s="1" t="n">
        <v>45969</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52651-2025</t>
        </is>
      </c>
      <c r="B725" s="1" t="n">
        <v>45955.34616898148</v>
      </c>
      <c r="C725" s="1" t="n">
        <v>45969</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30460-2025</t>
        </is>
      </c>
      <c r="B726" s="1" t="n">
        <v>45827</v>
      </c>
      <c r="C726" s="1" t="n">
        <v>45969</v>
      </c>
      <c r="D726" t="inlineStr">
        <is>
          <t>NORRBOTTENS LÄN</t>
        </is>
      </c>
      <c r="E726" t="inlineStr">
        <is>
          <t>PITEÅ</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30373-2025</t>
        </is>
      </c>
      <c r="B727" s="1" t="n">
        <v>45827.56239583333</v>
      </c>
      <c r="C727" s="1" t="n">
        <v>45969</v>
      </c>
      <c r="D727" t="inlineStr">
        <is>
          <t>NORRBOTTENS LÄN</t>
        </is>
      </c>
      <c r="E727" t="inlineStr">
        <is>
          <t>PITEÅ</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30408-2025</t>
        </is>
      </c>
      <c r="B728" s="1" t="n">
        <v>45827.59447916667</v>
      </c>
      <c r="C728" s="1" t="n">
        <v>45969</v>
      </c>
      <c r="D728" t="inlineStr">
        <is>
          <t>NORRBOTTENS LÄN</t>
        </is>
      </c>
      <c r="E728" t="inlineStr">
        <is>
          <t>PITEÅ</t>
        </is>
      </c>
      <c r="G728" t="n">
        <v>3.2</v>
      </c>
      <c r="H728" t="n">
        <v>0</v>
      </c>
      <c r="I728" t="n">
        <v>0</v>
      </c>
      <c r="J728" t="n">
        <v>0</v>
      </c>
      <c r="K728" t="n">
        <v>0</v>
      </c>
      <c r="L728" t="n">
        <v>0</v>
      </c>
      <c r="M728" t="n">
        <v>0</v>
      </c>
      <c r="N728" t="n">
        <v>0</v>
      </c>
      <c r="O728" t="n">
        <v>0</v>
      </c>
      <c r="P728" t="n">
        <v>0</v>
      </c>
      <c r="Q728" t="n">
        <v>0</v>
      </c>
      <c r="R728" s="2" t="inlineStr"/>
    </row>
    <row r="729" ht="15" customHeight="1">
      <c r="A729" t="inlineStr">
        <is>
          <t>A 52679-2025</t>
        </is>
      </c>
      <c r="B729" s="1" t="n">
        <v>45956</v>
      </c>
      <c r="C729" s="1" t="n">
        <v>45969</v>
      </c>
      <c r="D729" t="inlineStr">
        <is>
          <t>NORRBOTTENS LÄN</t>
        </is>
      </c>
      <c r="E729" t="inlineStr">
        <is>
          <t>PITEÅ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4695-2025</t>
        </is>
      </c>
      <c r="B730" s="1" t="n">
        <v>45688.35956018518</v>
      </c>
      <c r="C730" s="1" t="n">
        <v>45969</v>
      </c>
      <c r="D730" t="inlineStr">
        <is>
          <t>NORRBOTTENS LÄN</t>
        </is>
      </c>
      <c r="E730" t="inlineStr">
        <is>
          <t>PITEÅ</t>
        </is>
      </c>
      <c r="G730" t="n">
        <v>6.3</v>
      </c>
      <c r="H730" t="n">
        <v>0</v>
      </c>
      <c r="I730" t="n">
        <v>0</v>
      </c>
      <c r="J730" t="n">
        <v>0</v>
      </c>
      <c r="K730" t="n">
        <v>0</v>
      </c>
      <c r="L730" t="n">
        <v>0</v>
      </c>
      <c r="M730" t="n">
        <v>0</v>
      </c>
      <c r="N730" t="n">
        <v>0</v>
      </c>
      <c r="O730" t="n">
        <v>0</v>
      </c>
      <c r="P730" t="n">
        <v>0</v>
      </c>
      <c r="Q730" t="n">
        <v>0</v>
      </c>
      <c r="R730" s="2" t="inlineStr"/>
    </row>
    <row r="731" ht="15" customHeight="1">
      <c r="A731" t="inlineStr">
        <is>
          <t>A 30262-2025</t>
        </is>
      </c>
      <c r="B731" s="1" t="n">
        <v>45827.43032407408</v>
      </c>
      <c r="C731" s="1" t="n">
        <v>45969</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53029-2025</t>
        </is>
      </c>
      <c r="B732" s="1" t="n">
        <v>45958.34296296296</v>
      </c>
      <c r="C732" s="1" t="n">
        <v>45969</v>
      </c>
      <c r="D732" t="inlineStr">
        <is>
          <t>NORRBOTTENS LÄN</t>
        </is>
      </c>
      <c r="E732" t="inlineStr">
        <is>
          <t>PITEÅ</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44447-2025</t>
        </is>
      </c>
      <c r="B733" s="1" t="n">
        <v>45916.5984837963</v>
      </c>
      <c r="C733" s="1" t="n">
        <v>45969</v>
      </c>
      <c r="D733" t="inlineStr">
        <is>
          <t>NORRBOTTENS LÄN</t>
        </is>
      </c>
      <c r="E733" t="inlineStr">
        <is>
          <t>PITEÅ</t>
        </is>
      </c>
      <c r="F733" t="inlineStr">
        <is>
          <t>Sveaskog</t>
        </is>
      </c>
      <c r="G733" t="n">
        <v>35.9</v>
      </c>
      <c r="H733" t="n">
        <v>0</v>
      </c>
      <c r="I733" t="n">
        <v>0</v>
      </c>
      <c r="J733" t="n">
        <v>0</v>
      </c>
      <c r="K733" t="n">
        <v>0</v>
      </c>
      <c r="L733" t="n">
        <v>0</v>
      </c>
      <c r="M733" t="n">
        <v>0</v>
      </c>
      <c r="N733" t="n">
        <v>0</v>
      </c>
      <c r="O733" t="n">
        <v>0</v>
      </c>
      <c r="P733" t="n">
        <v>0</v>
      </c>
      <c r="Q733" t="n">
        <v>0</v>
      </c>
      <c r="R733" s="2" t="inlineStr"/>
    </row>
    <row r="734" ht="15" customHeight="1">
      <c r="A734" t="inlineStr">
        <is>
          <t>A 44285-2025</t>
        </is>
      </c>
      <c r="B734" s="1" t="n">
        <v>45916.34553240741</v>
      </c>
      <c r="C734" s="1" t="n">
        <v>45969</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45969</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30809-2025</t>
        </is>
      </c>
      <c r="B736" s="1" t="n">
        <v>45831.65704861111</v>
      </c>
      <c r="C736" s="1" t="n">
        <v>45969</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19433-2025</t>
        </is>
      </c>
      <c r="B737" s="1" t="n">
        <v>45769.89828703704</v>
      </c>
      <c r="C737" s="1" t="n">
        <v>45969</v>
      </c>
      <c r="D737" t="inlineStr">
        <is>
          <t>NORRBOTTENS LÄN</t>
        </is>
      </c>
      <c r="E737" t="inlineStr">
        <is>
          <t>PITEÅ</t>
        </is>
      </c>
      <c r="G737" t="n">
        <v>5</v>
      </c>
      <c r="H737" t="n">
        <v>0</v>
      </c>
      <c r="I737" t="n">
        <v>0</v>
      </c>
      <c r="J737" t="n">
        <v>0</v>
      </c>
      <c r="K737" t="n">
        <v>0</v>
      </c>
      <c r="L737" t="n">
        <v>0</v>
      </c>
      <c r="M737" t="n">
        <v>0</v>
      </c>
      <c r="N737" t="n">
        <v>0</v>
      </c>
      <c r="O737" t="n">
        <v>0</v>
      </c>
      <c r="P737" t="n">
        <v>0</v>
      </c>
      <c r="Q737" t="n">
        <v>0</v>
      </c>
      <c r="R737" s="2" t="inlineStr"/>
    </row>
    <row r="738" ht="15" customHeight="1">
      <c r="A738" t="inlineStr">
        <is>
          <t>A 6744-2025</t>
        </is>
      </c>
      <c r="B738" s="1" t="n">
        <v>45700.60403935185</v>
      </c>
      <c r="C738" s="1" t="n">
        <v>45969</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43910-2025</t>
        </is>
      </c>
      <c r="B739" s="1" t="n">
        <v>45914</v>
      </c>
      <c r="C739" s="1" t="n">
        <v>45969</v>
      </c>
      <c r="D739" t="inlineStr">
        <is>
          <t>NORRBOTTENS LÄN</t>
        </is>
      </c>
      <c r="E739" t="inlineStr">
        <is>
          <t>PITEÅ</t>
        </is>
      </c>
      <c r="G739" t="n">
        <v>3.7</v>
      </c>
      <c r="H739" t="n">
        <v>0</v>
      </c>
      <c r="I739" t="n">
        <v>0</v>
      </c>
      <c r="J739" t="n">
        <v>0</v>
      </c>
      <c r="K739" t="n">
        <v>0</v>
      </c>
      <c r="L739" t="n">
        <v>0</v>
      </c>
      <c r="M739" t="n">
        <v>0</v>
      </c>
      <c r="N739" t="n">
        <v>0</v>
      </c>
      <c r="O739" t="n">
        <v>0</v>
      </c>
      <c r="P739" t="n">
        <v>0</v>
      </c>
      <c r="Q739" t="n">
        <v>0</v>
      </c>
      <c r="R739" s="2" t="inlineStr"/>
    </row>
    <row r="740" ht="15" customHeight="1">
      <c r="A740" t="inlineStr">
        <is>
          <t>A 34337-2022</t>
        </is>
      </c>
      <c r="B740" s="1" t="n">
        <v>44792</v>
      </c>
      <c r="C740" s="1" t="n">
        <v>45969</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16702-2025</t>
        </is>
      </c>
      <c r="B741" s="1" t="n">
        <v>45754.46898148148</v>
      </c>
      <c r="C741" s="1" t="n">
        <v>45969</v>
      </c>
      <c r="D741" t="inlineStr">
        <is>
          <t>NORRBOTTENS LÄN</t>
        </is>
      </c>
      <c r="E741" t="inlineStr">
        <is>
          <t>PITEÅ</t>
        </is>
      </c>
      <c r="G741" t="n">
        <v>3.6</v>
      </c>
      <c r="H741" t="n">
        <v>0</v>
      </c>
      <c r="I741" t="n">
        <v>0</v>
      </c>
      <c r="J741" t="n">
        <v>0</v>
      </c>
      <c r="K741" t="n">
        <v>0</v>
      </c>
      <c r="L741" t="n">
        <v>0</v>
      </c>
      <c r="M741" t="n">
        <v>0</v>
      </c>
      <c r="N741" t="n">
        <v>0</v>
      </c>
      <c r="O741" t="n">
        <v>0</v>
      </c>
      <c r="P741" t="n">
        <v>0</v>
      </c>
      <c r="Q741" t="n">
        <v>0</v>
      </c>
      <c r="R741" s="2" t="inlineStr"/>
    </row>
    <row r="742" ht="15" customHeight="1">
      <c r="A742" t="inlineStr">
        <is>
          <t>A 30949-2025</t>
        </is>
      </c>
      <c r="B742" s="1" t="n">
        <v>45832.42759259259</v>
      </c>
      <c r="C742" s="1" t="n">
        <v>45969</v>
      </c>
      <c r="D742" t="inlineStr">
        <is>
          <t>NORRBOTTENS LÄN</t>
        </is>
      </c>
      <c r="E742" t="inlineStr">
        <is>
          <t>PITEÅ</t>
        </is>
      </c>
      <c r="G742" t="n">
        <v>8</v>
      </c>
      <c r="H742" t="n">
        <v>0</v>
      </c>
      <c r="I742" t="n">
        <v>0</v>
      </c>
      <c r="J742" t="n">
        <v>0</v>
      </c>
      <c r="K742" t="n">
        <v>0</v>
      </c>
      <c r="L742" t="n">
        <v>0</v>
      </c>
      <c r="M742" t="n">
        <v>0</v>
      </c>
      <c r="N742" t="n">
        <v>0</v>
      </c>
      <c r="O742" t="n">
        <v>0</v>
      </c>
      <c r="P742" t="n">
        <v>0</v>
      </c>
      <c r="Q742" t="n">
        <v>0</v>
      </c>
      <c r="R742" s="2" t="inlineStr"/>
    </row>
    <row r="743" ht="15" customHeight="1">
      <c r="A743" t="inlineStr">
        <is>
          <t>A 3656-2025</t>
        </is>
      </c>
      <c r="B743" s="1" t="n">
        <v>45681</v>
      </c>
      <c r="C743" s="1" t="n">
        <v>45969</v>
      </c>
      <c r="D743" t="inlineStr">
        <is>
          <t>NORRBOTTENS LÄN</t>
        </is>
      </c>
      <c r="E743" t="inlineStr">
        <is>
          <t>PITEÅ</t>
        </is>
      </c>
      <c r="G743" t="n">
        <v>4.9</v>
      </c>
      <c r="H743" t="n">
        <v>0</v>
      </c>
      <c r="I743" t="n">
        <v>0</v>
      </c>
      <c r="J743" t="n">
        <v>0</v>
      </c>
      <c r="K743" t="n">
        <v>0</v>
      </c>
      <c r="L743" t="n">
        <v>0</v>
      </c>
      <c r="M743" t="n">
        <v>0</v>
      </c>
      <c r="N743" t="n">
        <v>0</v>
      </c>
      <c r="O743" t="n">
        <v>0</v>
      </c>
      <c r="P743" t="n">
        <v>0</v>
      </c>
      <c r="Q743" t="n">
        <v>0</v>
      </c>
      <c r="R743" s="2" t="inlineStr"/>
    </row>
    <row r="744" ht="15" customHeight="1">
      <c r="A744" t="inlineStr">
        <is>
          <t>A 30629-2025</t>
        </is>
      </c>
      <c r="B744" s="1" t="n">
        <v>45830</v>
      </c>
      <c r="C744" s="1" t="n">
        <v>45969</v>
      </c>
      <c r="D744" t="inlineStr">
        <is>
          <t>NORRBOTTENS LÄN</t>
        </is>
      </c>
      <c r="E744" t="inlineStr">
        <is>
          <t>PITEÅ</t>
        </is>
      </c>
      <c r="G744" t="n">
        <v>13.6</v>
      </c>
      <c r="H744" t="n">
        <v>0</v>
      </c>
      <c r="I744" t="n">
        <v>0</v>
      </c>
      <c r="J744" t="n">
        <v>0</v>
      </c>
      <c r="K744" t="n">
        <v>0</v>
      </c>
      <c r="L744" t="n">
        <v>0</v>
      </c>
      <c r="M744" t="n">
        <v>0</v>
      </c>
      <c r="N744" t="n">
        <v>0</v>
      </c>
      <c r="O744" t="n">
        <v>0</v>
      </c>
      <c r="P744" t="n">
        <v>0</v>
      </c>
      <c r="Q744" t="n">
        <v>0</v>
      </c>
      <c r="R744" s="2" t="inlineStr"/>
    </row>
    <row r="745" ht="15" customHeight="1">
      <c r="A745" t="inlineStr">
        <is>
          <t>A 53100-2025</t>
        </is>
      </c>
      <c r="B745" s="1" t="n">
        <v>45958.42958333333</v>
      </c>
      <c r="C745" s="1" t="n">
        <v>45969</v>
      </c>
      <c r="D745" t="inlineStr">
        <is>
          <t>NORRBOTTENS LÄN</t>
        </is>
      </c>
      <c r="E745" t="inlineStr">
        <is>
          <t>PITEÅ</t>
        </is>
      </c>
      <c r="G745" t="n">
        <v>54.8</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45969</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52643-2025</t>
        </is>
      </c>
      <c r="B747" s="1" t="n">
        <v>45955.34586805556</v>
      </c>
      <c r="C747" s="1" t="n">
        <v>45969</v>
      </c>
      <c r="D747" t="inlineStr">
        <is>
          <t>NORRBOTTENS LÄN</t>
        </is>
      </c>
      <c r="E747" t="inlineStr">
        <is>
          <t>PITEÅ</t>
        </is>
      </c>
      <c r="G747" t="n">
        <v>4.4</v>
      </c>
      <c r="H747" t="n">
        <v>0</v>
      </c>
      <c r="I747" t="n">
        <v>0</v>
      </c>
      <c r="J747" t="n">
        <v>0</v>
      </c>
      <c r="K747" t="n">
        <v>0</v>
      </c>
      <c r="L747" t="n">
        <v>0</v>
      </c>
      <c r="M747" t="n">
        <v>0</v>
      </c>
      <c r="N747" t="n">
        <v>0</v>
      </c>
      <c r="O747" t="n">
        <v>0</v>
      </c>
      <c r="P747" t="n">
        <v>0</v>
      </c>
      <c r="Q747" t="n">
        <v>0</v>
      </c>
      <c r="R747" s="2" t="inlineStr"/>
    </row>
    <row r="748" ht="15" customHeight="1">
      <c r="A748" t="inlineStr">
        <is>
          <t>A 52649-2025</t>
        </is>
      </c>
      <c r="B748" s="1" t="n">
        <v>45955.34609953704</v>
      </c>
      <c r="C748" s="1" t="n">
        <v>45969</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52650-2025</t>
        </is>
      </c>
      <c r="B749" s="1" t="n">
        <v>45955.34613425926</v>
      </c>
      <c r="C749" s="1" t="n">
        <v>45969</v>
      </c>
      <c r="D749" t="inlineStr">
        <is>
          <t>NORRBOTTENS LÄN</t>
        </is>
      </c>
      <c r="E749" t="inlineStr">
        <is>
          <t>PITEÅ</t>
        </is>
      </c>
      <c r="G749" t="n">
        <v>3.1</v>
      </c>
      <c r="H749" t="n">
        <v>0</v>
      </c>
      <c r="I749" t="n">
        <v>0</v>
      </c>
      <c r="J749" t="n">
        <v>0</v>
      </c>
      <c r="K749" t="n">
        <v>0</v>
      </c>
      <c r="L749" t="n">
        <v>0</v>
      </c>
      <c r="M749" t="n">
        <v>0</v>
      </c>
      <c r="N749" t="n">
        <v>0</v>
      </c>
      <c r="O749" t="n">
        <v>0</v>
      </c>
      <c r="P749" t="n">
        <v>0</v>
      </c>
      <c r="Q749" t="n">
        <v>0</v>
      </c>
      <c r="R749" s="2" t="inlineStr"/>
    </row>
    <row r="750" ht="15" customHeight="1">
      <c r="A750" t="inlineStr">
        <is>
          <t>A 52655-2025</t>
        </is>
      </c>
      <c r="B750" s="1" t="n">
        <v>45955.34633101852</v>
      </c>
      <c r="C750" s="1" t="n">
        <v>45969</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17318-2024</t>
        </is>
      </c>
      <c r="B751" s="1" t="n">
        <v>45414</v>
      </c>
      <c r="C751" s="1" t="n">
        <v>45969</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44059-2025</t>
        </is>
      </c>
      <c r="B752" s="1" t="n">
        <v>45915.53157407408</v>
      </c>
      <c r="C752" s="1" t="n">
        <v>45969</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52682-2025</t>
        </is>
      </c>
      <c r="B753" s="1" t="n">
        <v>45956</v>
      </c>
      <c r="C753" s="1" t="n">
        <v>45969</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52653-2025</t>
        </is>
      </c>
      <c r="B754" s="1" t="n">
        <v>45955.34627314815</v>
      </c>
      <c r="C754" s="1" t="n">
        <v>45969</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52654-2025</t>
        </is>
      </c>
      <c r="B755" s="1" t="n">
        <v>45955.34628472223</v>
      </c>
      <c r="C755" s="1" t="n">
        <v>45969</v>
      </c>
      <c r="D755" t="inlineStr">
        <is>
          <t>NORRBOTTENS LÄN</t>
        </is>
      </c>
      <c r="E755" t="inlineStr">
        <is>
          <t>PITEÅ</t>
        </is>
      </c>
      <c r="G755" t="n">
        <v>1.9</v>
      </c>
      <c r="H755" t="n">
        <v>0</v>
      </c>
      <c r="I755" t="n">
        <v>0</v>
      </c>
      <c r="J755" t="n">
        <v>0</v>
      </c>
      <c r="K755" t="n">
        <v>0</v>
      </c>
      <c r="L755" t="n">
        <v>0</v>
      </c>
      <c r="M755" t="n">
        <v>0</v>
      </c>
      <c r="N755" t="n">
        <v>0</v>
      </c>
      <c r="O755" t="n">
        <v>0</v>
      </c>
      <c r="P755" t="n">
        <v>0</v>
      </c>
      <c r="Q755" t="n">
        <v>0</v>
      </c>
      <c r="R755" s="2" t="inlineStr"/>
    </row>
    <row r="756" ht="15" customHeight="1">
      <c r="A756" t="inlineStr">
        <is>
          <t>A 31453-2025</t>
        </is>
      </c>
      <c r="B756" s="1" t="n">
        <v>45833.53407407407</v>
      </c>
      <c r="C756" s="1" t="n">
        <v>45969</v>
      </c>
      <c r="D756" t="inlineStr">
        <is>
          <t>NORRBOTTENS LÄN</t>
        </is>
      </c>
      <c r="E756" t="inlineStr">
        <is>
          <t>PITEÅ</t>
        </is>
      </c>
      <c r="G756" t="n">
        <v>1.1</v>
      </c>
      <c r="H756" t="n">
        <v>0</v>
      </c>
      <c r="I756" t="n">
        <v>0</v>
      </c>
      <c r="J756" t="n">
        <v>0</v>
      </c>
      <c r="K756" t="n">
        <v>0</v>
      </c>
      <c r="L756" t="n">
        <v>0</v>
      </c>
      <c r="M756" t="n">
        <v>0</v>
      </c>
      <c r="N756" t="n">
        <v>0</v>
      </c>
      <c r="O756" t="n">
        <v>0</v>
      </c>
      <c r="P756" t="n">
        <v>0</v>
      </c>
      <c r="Q756" t="n">
        <v>0</v>
      </c>
      <c r="R756" s="2" t="inlineStr"/>
    </row>
    <row r="757" ht="15" customHeight="1">
      <c r="A757" t="inlineStr">
        <is>
          <t>A 44058-2025</t>
        </is>
      </c>
      <c r="B757" s="1" t="n">
        <v>45915.53155092592</v>
      </c>
      <c r="C757" s="1" t="n">
        <v>45969</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44078-2025</t>
        </is>
      </c>
      <c r="B758" s="1" t="n">
        <v>45915.55196759259</v>
      </c>
      <c r="C758" s="1" t="n">
        <v>45969</v>
      </c>
      <c r="D758" t="inlineStr">
        <is>
          <t>NORRBOTTENS LÄN</t>
        </is>
      </c>
      <c r="E758" t="inlineStr">
        <is>
          <t>PITEÅ</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45969</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44080-2025</t>
        </is>
      </c>
      <c r="B760" s="1" t="n">
        <v>45915.55274305555</v>
      </c>
      <c r="C760" s="1" t="n">
        <v>45969</v>
      </c>
      <c r="D760" t="inlineStr">
        <is>
          <t>NORRBOTTENS LÄN</t>
        </is>
      </c>
      <c r="E760" t="inlineStr">
        <is>
          <t>PITEÅ</t>
        </is>
      </c>
      <c r="G760" t="n">
        <v>7.9</v>
      </c>
      <c r="H760" t="n">
        <v>0</v>
      </c>
      <c r="I760" t="n">
        <v>0</v>
      </c>
      <c r="J760" t="n">
        <v>0</v>
      </c>
      <c r="K760" t="n">
        <v>0</v>
      </c>
      <c r="L760" t="n">
        <v>0</v>
      </c>
      <c r="M760" t="n">
        <v>0</v>
      </c>
      <c r="N760" t="n">
        <v>0</v>
      </c>
      <c r="O760" t="n">
        <v>0</v>
      </c>
      <c r="P760" t="n">
        <v>0</v>
      </c>
      <c r="Q760" t="n">
        <v>0</v>
      </c>
      <c r="R760" s="2" t="inlineStr"/>
    </row>
    <row r="761" ht="15" customHeight="1">
      <c r="A761" t="inlineStr">
        <is>
          <t>A 28282-2021</t>
        </is>
      </c>
      <c r="B761" s="1" t="n">
        <v>44355</v>
      </c>
      <c r="C761" s="1" t="n">
        <v>45969</v>
      </c>
      <c r="D761" t="inlineStr">
        <is>
          <t>NORRBOTTENS LÄN</t>
        </is>
      </c>
      <c r="E761" t="inlineStr">
        <is>
          <t>PITEÅ</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50745-2025</t>
        </is>
      </c>
      <c r="B762" s="1" t="n">
        <v>45946.38613425926</v>
      </c>
      <c r="C762" s="1" t="n">
        <v>45969</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10417-2025</t>
        </is>
      </c>
      <c r="B763" s="1" t="n">
        <v>45720.6356712963</v>
      </c>
      <c r="C763" s="1" t="n">
        <v>45969</v>
      </c>
      <c r="D763" t="inlineStr">
        <is>
          <t>NORRBOTTENS LÄN</t>
        </is>
      </c>
      <c r="E763" t="inlineStr">
        <is>
          <t>PITEÅ</t>
        </is>
      </c>
      <c r="G763" t="n">
        <v>21.9</v>
      </c>
      <c r="H763" t="n">
        <v>0</v>
      </c>
      <c r="I763" t="n">
        <v>0</v>
      </c>
      <c r="J763" t="n">
        <v>0</v>
      </c>
      <c r="K763" t="n">
        <v>0</v>
      </c>
      <c r="L763" t="n">
        <v>0</v>
      </c>
      <c r="M763" t="n">
        <v>0</v>
      </c>
      <c r="N763" t="n">
        <v>0</v>
      </c>
      <c r="O763" t="n">
        <v>0</v>
      </c>
      <c r="P763" t="n">
        <v>0</v>
      </c>
      <c r="Q763" t="n">
        <v>0</v>
      </c>
      <c r="R763" s="2" t="inlineStr"/>
    </row>
    <row r="764" ht="15" customHeight="1">
      <c r="A764" t="inlineStr">
        <is>
          <t>A 31633-2025</t>
        </is>
      </c>
      <c r="B764" s="1" t="n">
        <v>45834</v>
      </c>
      <c r="C764" s="1" t="n">
        <v>45969</v>
      </c>
      <c r="D764" t="inlineStr">
        <is>
          <t>NORRBOTTENS LÄN</t>
        </is>
      </c>
      <c r="E764" t="inlineStr">
        <is>
          <t>PITEÅ</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51578-2023</t>
        </is>
      </c>
      <c r="B765" s="1" t="n">
        <v>45215</v>
      </c>
      <c r="C765" s="1" t="n">
        <v>45969</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17944-2025</t>
        </is>
      </c>
      <c r="B766" s="1" t="n">
        <v>45760.61570601852</v>
      </c>
      <c r="C766" s="1" t="n">
        <v>45969</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4868-2025</t>
        </is>
      </c>
      <c r="B767" s="1" t="n">
        <v>45688</v>
      </c>
      <c r="C767" s="1" t="n">
        <v>45969</v>
      </c>
      <c r="D767" t="inlineStr">
        <is>
          <t>NORRBOTTENS LÄN</t>
        </is>
      </c>
      <c r="E767" t="inlineStr">
        <is>
          <t>PITEÅ</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45969</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44732-2025</t>
        </is>
      </c>
      <c r="B769" s="1" t="n">
        <v>45917.65427083334</v>
      </c>
      <c r="C769" s="1" t="n">
        <v>45969</v>
      </c>
      <c r="D769" t="inlineStr">
        <is>
          <t>NORRBOTTENS LÄN</t>
        </is>
      </c>
      <c r="E769" t="inlineStr">
        <is>
          <t>PITEÅ</t>
        </is>
      </c>
      <c r="G769" t="n">
        <v>3.8</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45969</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57052-2023</t>
        </is>
      </c>
      <c r="B771" s="1" t="n">
        <v>45244</v>
      </c>
      <c r="C771" s="1" t="n">
        <v>45969</v>
      </c>
      <c r="D771" t="inlineStr">
        <is>
          <t>NORRBOTTENS LÄN</t>
        </is>
      </c>
      <c r="E771" t="inlineStr">
        <is>
          <t>PITEÅ</t>
        </is>
      </c>
      <c r="G771" t="n">
        <v>4.2</v>
      </c>
      <c r="H771" t="n">
        <v>0</v>
      </c>
      <c r="I771" t="n">
        <v>0</v>
      </c>
      <c r="J771" t="n">
        <v>0</v>
      </c>
      <c r="K771" t="n">
        <v>0</v>
      </c>
      <c r="L771" t="n">
        <v>0</v>
      </c>
      <c r="M771" t="n">
        <v>0</v>
      </c>
      <c r="N771" t="n">
        <v>0</v>
      </c>
      <c r="O771" t="n">
        <v>0</v>
      </c>
      <c r="P771" t="n">
        <v>0</v>
      </c>
      <c r="Q771" t="n">
        <v>0</v>
      </c>
      <c r="R771" s="2" t="inlineStr"/>
    </row>
    <row r="772" ht="15" customHeight="1">
      <c r="A772" t="inlineStr">
        <is>
          <t>A 57054-2023</t>
        </is>
      </c>
      <c r="B772" s="1" t="n">
        <v>45244</v>
      </c>
      <c r="C772" s="1" t="n">
        <v>45969</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57195-2023</t>
        </is>
      </c>
      <c r="B773" s="1" t="n">
        <v>45245</v>
      </c>
      <c r="C773" s="1" t="n">
        <v>45969</v>
      </c>
      <c r="D773" t="inlineStr">
        <is>
          <t>NORRBOTTENS LÄN</t>
        </is>
      </c>
      <c r="E773" t="inlineStr">
        <is>
          <t>PITEÅ</t>
        </is>
      </c>
      <c r="G773" t="n">
        <v>9</v>
      </c>
      <c r="H773" t="n">
        <v>0</v>
      </c>
      <c r="I773" t="n">
        <v>0</v>
      </c>
      <c r="J773" t="n">
        <v>0</v>
      </c>
      <c r="K773" t="n">
        <v>0</v>
      </c>
      <c r="L773" t="n">
        <v>0</v>
      </c>
      <c r="M773" t="n">
        <v>0</v>
      </c>
      <c r="N773" t="n">
        <v>0</v>
      </c>
      <c r="O773" t="n">
        <v>0</v>
      </c>
      <c r="P773" t="n">
        <v>0</v>
      </c>
      <c r="Q773" t="n">
        <v>0</v>
      </c>
      <c r="R773" s="2" t="inlineStr"/>
    </row>
    <row r="774" ht="15" customHeight="1">
      <c r="A774" t="inlineStr">
        <is>
          <t>A 52435-2025</t>
        </is>
      </c>
      <c r="B774" s="1" t="n">
        <v>45952</v>
      </c>
      <c r="C774" s="1" t="n">
        <v>45969</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39556-2023</t>
        </is>
      </c>
      <c r="B775" s="1" t="n">
        <v>45167</v>
      </c>
      <c r="C775" s="1" t="n">
        <v>45969</v>
      </c>
      <c r="D775" t="inlineStr">
        <is>
          <t>NORRBOTTENS LÄN</t>
        </is>
      </c>
      <c r="E775" t="inlineStr">
        <is>
          <t>PITEÅ</t>
        </is>
      </c>
      <c r="F775" t="inlineStr">
        <is>
          <t>Sveaskog</t>
        </is>
      </c>
      <c r="G775" t="n">
        <v>9.6</v>
      </c>
      <c r="H775" t="n">
        <v>0</v>
      </c>
      <c r="I775" t="n">
        <v>0</v>
      </c>
      <c r="J775" t="n">
        <v>0</v>
      </c>
      <c r="K775" t="n">
        <v>0</v>
      </c>
      <c r="L775" t="n">
        <v>0</v>
      </c>
      <c r="M775" t="n">
        <v>0</v>
      </c>
      <c r="N775" t="n">
        <v>0</v>
      </c>
      <c r="O775" t="n">
        <v>0</v>
      </c>
      <c r="P775" t="n">
        <v>0</v>
      </c>
      <c r="Q775" t="n">
        <v>0</v>
      </c>
      <c r="R775" s="2" t="inlineStr"/>
    </row>
    <row r="776" ht="15" customHeight="1">
      <c r="A776" t="inlineStr">
        <is>
          <t>A 3504-2024</t>
        </is>
      </c>
      <c r="B776" s="1" t="n">
        <v>45320</v>
      </c>
      <c r="C776" s="1" t="n">
        <v>45969</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33185-2025</t>
        </is>
      </c>
      <c r="B777" s="1" t="n">
        <v>45840.59425925926</v>
      </c>
      <c r="C777" s="1" t="n">
        <v>45969</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58009-2024</t>
        </is>
      </c>
      <c r="B778" s="1" t="n">
        <v>45631.65880787037</v>
      </c>
      <c r="C778" s="1" t="n">
        <v>45969</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53578-2025</t>
        </is>
      </c>
      <c r="B779" s="1" t="n">
        <v>45960.42349537037</v>
      </c>
      <c r="C779" s="1" t="n">
        <v>45969</v>
      </c>
      <c r="D779" t="inlineStr">
        <is>
          <t>NORRBOTTENS LÄN</t>
        </is>
      </c>
      <c r="E779" t="inlineStr">
        <is>
          <t>PITEÅ</t>
        </is>
      </c>
      <c r="G779" t="n">
        <v>3</v>
      </c>
      <c r="H779" t="n">
        <v>0</v>
      </c>
      <c r="I779" t="n">
        <v>0</v>
      </c>
      <c r="J779" t="n">
        <v>0</v>
      </c>
      <c r="K779" t="n">
        <v>0</v>
      </c>
      <c r="L779" t="n">
        <v>0</v>
      </c>
      <c r="M779" t="n">
        <v>0</v>
      </c>
      <c r="N779" t="n">
        <v>0</v>
      </c>
      <c r="O779" t="n">
        <v>0</v>
      </c>
      <c r="P779" t="n">
        <v>0</v>
      </c>
      <c r="Q779" t="n">
        <v>0</v>
      </c>
      <c r="R779" s="2" t="inlineStr"/>
    </row>
    <row r="780" ht="15" customHeight="1">
      <c r="A780" t="inlineStr">
        <is>
          <t>A 33114-2025</t>
        </is>
      </c>
      <c r="B780" s="1" t="n">
        <v>45840</v>
      </c>
      <c r="C780" s="1" t="n">
        <v>45969</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52403-2025</t>
        </is>
      </c>
      <c r="B781" s="1" t="n">
        <v>45952</v>
      </c>
      <c r="C781" s="1" t="n">
        <v>45969</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52414-2025</t>
        </is>
      </c>
      <c r="B782" s="1" t="n">
        <v>45952</v>
      </c>
      <c r="C782" s="1" t="n">
        <v>45969</v>
      </c>
      <c r="D782" t="inlineStr">
        <is>
          <t>NORRBOTTENS LÄN</t>
        </is>
      </c>
      <c r="E782" t="inlineStr">
        <is>
          <t>PITEÅ</t>
        </is>
      </c>
      <c r="G782" t="n">
        <v>0.8</v>
      </c>
      <c r="H782" t="n">
        <v>0</v>
      </c>
      <c r="I782" t="n">
        <v>0</v>
      </c>
      <c r="J782" t="n">
        <v>0</v>
      </c>
      <c r="K782" t="n">
        <v>0</v>
      </c>
      <c r="L782" t="n">
        <v>0</v>
      </c>
      <c r="M782" t="n">
        <v>0</v>
      </c>
      <c r="N782" t="n">
        <v>0</v>
      </c>
      <c r="O782" t="n">
        <v>0</v>
      </c>
      <c r="P782" t="n">
        <v>0</v>
      </c>
      <c r="Q782" t="n">
        <v>0</v>
      </c>
      <c r="R782" s="2" t="inlineStr"/>
    </row>
    <row r="783" ht="15" customHeight="1">
      <c r="A783" t="inlineStr">
        <is>
          <t>A 33863-2025</t>
        </is>
      </c>
      <c r="B783" s="1" t="n">
        <v>45842</v>
      </c>
      <c r="C783" s="1" t="n">
        <v>45969</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51655-2025</t>
        </is>
      </c>
      <c r="B784" s="1" t="n">
        <v>45951</v>
      </c>
      <c r="C784" s="1" t="n">
        <v>45969</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33862-2025</t>
        </is>
      </c>
      <c r="B785" s="1" t="n">
        <v>45842</v>
      </c>
      <c r="C785" s="1" t="n">
        <v>45969</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55114-2023</t>
        </is>
      </c>
      <c r="B786" s="1" t="n">
        <v>45237.4725462963</v>
      </c>
      <c r="C786" s="1" t="n">
        <v>45969</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45969</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51273-2023</t>
        </is>
      </c>
      <c r="B788" s="1" t="n">
        <v>45219</v>
      </c>
      <c r="C788" s="1" t="n">
        <v>45969</v>
      </c>
      <c r="D788" t="inlineStr">
        <is>
          <t>NORRBOTTENS LÄN</t>
        </is>
      </c>
      <c r="E788" t="inlineStr">
        <is>
          <t>PITEÅ</t>
        </is>
      </c>
      <c r="G788" t="n">
        <v>1.7</v>
      </c>
      <c r="H788" t="n">
        <v>0</v>
      </c>
      <c r="I788" t="n">
        <v>0</v>
      </c>
      <c r="J788" t="n">
        <v>0</v>
      </c>
      <c r="K788" t="n">
        <v>0</v>
      </c>
      <c r="L788" t="n">
        <v>0</v>
      </c>
      <c r="M788" t="n">
        <v>0</v>
      </c>
      <c r="N788" t="n">
        <v>0</v>
      </c>
      <c r="O788" t="n">
        <v>0</v>
      </c>
      <c r="P788" t="n">
        <v>0</v>
      </c>
      <c r="Q788" t="n">
        <v>0</v>
      </c>
      <c r="R788" s="2" t="inlineStr"/>
    </row>
    <row r="789" ht="15" customHeight="1">
      <c r="A789" t="inlineStr">
        <is>
          <t>A 45573-2025</t>
        </is>
      </c>
      <c r="B789" s="1" t="n">
        <v>45922.65756944445</v>
      </c>
      <c r="C789" s="1" t="n">
        <v>45969</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58537-2023</t>
        </is>
      </c>
      <c r="B790" s="1" t="n">
        <v>45251</v>
      </c>
      <c r="C790" s="1" t="n">
        <v>45969</v>
      </c>
      <c r="D790" t="inlineStr">
        <is>
          <t>NORRBOTTENS LÄN</t>
        </is>
      </c>
      <c r="E790" t="inlineStr">
        <is>
          <t>PITEÅ</t>
        </is>
      </c>
      <c r="G790" t="n">
        <v>5.1</v>
      </c>
      <c r="H790" t="n">
        <v>0</v>
      </c>
      <c r="I790" t="n">
        <v>0</v>
      </c>
      <c r="J790" t="n">
        <v>0</v>
      </c>
      <c r="K790" t="n">
        <v>0</v>
      </c>
      <c r="L790" t="n">
        <v>0</v>
      </c>
      <c r="M790" t="n">
        <v>0</v>
      </c>
      <c r="N790" t="n">
        <v>0</v>
      </c>
      <c r="O790" t="n">
        <v>0</v>
      </c>
      <c r="P790" t="n">
        <v>0</v>
      </c>
      <c r="Q790" t="n">
        <v>0</v>
      </c>
      <c r="R790" s="2" t="inlineStr"/>
    </row>
    <row r="791" ht="15" customHeight="1">
      <c r="A791" t="inlineStr">
        <is>
          <t>A 45480-2025</t>
        </is>
      </c>
      <c r="B791" s="1" t="n">
        <v>45922.53164351852</v>
      </c>
      <c r="C791" s="1" t="n">
        <v>45969</v>
      </c>
      <c r="D791" t="inlineStr">
        <is>
          <t>NORRBOTTENS LÄN</t>
        </is>
      </c>
      <c r="E791" t="inlineStr">
        <is>
          <t>PITEÅ</t>
        </is>
      </c>
      <c r="G791" t="n">
        <v>7.7</v>
      </c>
      <c r="H791" t="n">
        <v>0</v>
      </c>
      <c r="I791" t="n">
        <v>0</v>
      </c>
      <c r="J791" t="n">
        <v>0</v>
      </c>
      <c r="K791" t="n">
        <v>0</v>
      </c>
      <c r="L791" t="n">
        <v>0</v>
      </c>
      <c r="M791" t="n">
        <v>0</v>
      </c>
      <c r="N791" t="n">
        <v>0</v>
      </c>
      <c r="O791" t="n">
        <v>0</v>
      </c>
      <c r="P791" t="n">
        <v>0</v>
      </c>
      <c r="Q791" t="n">
        <v>0</v>
      </c>
      <c r="R791" s="2" t="inlineStr"/>
    </row>
    <row r="792" ht="15" customHeight="1">
      <c r="A792" t="inlineStr">
        <is>
          <t>A 65015-2023</t>
        </is>
      </c>
      <c r="B792" s="1" t="n">
        <v>45287.40711805555</v>
      </c>
      <c r="C792" s="1" t="n">
        <v>45969</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34677-2025</t>
        </is>
      </c>
      <c r="B793" s="1" t="n">
        <v>45848</v>
      </c>
      <c r="C793" s="1" t="n">
        <v>45969</v>
      </c>
      <c r="D793" t="inlineStr">
        <is>
          <t>NORRBOTTENS LÄN</t>
        </is>
      </c>
      <c r="E793" t="inlineStr">
        <is>
          <t>PITEÅ</t>
        </is>
      </c>
      <c r="G793" t="n">
        <v>2.8</v>
      </c>
      <c r="H793" t="n">
        <v>0</v>
      </c>
      <c r="I793" t="n">
        <v>0</v>
      </c>
      <c r="J793" t="n">
        <v>0</v>
      </c>
      <c r="K793" t="n">
        <v>0</v>
      </c>
      <c r="L793" t="n">
        <v>0</v>
      </c>
      <c r="M793" t="n">
        <v>0</v>
      </c>
      <c r="N793" t="n">
        <v>0</v>
      </c>
      <c r="O793" t="n">
        <v>0</v>
      </c>
      <c r="P793" t="n">
        <v>0</v>
      </c>
      <c r="Q793" t="n">
        <v>0</v>
      </c>
      <c r="R793" s="2" t="inlineStr"/>
    </row>
    <row r="794" ht="15" customHeight="1">
      <c r="A794" t="inlineStr">
        <is>
          <t>A 34675-2025</t>
        </is>
      </c>
      <c r="B794" s="1" t="n">
        <v>45848.41678240741</v>
      </c>
      <c r="C794" s="1" t="n">
        <v>45969</v>
      </c>
      <c r="D794" t="inlineStr">
        <is>
          <t>NORRBOTTENS LÄN</t>
        </is>
      </c>
      <c r="E794" t="inlineStr">
        <is>
          <t>PITEÅ</t>
        </is>
      </c>
      <c r="F794" t="inlineStr">
        <is>
          <t>Sveaskog</t>
        </is>
      </c>
      <c r="G794" t="n">
        <v>14.1</v>
      </c>
      <c r="H794" t="n">
        <v>0</v>
      </c>
      <c r="I794" t="n">
        <v>0</v>
      </c>
      <c r="J794" t="n">
        <v>0</v>
      </c>
      <c r="K794" t="n">
        <v>0</v>
      </c>
      <c r="L794" t="n">
        <v>0</v>
      </c>
      <c r="M794" t="n">
        <v>0</v>
      </c>
      <c r="N794" t="n">
        <v>0</v>
      </c>
      <c r="O794" t="n">
        <v>0</v>
      </c>
      <c r="P794" t="n">
        <v>0</v>
      </c>
      <c r="Q794" t="n">
        <v>0</v>
      </c>
      <c r="R794" s="2" t="inlineStr"/>
    </row>
    <row r="795" ht="15" customHeight="1">
      <c r="A795" t="inlineStr">
        <is>
          <t>A 34733-2025</t>
        </is>
      </c>
      <c r="B795" s="1" t="n">
        <v>45848.59751157407</v>
      </c>
      <c r="C795" s="1" t="n">
        <v>45969</v>
      </c>
      <c r="D795" t="inlineStr">
        <is>
          <t>NORRBOTTENS LÄN</t>
        </is>
      </c>
      <c r="E795" t="inlineStr">
        <is>
          <t>PITEÅ</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34809-2025</t>
        </is>
      </c>
      <c r="B796" s="1" t="n">
        <v>45849.34408564815</v>
      </c>
      <c r="C796" s="1" t="n">
        <v>45969</v>
      </c>
      <c r="D796" t="inlineStr">
        <is>
          <t>NORRBOTTENS LÄN</t>
        </is>
      </c>
      <c r="E796" t="inlineStr">
        <is>
          <t>PITEÅ</t>
        </is>
      </c>
      <c r="F796" t="inlineStr">
        <is>
          <t>Sveaskog</t>
        </is>
      </c>
      <c r="G796" t="n">
        <v>10</v>
      </c>
      <c r="H796" t="n">
        <v>0</v>
      </c>
      <c r="I796" t="n">
        <v>0</v>
      </c>
      <c r="J796" t="n">
        <v>0</v>
      </c>
      <c r="K796" t="n">
        <v>0</v>
      </c>
      <c r="L796" t="n">
        <v>0</v>
      </c>
      <c r="M796" t="n">
        <v>0</v>
      </c>
      <c r="N796" t="n">
        <v>0</v>
      </c>
      <c r="O796" t="n">
        <v>0</v>
      </c>
      <c r="P796" t="n">
        <v>0</v>
      </c>
      <c r="Q796" t="n">
        <v>0</v>
      </c>
      <c r="R796" s="2" t="inlineStr"/>
    </row>
    <row r="797" ht="15" customHeight="1">
      <c r="A797" t="inlineStr">
        <is>
          <t>A 34797-2025</t>
        </is>
      </c>
      <c r="B797" s="1" t="n">
        <v>45848.80690972223</v>
      </c>
      <c r="C797" s="1" t="n">
        <v>45969</v>
      </c>
      <c r="D797" t="inlineStr">
        <is>
          <t>NORRBOTTENS LÄN</t>
        </is>
      </c>
      <c r="E797" t="inlineStr">
        <is>
          <t>PITEÅ</t>
        </is>
      </c>
      <c r="G797" t="n">
        <v>2.6</v>
      </c>
      <c r="H797" t="n">
        <v>0</v>
      </c>
      <c r="I797" t="n">
        <v>0</v>
      </c>
      <c r="J797" t="n">
        <v>0</v>
      </c>
      <c r="K797" t="n">
        <v>0</v>
      </c>
      <c r="L797" t="n">
        <v>0</v>
      </c>
      <c r="M797" t="n">
        <v>0</v>
      </c>
      <c r="N797" t="n">
        <v>0</v>
      </c>
      <c r="O797" t="n">
        <v>0</v>
      </c>
      <c r="P797" t="n">
        <v>0</v>
      </c>
      <c r="Q797" t="n">
        <v>0</v>
      </c>
      <c r="R797" s="2" t="inlineStr"/>
    </row>
    <row r="798" ht="15" customHeight="1">
      <c r="A798" t="inlineStr">
        <is>
          <t>A 34796-2025</t>
        </is>
      </c>
      <c r="B798" s="1" t="n">
        <v>45848.79878472222</v>
      </c>
      <c r="C798" s="1" t="n">
        <v>45969</v>
      </c>
      <c r="D798" t="inlineStr">
        <is>
          <t>NORRBOTTENS LÄN</t>
        </is>
      </c>
      <c r="E798" t="inlineStr">
        <is>
          <t>PITEÅ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34880-2025</t>
        </is>
      </c>
      <c r="B799" s="1" t="n">
        <v>45849.46875</v>
      </c>
      <c r="C799" s="1" t="n">
        <v>45969</v>
      </c>
      <c r="D799" t="inlineStr">
        <is>
          <t>NORRBOTTENS LÄN</t>
        </is>
      </c>
      <c r="E799" t="inlineStr">
        <is>
          <t>PITEÅ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13624-2025</t>
        </is>
      </c>
      <c r="B800" s="1" t="n">
        <v>45736</v>
      </c>
      <c r="C800" s="1" t="n">
        <v>45969</v>
      </c>
      <c r="D800" t="inlineStr">
        <is>
          <t>NORRBOTTENS LÄN</t>
        </is>
      </c>
      <c r="E800" t="inlineStr">
        <is>
          <t>PITEÅ</t>
        </is>
      </c>
      <c r="G800" t="n">
        <v>5.5</v>
      </c>
      <c r="H800" t="n">
        <v>0</v>
      </c>
      <c r="I800" t="n">
        <v>0</v>
      </c>
      <c r="J800" t="n">
        <v>0</v>
      </c>
      <c r="K800" t="n">
        <v>0</v>
      </c>
      <c r="L800" t="n">
        <v>0</v>
      </c>
      <c r="M800" t="n">
        <v>0</v>
      </c>
      <c r="N800" t="n">
        <v>0</v>
      </c>
      <c r="O800" t="n">
        <v>0</v>
      </c>
      <c r="P800" t="n">
        <v>0</v>
      </c>
      <c r="Q800" t="n">
        <v>0</v>
      </c>
      <c r="R800" s="2" t="inlineStr"/>
    </row>
    <row r="801" ht="15" customHeight="1">
      <c r="A801" t="inlineStr">
        <is>
          <t>A 45061-2025</t>
        </is>
      </c>
      <c r="B801" s="1" t="n">
        <v>45919.34473379629</v>
      </c>
      <c r="C801" s="1" t="n">
        <v>45969</v>
      </c>
      <c r="D801" t="inlineStr">
        <is>
          <t>NORRBOTTENS LÄN</t>
        </is>
      </c>
      <c r="E801" t="inlineStr">
        <is>
          <t>PITEÅ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45062-2025</t>
        </is>
      </c>
      <c r="B802" s="1" t="n">
        <v>45919.34480324074</v>
      </c>
      <c r="C802" s="1" t="n">
        <v>45969</v>
      </c>
      <c r="D802" t="inlineStr">
        <is>
          <t>NORRBOTTENS LÄN</t>
        </is>
      </c>
      <c r="E802" t="inlineStr">
        <is>
          <t>PITEÅ</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8875-2024</t>
        </is>
      </c>
      <c r="B803" s="1" t="n">
        <v>45356.9645949074</v>
      </c>
      <c r="C803" s="1" t="n">
        <v>45969</v>
      </c>
      <c r="D803" t="inlineStr">
        <is>
          <t>NORRBOTTENS LÄN</t>
        </is>
      </c>
      <c r="E803" t="inlineStr">
        <is>
          <t>PITEÅ</t>
        </is>
      </c>
      <c r="G803" t="n">
        <v>11.3</v>
      </c>
      <c r="H803" t="n">
        <v>0</v>
      </c>
      <c r="I803" t="n">
        <v>0</v>
      </c>
      <c r="J803" t="n">
        <v>0</v>
      </c>
      <c r="K803" t="n">
        <v>0</v>
      </c>
      <c r="L803" t="n">
        <v>0</v>
      </c>
      <c r="M803" t="n">
        <v>0</v>
      </c>
      <c r="N803" t="n">
        <v>0</v>
      </c>
      <c r="O803" t="n">
        <v>0</v>
      </c>
      <c r="P803" t="n">
        <v>0</v>
      </c>
      <c r="Q803" t="n">
        <v>0</v>
      </c>
      <c r="R803" s="2" t="inlineStr"/>
    </row>
    <row r="804" ht="15" customHeight="1">
      <c r="A804" t="inlineStr">
        <is>
          <t>A 61636-2023</t>
        </is>
      </c>
      <c r="B804" s="1" t="n">
        <v>45265</v>
      </c>
      <c r="C804" s="1" t="n">
        <v>45969</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45148-2025</t>
        </is>
      </c>
      <c r="B805" s="1" t="n">
        <v>45919.46903935185</v>
      </c>
      <c r="C805" s="1" t="n">
        <v>45969</v>
      </c>
      <c r="D805" t="inlineStr">
        <is>
          <t>NORRBOTTENS LÄN</t>
        </is>
      </c>
      <c r="E805" t="inlineStr">
        <is>
          <t>PITEÅ</t>
        </is>
      </c>
      <c r="G805" t="n">
        <v>1.4</v>
      </c>
      <c r="H805" t="n">
        <v>0</v>
      </c>
      <c r="I805" t="n">
        <v>0</v>
      </c>
      <c r="J805" t="n">
        <v>0</v>
      </c>
      <c r="K805" t="n">
        <v>0</v>
      </c>
      <c r="L805" t="n">
        <v>0</v>
      </c>
      <c r="M805" t="n">
        <v>0</v>
      </c>
      <c r="N805" t="n">
        <v>0</v>
      </c>
      <c r="O805" t="n">
        <v>0</v>
      </c>
      <c r="P805" t="n">
        <v>0</v>
      </c>
      <c r="Q805" t="n">
        <v>0</v>
      </c>
      <c r="R805" s="2" t="inlineStr"/>
    </row>
    <row r="806" ht="15" customHeight="1">
      <c r="A806" t="inlineStr">
        <is>
          <t>A 35402-2025</t>
        </is>
      </c>
      <c r="B806" s="1" t="n">
        <v>45855.34423611111</v>
      </c>
      <c r="C806" s="1" t="n">
        <v>45969</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15747-2025</t>
        </is>
      </c>
      <c r="B807" s="1" t="n">
        <v>45748</v>
      </c>
      <c r="C807" s="1" t="n">
        <v>45969</v>
      </c>
      <c r="D807" t="inlineStr">
        <is>
          <t>NORRBOTTENS LÄN</t>
        </is>
      </c>
      <c r="E807" t="inlineStr">
        <is>
          <t>PITEÅ</t>
        </is>
      </c>
      <c r="G807" t="n">
        <v>4.2</v>
      </c>
      <c r="H807" t="n">
        <v>0</v>
      </c>
      <c r="I807" t="n">
        <v>0</v>
      </c>
      <c r="J807" t="n">
        <v>0</v>
      </c>
      <c r="K807" t="n">
        <v>0</v>
      </c>
      <c r="L807" t="n">
        <v>0</v>
      </c>
      <c r="M807" t="n">
        <v>0</v>
      </c>
      <c r="N807" t="n">
        <v>0</v>
      </c>
      <c r="O807" t="n">
        <v>0</v>
      </c>
      <c r="P807" t="n">
        <v>0</v>
      </c>
      <c r="Q807" t="n">
        <v>0</v>
      </c>
      <c r="R807" s="2" t="inlineStr"/>
    </row>
    <row r="808" ht="15" customHeight="1">
      <c r="A808" t="inlineStr">
        <is>
          <t>A 15760-2025</t>
        </is>
      </c>
      <c r="B808" s="1" t="n">
        <v>45748.57201388889</v>
      </c>
      <c r="C808" s="1" t="n">
        <v>45969</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30477-2025</t>
        </is>
      </c>
      <c r="B809" s="1" t="n">
        <v>45828.40693287037</v>
      </c>
      <c r="C809" s="1" t="n">
        <v>45969</v>
      </c>
      <c r="D809" t="inlineStr">
        <is>
          <t>NORRBOTTENS LÄN</t>
        </is>
      </c>
      <c r="E809" t="inlineStr">
        <is>
          <t>PITEÅ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45594-2025</t>
        </is>
      </c>
      <c r="B810" s="1" t="n">
        <v>45922.67793981481</v>
      </c>
      <c r="C810" s="1" t="n">
        <v>45969</v>
      </c>
      <c r="D810" t="inlineStr">
        <is>
          <t>NORRBOTTENS LÄN</t>
        </is>
      </c>
      <c r="E810" t="inlineStr">
        <is>
          <t>PITEÅ</t>
        </is>
      </c>
      <c r="G810" t="n">
        <v>4.8</v>
      </c>
      <c r="H810" t="n">
        <v>0</v>
      </c>
      <c r="I810" t="n">
        <v>0</v>
      </c>
      <c r="J810" t="n">
        <v>0</v>
      </c>
      <c r="K810" t="n">
        <v>0</v>
      </c>
      <c r="L810" t="n">
        <v>0</v>
      </c>
      <c r="M810" t="n">
        <v>0</v>
      </c>
      <c r="N810" t="n">
        <v>0</v>
      </c>
      <c r="O810" t="n">
        <v>0</v>
      </c>
      <c r="P810" t="n">
        <v>0</v>
      </c>
      <c r="Q810" t="n">
        <v>0</v>
      </c>
      <c r="R810" s="2" t="inlineStr"/>
    </row>
    <row r="811" ht="15" customHeight="1">
      <c r="A811" t="inlineStr">
        <is>
          <t>A 33196-2022</t>
        </is>
      </c>
      <c r="B811" s="1" t="n">
        <v>44785</v>
      </c>
      <c r="C811" s="1" t="n">
        <v>45969</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29678-2024</t>
        </is>
      </c>
      <c r="B812" s="1" t="n">
        <v>45484.94283564815</v>
      </c>
      <c r="C812" s="1" t="n">
        <v>45969</v>
      </c>
      <c r="D812" t="inlineStr">
        <is>
          <t>NORRBOTTENS LÄN</t>
        </is>
      </c>
      <c r="E812" t="inlineStr">
        <is>
          <t>PITEÅ</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11949-2025</t>
        </is>
      </c>
      <c r="B813" s="1" t="n">
        <v>45728.55405092592</v>
      </c>
      <c r="C813" s="1" t="n">
        <v>45969</v>
      </c>
      <c r="D813" t="inlineStr">
        <is>
          <t>NORRBOTTENS LÄN</t>
        </is>
      </c>
      <c r="E813" t="inlineStr">
        <is>
          <t>PITEÅ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44401-2024</t>
        </is>
      </c>
      <c r="B814" s="1" t="n">
        <v>45573.70684027778</v>
      </c>
      <c r="C814" s="1" t="n">
        <v>45969</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24989-2025</t>
        </is>
      </c>
      <c r="B815" s="1" t="n">
        <v>45799.60884259259</v>
      </c>
      <c r="C815" s="1" t="n">
        <v>45969</v>
      </c>
      <c r="D815" t="inlineStr">
        <is>
          <t>NORRBOTTENS LÄN</t>
        </is>
      </c>
      <c r="E815" t="inlineStr">
        <is>
          <t>PITEÅ</t>
        </is>
      </c>
      <c r="G815" t="n">
        <v>11.7</v>
      </c>
      <c r="H815" t="n">
        <v>0</v>
      </c>
      <c r="I815" t="n">
        <v>0</v>
      </c>
      <c r="J815" t="n">
        <v>0</v>
      </c>
      <c r="K815" t="n">
        <v>0</v>
      </c>
      <c r="L815" t="n">
        <v>0</v>
      </c>
      <c r="M815" t="n">
        <v>0</v>
      </c>
      <c r="N815" t="n">
        <v>0</v>
      </c>
      <c r="O815" t="n">
        <v>0</v>
      </c>
      <c r="P815" t="n">
        <v>0</v>
      </c>
      <c r="Q815" t="n">
        <v>0</v>
      </c>
      <c r="R815" s="2" t="inlineStr"/>
    </row>
    <row r="816" ht="15" customHeight="1">
      <c r="A816" t="inlineStr">
        <is>
          <t>A 27268-2022</t>
        </is>
      </c>
      <c r="B816" s="1" t="n">
        <v>44741</v>
      </c>
      <c r="C816" s="1" t="n">
        <v>45969</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35053-2021</t>
        </is>
      </c>
      <c r="B817" s="1" t="n">
        <v>44383</v>
      </c>
      <c r="C817" s="1" t="n">
        <v>45969</v>
      </c>
      <c r="D817" t="inlineStr">
        <is>
          <t>NORRBOTTENS LÄN</t>
        </is>
      </c>
      <c r="E817" t="inlineStr">
        <is>
          <t>PITEÅ</t>
        </is>
      </c>
      <c r="G817" t="n">
        <v>4.2</v>
      </c>
      <c r="H817" t="n">
        <v>0</v>
      </c>
      <c r="I817" t="n">
        <v>0</v>
      </c>
      <c r="J817" t="n">
        <v>0</v>
      </c>
      <c r="K817" t="n">
        <v>0</v>
      </c>
      <c r="L817" t="n">
        <v>0</v>
      </c>
      <c r="M817" t="n">
        <v>0</v>
      </c>
      <c r="N817" t="n">
        <v>0</v>
      </c>
      <c r="O817" t="n">
        <v>0</v>
      </c>
      <c r="P817" t="n">
        <v>0</v>
      </c>
      <c r="Q817" t="n">
        <v>0</v>
      </c>
      <c r="R817" s="2" t="inlineStr"/>
    </row>
    <row r="818" ht="15" customHeight="1">
      <c r="A818" t="inlineStr">
        <is>
          <t>A 35057-2021</t>
        </is>
      </c>
      <c r="B818" s="1" t="n">
        <v>44383</v>
      </c>
      <c r="C818" s="1" t="n">
        <v>45969</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53632-2022</t>
        </is>
      </c>
      <c r="B819" s="1" t="n">
        <v>44879</v>
      </c>
      <c r="C819" s="1" t="n">
        <v>45969</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53633-2022</t>
        </is>
      </c>
      <c r="B820" s="1" t="n">
        <v>44879.9275</v>
      </c>
      <c r="C820" s="1" t="n">
        <v>45969</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61948-2020</t>
        </is>
      </c>
      <c r="B821" s="1" t="n">
        <v>44155</v>
      </c>
      <c r="C821" s="1" t="n">
        <v>45969</v>
      </c>
      <c r="D821" t="inlineStr">
        <is>
          <t>NORRBOTTENS LÄN</t>
        </is>
      </c>
      <c r="E821" t="inlineStr">
        <is>
          <t>PITEÅ</t>
        </is>
      </c>
      <c r="G821" t="n">
        <v>3.3</v>
      </c>
      <c r="H821" t="n">
        <v>0</v>
      </c>
      <c r="I821" t="n">
        <v>0</v>
      </c>
      <c r="J821" t="n">
        <v>0</v>
      </c>
      <c r="K821" t="n">
        <v>0</v>
      </c>
      <c r="L821" t="n">
        <v>0</v>
      </c>
      <c r="M821" t="n">
        <v>0</v>
      </c>
      <c r="N821" t="n">
        <v>0</v>
      </c>
      <c r="O821" t="n">
        <v>0</v>
      </c>
      <c r="P821" t="n">
        <v>0</v>
      </c>
      <c r="Q821" t="n">
        <v>0</v>
      </c>
      <c r="R821" s="2" t="inlineStr"/>
    </row>
    <row r="822" ht="15" customHeight="1">
      <c r="A822" t="inlineStr">
        <is>
          <t>A 27270-2022</t>
        </is>
      </c>
      <c r="B822" s="1" t="n">
        <v>44741</v>
      </c>
      <c r="C822" s="1" t="n">
        <v>45969</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35050-2021</t>
        </is>
      </c>
      <c r="B823" s="1" t="n">
        <v>44383</v>
      </c>
      <c r="C823" s="1" t="n">
        <v>45969</v>
      </c>
      <c r="D823" t="inlineStr">
        <is>
          <t>NORRBOTTENS LÄN</t>
        </is>
      </c>
      <c r="E823" t="inlineStr">
        <is>
          <t>PITEÅ</t>
        </is>
      </c>
      <c r="G823" t="n">
        <v>15.4</v>
      </c>
      <c r="H823" t="n">
        <v>0</v>
      </c>
      <c r="I823" t="n">
        <v>0</v>
      </c>
      <c r="J823" t="n">
        <v>0</v>
      </c>
      <c r="K823" t="n">
        <v>0</v>
      </c>
      <c r="L823" t="n">
        <v>0</v>
      </c>
      <c r="M823" t="n">
        <v>0</v>
      </c>
      <c r="N823" t="n">
        <v>0</v>
      </c>
      <c r="O823" t="n">
        <v>0</v>
      </c>
      <c r="P823" t="n">
        <v>0</v>
      </c>
      <c r="Q823" t="n">
        <v>0</v>
      </c>
      <c r="R823" s="2" t="inlineStr"/>
    </row>
    <row r="824" ht="15" customHeight="1">
      <c r="A824" t="inlineStr">
        <is>
          <t>A 35051-2021</t>
        </is>
      </c>
      <c r="B824" s="1" t="n">
        <v>44383</v>
      </c>
      <c r="C824" s="1" t="n">
        <v>45969</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35056-2021</t>
        </is>
      </c>
      <c r="B825" s="1" t="n">
        <v>44383</v>
      </c>
      <c r="C825" s="1" t="n">
        <v>45969</v>
      </c>
      <c r="D825" t="inlineStr">
        <is>
          <t>NORRBOTTENS LÄN</t>
        </is>
      </c>
      <c r="E825" t="inlineStr">
        <is>
          <t>PITEÅ</t>
        </is>
      </c>
      <c r="G825" t="n">
        <v>7.7</v>
      </c>
      <c r="H825" t="n">
        <v>0</v>
      </c>
      <c r="I825" t="n">
        <v>0</v>
      </c>
      <c r="J825" t="n">
        <v>0</v>
      </c>
      <c r="K825" t="n">
        <v>0</v>
      </c>
      <c r="L825" t="n">
        <v>0</v>
      </c>
      <c r="M825" t="n">
        <v>0</v>
      </c>
      <c r="N825" t="n">
        <v>0</v>
      </c>
      <c r="O825" t="n">
        <v>0</v>
      </c>
      <c r="P825" t="n">
        <v>0</v>
      </c>
      <c r="Q825" t="n">
        <v>0</v>
      </c>
      <c r="R825" s="2" t="inlineStr"/>
    </row>
    <row r="826" ht="15" customHeight="1">
      <c r="A826" t="inlineStr">
        <is>
          <t>A 65769-2021</t>
        </is>
      </c>
      <c r="B826" s="1" t="n">
        <v>44516</v>
      </c>
      <c r="C826" s="1" t="n">
        <v>45969</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67376-2021</t>
        </is>
      </c>
      <c r="B827" s="1" t="n">
        <v>44523</v>
      </c>
      <c r="C827" s="1" t="n">
        <v>45969</v>
      </c>
      <c r="D827" t="inlineStr">
        <is>
          <t>NORRBOTTENS LÄN</t>
        </is>
      </c>
      <c r="E827" t="inlineStr">
        <is>
          <t>PITEÅ</t>
        </is>
      </c>
      <c r="G827" t="n">
        <v>4.6</v>
      </c>
      <c r="H827" t="n">
        <v>0</v>
      </c>
      <c r="I827" t="n">
        <v>0</v>
      </c>
      <c r="J827" t="n">
        <v>0</v>
      </c>
      <c r="K827" t="n">
        <v>0</v>
      </c>
      <c r="L827" t="n">
        <v>0</v>
      </c>
      <c r="M827" t="n">
        <v>0</v>
      </c>
      <c r="N827" t="n">
        <v>0</v>
      </c>
      <c r="O827" t="n">
        <v>0</v>
      </c>
      <c r="P827" t="n">
        <v>0</v>
      </c>
      <c r="Q827" t="n">
        <v>0</v>
      </c>
      <c r="R827" s="2" t="inlineStr"/>
    </row>
    <row r="828" ht="15" customHeight="1">
      <c r="A828" t="inlineStr">
        <is>
          <t>A 65252-2020</t>
        </is>
      </c>
      <c r="B828" s="1" t="n">
        <v>44172</v>
      </c>
      <c r="C828" s="1" t="n">
        <v>45969</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4242-2024</t>
        </is>
      </c>
      <c r="B829" s="1" t="n">
        <v>45324.46291666666</v>
      </c>
      <c r="C829" s="1" t="n">
        <v>45969</v>
      </c>
      <c r="D829" t="inlineStr">
        <is>
          <t>NORRBOTTENS LÄN</t>
        </is>
      </c>
      <c r="E829" t="inlineStr">
        <is>
          <t>PITEÅ</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45067-2025</t>
        </is>
      </c>
      <c r="B830" s="1" t="n">
        <v>45919.34576388889</v>
      </c>
      <c r="C830" s="1" t="n">
        <v>45969</v>
      </c>
      <c r="D830" t="inlineStr">
        <is>
          <t>NORRBOTTENS LÄN</t>
        </is>
      </c>
      <c r="E830" t="inlineStr">
        <is>
          <t>PITEÅ</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4330-2022</t>
        </is>
      </c>
      <c r="B831" s="1" t="n">
        <v>44588</v>
      </c>
      <c r="C831" s="1" t="n">
        <v>45969</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18740-2022</t>
        </is>
      </c>
      <c r="B832" s="1" t="n">
        <v>44687</v>
      </c>
      <c r="C832" s="1" t="n">
        <v>45969</v>
      </c>
      <c r="D832" t="inlineStr">
        <is>
          <t>NORRBOTTENS LÄN</t>
        </is>
      </c>
      <c r="E832" t="inlineStr">
        <is>
          <t>PITEÅ</t>
        </is>
      </c>
      <c r="G832" t="n">
        <v>1.4</v>
      </c>
      <c r="H832" t="n">
        <v>0</v>
      </c>
      <c r="I832" t="n">
        <v>0</v>
      </c>
      <c r="J832" t="n">
        <v>0</v>
      </c>
      <c r="K832" t="n">
        <v>0</v>
      </c>
      <c r="L832" t="n">
        <v>0</v>
      </c>
      <c r="M832" t="n">
        <v>0</v>
      </c>
      <c r="N832" t="n">
        <v>0</v>
      </c>
      <c r="O832" t="n">
        <v>0</v>
      </c>
      <c r="P832" t="n">
        <v>0</v>
      </c>
      <c r="Q832" t="n">
        <v>0</v>
      </c>
      <c r="R832" s="2" t="inlineStr"/>
    </row>
    <row r="833" ht="15" customHeight="1">
      <c r="A833" t="inlineStr">
        <is>
          <t>A 31635-2022</t>
        </is>
      </c>
      <c r="B833" s="1" t="n">
        <v>44775.92741898148</v>
      </c>
      <c r="C833" s="1" t="n">
        <v>45969</v>
      </c>
      <c r="D833" t="inlineStr">
        <is>
          <t>NORRBOTTENS LÄN</t>
        </is>
      </c>
      <c r="E833" t="inlineStr">
        <is>
          <t>PITEÅ</t>
        </is>
      </c>
      <c r="G833" t="n">
        <v>2.9</v>
      </c>
      <c r="H833" t="n">
        <v>0</v>
      </c>
      <c r="I833" t="n">
        <v>0</v>
      </c>
      <c r="J833" t="n">
        <v>0</v>
      </c>
      <c r="K833" t="n">
        <v>0</v>
      </c>
      <c r="L833" t="n">
        <v>0</v>
      </c>
      <c r="M833" t="n">
        <v>0</v>
      </c>
      <c r="N833" t="n">
        <v>0</v>
      </c>
      <c r="O833" t="n">
        <v>0</v>
      </c>
      <c r="P833" t="n">
        <v>0</v>
      </c>
      <c r="Q833" t="n">
        <v>0</v>
      </c>
      <c r="R833" s="2" t="inlineStr"/>
    </row>
    <row r="834" ht="15" customHeight="1">
      <c r="A834" t="inlineStr">
        <is>
          <t>A 45085-2025</t>
        </is>
      </c>
      <c r="B834" s="1" t="n">
        <v>45919</v>
      </c>
      <c r="C834" s="1" t="n">
        <v>45969</v>
      </c>
      <c r="D834" t="inlineStr">
        <is>
          <t>NORRBOTTENS LÄN</t>
        </is>
      </c>
      <c r="E834" t="inlineStr">
        <is>
          <t>PITEÅ</t>
        </is>
      </c>
      <c r="G834" t="n">
        <v>4.3</v>
      </c>
      <c r="H834" t="n">
        <v>0</v>
      </c>
      <c r="I834" t="n">
        <v>0</v>
      </c>
      <c r="J834" t="n">
        <v>0</v>
      </c>
      <c r="K834" t="n">
        <v>0</v>
      </c>
      <c r="L834" t="n">
        <v>0</v>
      </c>
      <c r="M834" t="n">
        <v>0</v>
      </c>
      <c r="N834" t="n">
        <v>0</v>
      </c>
      <c r="O834" t="n">
        <v>0</v>
      </c>
      <c r="P834" t="n">
        <v>0</v>
      </c>
      <c r="Q834" t="n">
        <v>0</v>
      </c>
      <c r="R834" s="2" t="inlineStr"/>
    </row>
    <row r="835" ht="15" customHeight="1">
      <c r="A835" t="inlineStr">
        <is>
          <t>A 35054-2021</t>
        </is>
      </c>
      <c r="B835" s="1" t="n">
        <v>44383</v>
      </c>
      <c r="C835" s="1" t="n">
        <v>45969</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10544-2022</t>
        </is>
      </c>
      <c r="B836" s="1" t="n">
        <v>44623</v>
      </c>
      <c r="C836" s="1" t="n">
        <v>45969</v>
      </c>
      <c r="D836" t="inlineStr">
        <is>
          <t>NORRBOTTENS LÄN</t>
        </is>
      </c>
      <c r="E836" t="inlineStr">
        <is>
          <t>PITEÅ</t>
        </is>
      </c>
      <c r="G836" t="n">
        <v>21.9</v>
      </c>
      <c r="H836" t="n">
        <v>0</v>
      </c>
      <c r="I836" t="n">
        <v>0</v>
      </c>
      <c r="J836" t="n">
        <v>0</v>
      </c>
      <c r="K836" t="n">
        <v>0</v>
      </c>
      <c r="L836" t="n">
        <v>0</v>
      </c>
      <c r="M836" t="n">
        <v>0</v>
      </c>
      <c r="N836" t="n">
        <v>0</v>
      </c>
      <c r="O836" t="n">
        <v>0</v>
      </c>
      <c r="P836" t="n">
        <v>0</v>
      </c>
      <c r="Q836" t="n">
        <v>0</v>
      </c>
      <c r="R836" s="2" t="inlineStr"/>
    </row>
    <row r="837" ht="15" customHeight="1">
      <c r="A837" t="inlineStr">
        <is>
          <t>A 5906-2022</t>
        </is>
      </c>
      <c r="B837" s="1" t="n">
        <v>44596.92112268518</v>
      </c>
      <c r="C837" s="1" t="n">
        <v>45969</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26092-2021</t>
        </is>
      </c>
      <c r="B838" s="1" t="n">
        <v>44344</v>
      </c>
      <c r="C838" s="1" t="n">
        <v>45969</v>
      </c>
      <c r="D838" t="inlineStr">
        <is>
          <t>NORRBOTTENS LÄN</t>
        </is>
      </c>
      <c r="E838" t="inlineStr">
        <is>
          <t>PITEÅ</t>
        </is>
      </c>
      <c r="G838" t="n">
        <v>0.1</v>
      </c>
      <c r="H838" t="n">
        <v>0</v>
      </c>
      <c r="I838" t="n">
        <v>0</v>
      </c>
      <c r="J838" t="n">
        <v>0</v>
      </c>
      <c r="K838" t="n">
        <v>0</v>
      </c>
      <c r="L838" t="n">
        <v>0</v>
      </c>
      <c r="M838" t="n">
        <v>0</v>
      </c>
      <c r="N838" t="n">
        <v>0</v>
      </c>
      <c r="O838" t="n">
        <v>0</v>
      </c>
      <c r="P838" t="n">
        <v>0</v>
      </c>
      <c r="Q838" t="n">
        <v>0</v>
      </c>
      <c r="R838" s="2" t="inlineStr"/>
    </row>
    <row r="839" ht="15" customHeight="1">
      <c r="A839" t="inlineStr">
        <is>
          <t>A 18397-2022</t>
        </is>
      </c>
      <c r="B839" s="1" t="n">
        <v>44685</v>
      </c>
      <c r="C839" s="1" t="n">
        <v>45969</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35917-2025</t>
        </is>
      </c>
      <c r="B840" s="1" t="n">
        <v>45862.554375</v>
      </c>
      <c r="C840" s="1" t="n">
        <v>45969</v>
      </c>
      <c r="D840" t="inlineStr">
        <is>
          <t>NORRBOTTENS LÄN</t>
        </is>
      </c>
      <c r="E840" t="inlineStr">
        <is>
          <t>PITEÅ</t>
        </is>
      </c>
      <c r="G840" t="n">
        <v>3.3</v>
      </c>
      <c r="H840" t="n">
        <v>0</v>
      </c>
      <c r="I840" t="n">
        <v>0</v>
      </c>
      <c r="J840" t="n">
        <v>0</v>
      </c>
      <c r="K840" t="n">
        <v>0</v>
      </c>
      <c r="L840" t="n">
        <v>0</v>
      </c>
      <c r="M840" t="n">
        <v>0</v>
      </c>
      <c r="N840" t="n">
        <v>0</v>
      </c>
      <c r="O840" t="n">
        <v>0</v>
      </c>
      <c r="P840" t="n">
        <v>0</v>
      </c>
      <c r="Q840" t="n">
        <v>0</v>
      </c>
      <c r="R840" s="2" t="inlineStr"/>
    </row>
    <row r="841" ht="15" customHeight="1">
      <c r="A841" t="inlineStr">
        <is>
          <t>A 45072-2025</t>
        </is>
      </c>
      <c r="B841" s="1" t="n">
        <v>45919.35890046296</v>
      </c>
      <c r="C841" s="1" t="n">
        <v>45969</v>
      </c>
      <c r="D841" t="inlineStr">
        <is>
          <t>NORRBOTTENS LÄN</t>
        </is>
      </c>
      <c r="E841" t="inlineStr">
        <is>
          <t>PITEÅ</t>
        </is>
      </c>
      <c r="G841" t="n">
        <v>6.6</v>
      </c>
      <c r="H841" t="n">
        <v>0</v>
      </c>
      <c r="I841" t="n">
        <v>0</v>
      </c>
      <c r="J841" t="n">
        <v>0</v>
      </c>
      <c r="K841" t="n">
        <v>0</v>
      </c>
      <c r="L841" t="n">
        <v>0</v>
      </c>
      <c r="M841" t="n">
        <v>0</v>
      </c>
      <c r="N841" t="n">
        <v>0</v>
      </c>
      <c r="O841" t="n">
        <v>0</v>
      </c>
      <c r="P841" t="n">
        <v>0</v>
      </c>
      <c r="Q841" t="n">
        <v>0</v>
      </c>
      <c r="R841" s="2" t="inlineStr"/>
    </row>
    <row r="842" ht="15" customHeight="1">
      <c r="A842" t="inlineStr">
        <is>
          <t>A 34876-2025</t>
        </is>
      </c>
      <c r="B842" s="1" t="n">
        <v>45849.46329861111</v>
      </c>
      <c r="C842" s="1" t="n">
        <v>45969</v>
      </c>
      <c r="D842" t="inlineStr">
        <is>
          <t>NORRBOTTENS LÄN</t>
        </is>
      </c>
      <c r="E842" t="inlineStr">
        <is>
          <t>PITEÅ</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43885-2023</t>
        </is>
      </c>
      <c r="B843" s="1" t="n">
        <v>45187</v>
      </c>
      <c r="C843" s="1" t="n">
        <v>45969</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45583-2025</t>
        </is>
      </c>
      <c r="B844" s="1" t="n">
        <v>45922</v>
      </c>
      <c r="C844" s="1" t="n">
        <v>45969</v>
      </c>
      <c r="D844" t="inlineStr">
        <is>
          <t>NORRBOTTENS LÄN</t>
        </is>
      </c>
      <c r="E844" t="inlineStr">
        <is>
          <t>PITEÅ</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45969</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19376-2025</t>
        </is>
      </c>
      <c r="B846" s="1" t="n">
        <v>45769.64806712963</v>
      </c>
      <c r="C846" s="1" t="n">
        <v>45969</v>
      </c>
      <c r="D846" t="inlineStr">
        <is>
          <t>NORRBOTTENS LÄN</t>
        </is>
      </c>
      <c r="E846" t="inlineStr">
        <is>
          <t>PITEÅ</t>
        </is>
      </c>
      <c r="G846" t="n">
        <v>1.5</v>
      </c>
      <c r="H846" t="n">
        <v>0</v>
      </c>
      <c r="I846" t="n">
        <v>0</v>
      </c>
      <c r="J846" t="n">
        <v>0</v>
      </c>
      <c r="K846" t="n">
        <v>0</v>
      </c>
      <c r="L846" t="n">
        <v>0</v>
      </c>
      <c r="M846" t="n">
        <v>0</v>
      </c>
      <c r="N846" t="n">
        <v>0</v>
      </c>
      <c r="O846" t="n">
        <v>0</v>
      </c>
      <c r="P846" t="n">
        <v>0</v>
      </c>
      <c r="Q846" t="n">
        <v>0</v>
      </c>
      <c r="R846" s="2" t="inlineStr"/>
    </row>
    <row r="847" ht="15" customHeight="1">
      <c r="A847" t="inlineStr">
        <is>
          <t>A 54104-2025</t>
        </is>
      </c>
      <c r="B847" s="1" t="n">
        <v>45964.42778935185</v>
      </c>
      <c r="C847" s="1" t="n">
        <v>45969</v>
      </c>
      <c r="D847" t="inlineStr">
        <is>
          <t>NORRBOTTENS LÄN</t>
        </is>
      </c>
      <c r="E847" t="inlineStr">
        <is>
          <t>PITEÅ</t>
        </is>
      </c>
      <c r="G847" t="n">
        <v>5</v>
      </c>
      <c r="H847" t="n">
        <v>0</v>
      </c>
      <c r="I847" t="n">
        <v>0</v>
      </c>
      <c r="J847" t="n">
        <v>0</v>
      </c>
      <c r="K847" t="n">
        <v>0</v>
      </c>
      <c r="L847" t="n">
        <v>0</v>
      </c>
      <c r="M847" t="n">
        <v>0</v>
      </c>
      <c r="N847" t="n">
        <v>0</v>
      </c>
      <c r="O847" t="n">
        <v>0</v>
      </c>
      <c r="P847" t="n">
        <v>0</v>
      </c>
      <c r="Q847" t="n">
        <v>0</v>
      </c>
      <c r="R847" s="2" t="inlineStr"/>
    </row>
    <row r="848" ht="15" customHeight="1">
      <c r="A848" t="inlineStr">
        <is>
          <t>A 35974-2025</t>
        </is>
      </c>
      <c r="B848" s="1" t="n">
        <v>45863.42761574074</v>
      </c>
      <c r="C848" s="1" t="n">
        <v>45969</v>
      </c>
      <c r="D848" t="inlineStr">
        <is>
          <t>NORRBOTTENS LÄN</t>
        </is>
      </c>
      <c r="E848" t="inlineStr">
        <is>
          <t>PITEÅ</t>
        </is>
      </c>
      <c r="G848" t="n">
        <v>1.2</v>
      </c>
      <c r="H848" t="n">
        <v>0</v>
      </c>
      <c r="I848" t="n">
        <v>0</v>
      </c>
      <c r="J848" t="n">
        <v>0</v>
      </c>
      <c r="K848" t="n">
        <v>0</v>
      </c>
      <c r="L848" t="n">
        <v>0</v>
      </c>
      <c r="M848" t="n">
        <v>0</v>
      </c>
      <c r="N848" t="n">
        <v>0</v>
      </c>
      <c r="O848" t="n">
        <v>0</v>
      </c>
      <c r="P848" t="n">
        <v>0</v>
      </c>
      <c r="Q848" t="n">
        <v>0</v>
      </c>
      <c r="R848" s="2" t="inlineStr"/>
    </row>
    <row r="849" ht="15" customHeight="1">
      <c r="A849" t="inlineStr">
        <is>
          <t>A 46012-2025</t>
        </is>
      </c>
      <c r="B849" s="1" t="n">
        <v>45924.42099537037</v>
      </c>
      <c r="C849" s="1" t="n">
        <v>45969</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37819-2024</t>
        </is>
      </c>
      <c r="B850" s="1" t="n">
        <v>45544</v>
      </c>
      <c r="C850" s="1" t="n">
        <v>45969</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63197-2023</t>
        </is>
      </c>
      <c r="B851" s="1" t="n">
        <v>45273.60528935185</v>
      </c>
      <c r="C851" s="1" t="n">
        <v>45969</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54778-2025</t>
        </is>
      </c>
      <c r="B852" s="1" t="n">
        <v>45966.61532407408</v>
      </c>
      <c r="C852" s="1" t="n">
        <v>45969</v>
      </c>
      <c r="D852" t="inlineStr">
        <is>
          <t>NORRBOTTENS LÄN</t>
        </is>
      </c>
      <c r="E852" t="inlineStr">
        <is>
          <t>PITEÅ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54777-2025</t>
        </is>
      </c>
      <c r="B853" s="1" t="n">
        <v>45966.61511574074</v>
      </c>
      <c r="C853" s="1" t="n">
        <v>45969</v>
      </c>
      <c r="D853" t="inlineStr">
        <is>
          <t>NORRBOTTENS LÄN</t>
        </is>
      </c>
      <c r="E853" t="inlineStr">
        <is>
          <t>PITEÅ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45956-2025</t>
        </is>
      </c>
      <c r="B854" s="1" t="n">
        <v>45924.34490740741</v>
      </c>
      <c r="C854" s="1" t="n">
        <v>45969</v>
      </c>
      <c r="D854" t="inlineStr">
        <is>
          <t>NORRBOTTENS LÄN</t>
        </is>
      </c>
      <c r="E854" t="inlineStr">
        <is>
          <t>PITEÅ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54614-2025</t>
        </is>
      </c>
      <c r="B855" s="1" t="n">
        <v>45966.33358796296</v>
      </c>
      <c r="C855" s="1" t="n">
        <v>45969</v>
      </c>
      <c r="D855" t="inlineStr">
        <is>
          <t>NORRBOTTENS LÄN</t>
        </is>
      </c>
      <c r="E855" t="inlineStr">
        <is>
          <t>PITEÅ</t>
        </is>
      </c>
      <c r="G855" t="n">
        <v>10</v>
      </c>
      <c r="H855" t="n">
        <v>0</v>
      </c>
      <c r="I855" t="n">
        <v>0</v>
      </c>
      <c r="J855" t="n">
        <v>0</v>
      </c>
      <c r="K855" t="n">
        <v>0</v>
      </c>
      <c r="L855" t="n">
        <v>0</v>
      </c>
      <c r="M855" t="n">
        <v>0</v>
      </c>
      <c r="N855" t="n">
        <v>0</v>
      </c>
      <c r="O855" t="n">
        <v>0</v>
      </c>
      <c r="P855" t="n">
        <v>0</v>
      </c>
      <c r="Q855" t="n">
        <v>0</v>
      </c>
      <c r="R855" s="2" t="inlineStr"/>
    </row>
    <row r="856" ht="15" customHeight="1">
      <c r="A856" t="inlineStr">
        <is>
          <t>A 29552-2024</t>
        </is>
      </c>
      <c r="B856" s="1" t="n">
        <v>45484</v>
      </c>
      <c r="C856" s="1" t="n">
        <v>45969</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61912-2024</t>
        </is>
      </c>
      <c r="B857" s="1" t="n">
        <v>45653.38663194444</v>
      </c>
      <c r="C857" s="1" t="n">
        <v>45969</v>
      </c>
      <c r="D857" t="inlineStr">
        <is>
          <t>NORRBOTTENS LÄN</t>
        </is>
      </c>
      <c r="E857" t="inlineStr">
        <is>
          <t>PITEÅ</t>
        </is>
      </c>
      <c r="G857" t="n">
        <v>7.3</v>
      </c>
      <c r="H857" t="n">
        <v>0</v>
      </c>
      <c r="I857" t="n">
        <v>0</v>
      </c>
      <c r="J857" t="n">
        <v>0</v>
      </c>
      <c r="K857" t="n">
        <v>0</v>
      </c>
      <c r="L857" t="n">
        <v>0</v>
      </c>
      <c r="M857" t="n">
        <v>0</v>
      </c>
      <c r="N857" t="n">
        <v>0</v>
      </c>
      <c r="O857" t="n">
        <v>0</v>
      </c>
      <c r="P857" t="n">
        <v>0</v>
      </c>
      <c r="Q857" t="n">
        <v>0</v>
      </c>
      <c r="R857" s="2" t="inlineStr"/>
    </row>
    <row r="858" ht="15" customHeight="1">
      <c r="A858" t="inlineStr">
        <is>
          <t>A 36438-2025</t>
        </is>
      </c>
      <c r="B858" s="1" t="n">
        <v>45869.37787037037</v>
      </c>
      <c r="C858" s="1" t="n">
        <v>45969</v>
      </c>
      <c r="D858" t="inlineStr">
        <is>
          <t>NORRBOTTENS LÄN</t>
        </is>
      </c>
      <c r="E858" t="inlineStr">
        <is>
          <t>PITEÅ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53663-2025</t>
        </is>
      </c>
      <c r="B859" s="1" t="n">
        <v>45960.54111111111</v>
      </c>
      <c r="C859" s="1" t="n">
        <v>45969</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36518-2025</t>
        </is>
      </c>
      <c r="B860" s="1" t="n">
        <v>45869.598125</v>
      </c>
      <c r="C860" s="1" t="n">
        <v>45969</v>
      </c>
      <c r="D860" t="inlineStr">
        <is>
          <t>NORRBOTTENS LÄN</t>
        </is>
      </c>
      <c r="E860" t="inlineStr">
        <is>
          <t>PITEÅ</t>
        </is>
      </c>
      <c r="F860" t="inlineStr">
        <is>
          <t>Sveaskog</t>
        </is>
      </c>
      <c r="G860" t="n">
        <v>6.2</v>
      </c>
      <c r="H860" t="n">
        <v>0</v>
      </c>
      <c r="I860" t="n">
        <v>0</v>
      </c>
      <c r="J860" t="n">
        <v>0</v>
      </c>
      <c r="K860" t="n">
        <v>0</v>
      </c>
      <c r="L860" t="n">
        <v>0</v>
      </c>
      <c r="M860" t="n">
        <v>0</v>
      </c>
      <c r="N860" t="n">
        <v>0</v>
      </c>
      <c r="O860" t="n">
        <v>0</v>
      </c>
      <c r="P860" t="n">
        <v>0</v>
      </c>
      <c r="Q860" t="n">
        <v>0</v>
      </c>
      <c r="R860" s="2" t="inlineStr"/>
    </row>
    <row r="861" ht="15" customHeight="1">
      <c r="A861" t="inlineStr">
        <is>
          <t>A 14341-2024</t>
        </is>
      </c>
      <c r="B861" s="1" t="n">
        <v>45393</v>
      </c>
      <c r="C861" s="1" t="n">
        <v>45969</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36521-2025</t>
        </is>
      </c>
      <c r="B862" s="1" t="n">
        <v>45869.60490740741</v>
      </c>
      <c r="C862" s="1" t="n">
        <v>45969</v>
      </c>
      <c r="D862" t="inlineStr">
        <is>
          <t>NORRBOTTENS LÄN</t>
        </is>
      </c>
      <c r="E862" t="inlineStr">
        <is>
          <t>PITEÅ</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45957-2025</t>
        </is>
      </c>
      <c r="B863" s="1" t="n">
        <v>45924.34506944445</v>
      </c>
      <c r="C863" s="1" t="n">
        <v>45969</v>
      </c>
      <c r="D863" t="inlineStr">
        <is>
          <t>NORRBOTTENS LÄN</t>
        </is>
      </c>
      <c r="E863" t="inlineStr">
        <is>
          <t>PITEÅ</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21643-2024</t>
        </is>
      </c>
      <c r="B864" s="1" t="n">
        <v>45442.35251157408</v>
      </c>
      <c r="C864" s="1" t="n">
        <v>45969</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28859-2024</t>
        </is>
      </c>
      <c r="B865" s="1" t="n">
        <v>45478.92868055555</v>
      </c>
      <c r="C865" s="1" t="n">
        <v>45969</v>
      </c>
      <c r="D865" t="inlineStr">
        <is>
          <t>NORRBOTTENS LÄN</t>
        </is>
      </c>
      <c r="E865" t="inlineStr">
        <is>
          <t>PITEÅ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26701-2025</t>
        </is>
      </c>
      <c r="B866" s="1" t="n">
        <v>45810.4502199074</v>
      </c>
      <c r="C866" s="1" t="n">
        <v>45969</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45647-2025</t>
        </is>
      </c>
      <c r="B867" s="1" t="n">
        <v>45923</v>
      </c>
      <c r="C867" s="1" t="n">
        <v>45969</v>
      </c>
      <c r="D867" t="inlineStr">
        <is>
          <t>NORRBOTTENS LÄN</t>
        </is>
      </c>
      <c r="E867" t="inlineStr">
        <is>
          <t>PITEÅ</t>
        </is>
      </c>
      <c r="F867" t="inlineStr">
        <is>
          <t>Sveaskog</t>
        </is>
      </c>
      <c r="G867" t="n">
        <v>18.9</v>
      </c>
      <c r="H867" t="n">
        <v>0</v>
      </c>
      <c r="I867" t="n">
        <v>0</v>
      </c>
      <c r="J867" t="n">
        <v>0</v>
      </c>
      <c r="K867" t="n">
        <v>0</v>
      </c>
      <c r="L867" t="n">
        <v>0</v>
      </c>
      <c r="M867" t="n">
        <v>0</v>
      </c>
      <c r="N867" t="n">
        <v>0</v>
      </c>
      <c r="O867" t="n">
        <v>0</v>
      </c>
      <c r="P867" t="n">
        <v>0</v>
      </c>
      <c r="Q867" t="n">
        <v>0</v>
      </c>
      <c r="R867" s="2" t="inlineStr"/>
    </row>
    <row r="868" ht="15" customHeight="1">
      <c r="A868" t="inlineStr">
        <is>
          <t>A 54652-2025</t>
        </is>
      </c>
      <c r="B868" s="1" t="n">
        <v>45966.38028935185</v>
      </c>
      <c r="C868" s="1" t="n">
        <v>45969</v>
      </c>
      <c r="D868" t="inlineStr">
        <is>
          <t>NORRBOTTENS LÄN</t>
        </is>
      </c>
      <c r="E868" t="inlineStr">
        <is>
          <t>PITEÅ</t>
        </is>
      </c>
      <c r="G868" t="n">
        <v>0.9</v>
      </c>
      <c r="H868" t="n">
        <v>0</v>
      </c>
      <c r="I868" t="n">
        <v>0</v>
      </c>
      <c r="J868" t="n">
        <v>0</v>
      </c>
      <c r="K868" t="n">
        <v>0</v>
      </c>
      <c r="L868" t="n">
        <v>0</v>
      </c>
      <c r="M868" t="n">
        <v>0</v>
      </c>
      <c r="N868" t="n">
        <v>0</v>
      </c>
      <c r="O868" t="n">
        <v>0</v>
      </c>
      <c r="P868" t="n">
        <v>0</v>
      </c>
      <c r="Q868" t="n">
        <v>0</v>
      </c>
      <c r="R868" s="2" t="inlineStr"/>
    </row>
    <row r="869" ht="15" customHeight="1">
      <c r="A869" t="inlineStr">
        <is>
          <t>A 52411-2022</t>
        </is>
      </c>
      <c r="B869" s="1" t="n">
        <v>44874</v>
      </c>
      <c r="C869" s="1" t="n">
        <v>45969</v>
      </c>
      <c r="D869" t="inlineStr">
        <is>
          <t>NORRBOTTENS LÄN</t>
        </is>
      </c>
      <c r="E869" t="inlineStr">
        <is>
          <t>PITEÅ</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10713-2023</t>
        </is>
      </c>
      <c r="B870" s="1" t="n">
        <v>44984</v>
      </c>
      <c r="C870" s="1" t="n">
        <v>45969</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46020-2025</t>
        </is>
      </c>
      <c r="B871" s="1" t="n">
        <v>45924</v>
      </c>
      <c r="C871" s="1" t="n">
        <v>45969</v>
      </c>
      <c r="D871" t="inlineStr">
        <is>
          <t>NORRBOTTENS LÄN</t>
        </is>
      </c>
      <c r="E871" t="inlineStr">
        <is>
          <t>PITEÅ</t>
        </is>
      </c>
      <c r="G871" t="n">
        <v>0.6</v>
      </c>
      <c r="H871" t="n">
        <v>0</v>
      </c>
      <c r="I871" t="n">
        <v>0</v>
      </c>
      <c r="J871" t="n">
        <v>0</v>
      </c>
      <c r="K871" t="n">
        <v>0</v>
      </c>
      <c r="L871" t="n">
        <v>0</v>
      </c>
      <c r="M871" t="n">
        <v>0</v>
      </c>
      <c r="N871" t="n">
        <v>0</v>
      </c>
      <c r="O871" t="n">
        <v>0</v>
      </c>
      <c r="P871" t="n">
        <v>0</v>
      </c>
      <c r="Q871" t="n">
        <v>0</v>
      </c>
      <c r="R871" s="2" t="inlineStr"/>
    </row>
    <row r="872" ht="15" customHeight="1">
      <c r="A872" t="inlineStr">
        <is>
          <t>A 53542-2025</t>
        </is>
      </c>
      <c r="B872" s="1" t="n">
        <v>45960.38133101852</v>
      </c>
      <c r="C872" s="1" t="n">
        <v>45969</v>
      </c>
      <c r="D872" t="inlineStr">
        <is>
          <t>NORRBOTTENS LÄN</t>
        </is>
      </c>
      <c r="E872" t="inlineStr">
        <is>
          <t>PITEÅ</t>
        </is>
      </c>
      <c r="G872" t="n">
        <v>8.9</v>
      </c>
      <c r="H872" t="n">
        <v>0</v>
      </c>
      <c r="I872" t="n">
        <v>0</v>
      </c>
      <c r="J872" t="n">
        <v>0</v>
      </c>
      <c r="K872" t="n">
        <v>0</v>
      </c>
      <c r="L872" t="n">
        <v>0</v>
      </c>
      <c r="M872" t="n">
        <v>0</v>
      </c>
      <c r="N872" t="n">
        <v>0</v>
      </c>
      <c r="O872" t="n">
        <v>0</v>
      </c>
      <c r="P872" t="n">
        <v>0</v>
      </c>
      <c r="Q872" t="n">
        <v>0</v>
      </c>
      <c r="R872" s="2" t="inlineStr"/>
    </row>
    <row r="873" ht="15" customHeight="1">
      <c r="A873" t="inlineStr">
        <is>
          <t>A 45713-2024</t>
        </is>
      </c>
      <c r="B873" s="1" t="n">
        <v>45579.58488425926</v>
      </c>
      <c r="C873" s="1" t="n">
        <v>45969</v>
      </c>
      <c r="D873" t="inlineStr">
        <is>
          <t>NORRBOTTENS LÄN</t>
        </is>
      </c>
      <c r="E873" t="inlineStr">
        <is>
          <t>PITEÅ</t>
        </is>
      </c>
      <c r="G873" t="n">
        <v>0.8</v>
      </c>
      <c r="H873" t="n">
        <v>0</v>
      </c>
      <c r="I873" t="n">
        <v>0</v>
      </c>
      <c r="J873" t="n">
        <v>0</v>
      </c>
      <c r="K873" t="n">
        <v>0</v>
      </c>
      <c r="L873" t="n">
        <v>0</v>
      </c>
      <c r="M873" t="n">
        <v>0</v>
      </c>
      <c r="N873" t="n">
        <v>0</v>
      </c>
      <c r="O873" t="n">
        <v>0</v>
      </c>
      <c r="P873" t="n">
        <v>0</v>
      </c>
      <c r="Q873" t="n">
        <v>0</v>
      </c>
      <c r="R873" s="2" t="inlineStr"/>
    </row>
    <row r="874" ht="15" customHeight="1">
      <c r="A874" t="inlineStr">
        <is>
          <t>A 45715-2024</t>
        </is>
      </c>
      <c r="B874" s="1" t="n">
        <v>45579</v>
      </c>
      <c r="C874" s="1" t="n">
        <v>45969</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50559-2024</t>
        </is>
      </c>
      <c r="B875" s="1" t="n">
        <v>45601.59634259259</v>
      </c>
      <c r="C875" s="1" t="n">
        <v>45969</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8267-2023</t>
        </is>
      </c>
      <c r="B876" s="1" t="n">
        <v>44971</v>
      </c>
      <c r="C876" s="1" t="n">
        <v>45969</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46106-2025</t>
        </is>
      </c>
      <c r="B877" s="1" t="n">
        <v>45924.55252314815</v>
      </c>
      <c r="C877" s="1" t="n">
        <v>45969</v>
      </c>
      <c r="D877" t="inlineStr">
        <is>
          <t>NORRBOTTENS LÄN</t>
        </is>
      </c>
      <c r="E877" t="inlineStr">
        <is>
          <t>PITEÅ</t>
        </is>
      </c>
      <c r="G877" t="n">
        <v>2.5</v>
      </c>
      <c r="H877" t="n">
        <v>0</v>
      </c>
      <c r="I877" t="n">
        <v>0</v>
      </c>
      <c r="J877" t="n">
        <v>0</v>
      </c>
      <c r="K877" t="n">
        <v>0</v>
      </c>
      <c r="L877" t="n">
        <v>0</v>
      </c>
      <c r="M877" t="n">
        <v>0</v>
      </c>
      <c r="N877" t="n">
        <v>0</v>
      </c>
      <c r="O877" t="n">
        <v>0</v>
      </c>
      <c r="P877" t="n">
        <v>0</v>
      </c>
      <c r="Q877" t="n">
        <v>0</v>
      </c>
      <c r="R877" s="2" t="inlineStr"/>
    </row>
    <row r="878" ht="15" customHeight="1">
      <c r="A878" t="inlineStr">
        <is>
          <t>A 39606-2024</t>
        </is>
      </c>
      <c r="B878" s="1" t="n">
        <v>45552</v>
      </c>
      <c r="C878" s="1" t="n">
        <v>45969</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45953-2025</t>
        </is>
      </c>
      <c r="B879" s="1" t="n">
        <v>45924.34458333333</v>
      </c>
      <c r="C879" s="1" t="n">
        <v>45969</v>
      </c>
      <c r="D879" t="inlineStr">
        <is>
          <t>NORRBOTTENS LÄN</t>
        </is>
      </c>
      <c r="E879" t="inlineStr">
        <is>
          <t>PITEÅ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45954-2025</t>
        </is>
      </c>
      <c r="B880" s="1" t="n">
        <v>45924.34474537037</v>
      </c>
      <c r="C880" s="1" t="n">
        <v>45969</v>
      </c>
      <c r="D880" t="inlineStr">
        <is>
          <t>NORRBOTTENS LÄN</t>
        </is>
      </c>
      <c r="E880" t="inlineStr">
        <is>
          <t>PITEÅ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8198-2025</t>
        </is>
      </c>
      <c r="B881" s="1" t="n">
        <v>45708</v>
      </c>
      <c r="C881" s="1" t="n">
        <v>45969</v>
      </c>
      <c r="D881" t="inlineStr">
        <is>
          <t>NORRBOTTENS LÄN</t>
        </is>
      </c>
      <c r="E881" t="inlineStr">
        <is>
          <t>PITEÅ</t>
        </is>
      </c>
      <c r="G881" t="n">
        <v>0.9</v>
      </c>
      <c r="H881" t="n">
        <v>0</v>
      </c>
      <c r="I881" t="n">
        <v>0</v>
      </c>
      <c r="J881" t="n">
        <v>0</v>
      </c>
      <c r="K881" t="n">
        <v>0</v>
      </c>
      <c r="L881" t="n">
        <v>0</v>
      </c>
      <c r="M881" t="n">
        <v>0</v>
      </c>
      <c r="N881" t="n">
        <v>0</v>
      </c>
      <c r="O881" t="n">
        <v>0</v>
      </c>
      <c r="P881" t="n">
        <v>0</v>
      </c>
      <c r="Q881" t="n">
        <v>0</v>
      </c>
      <c r="R881" s="2" t="inlineStr"/>
    </row>
    <row r="882" ht="15" customHeight="1">
      <c r="A882" t="inlineStr">
        <is>
          <t>A 53700-2025</t>
        </is>
      </c>
      <c r="B882" s="1" t="n">
        <v>45960</v>
      </c>
      <c r="C882" s="1" t="n">
        <v>45969</v>
      </c>
      <c r="D882" t="inlineStr">
        <is>
          <t>NORRBOTTENS LÄN</t>
        </is>
      </c>
      <c r="E882" t="inlineStr">
        <is>
          <t>PITEÅ</t>
        </is>
      </c>
      <c r="G882" t="n">
        <v>5.6</v>
      </c>
      <c r="H882" t="n">
        <v>0</v>
      </c>
      <c r="I882" t="n">
        <v>0</v>
      </c>
      <c r="J882" t="n">
        <v>0</v>
      </c>
      <c r="K882" t="n">
        <v>0</v>
      </c>
      <c r="L882" t="n">
        <v>0</v>
      </c>
      <c r="M882" t="n">
        <v>0</v>
      </c>
      <c r="N882" t="n">
        <v>0</v>
      </c>
      <c r="O882" t="n">
        <v>0</v>
      </c>
      <c r="P882" t="n">
        <v>0</v>
      </c>
      <c r="Q882" t="n">
        <v>0</v>
      </c>
      <c r="R882" s="2" t="inlineStr"/>
    </row>
    <row r="883" ht="15" customHeight="1">
      <c r="A883" t="inlineStr">
        <is>
          <t>A 3071-2025</t>
        </is>
      </c>
      <c r="B883" s="1" t="n">
        <v>45678.63983796296</v>
      </c>
      <c r="C883" s="1" t="n">
        <v>45969</v>
      </c>
      <c r="D883" t="inlineStr">
        <is>
          <t>NORRBOTTENS LÄN</t>
        </is>
      </c>
      <c r="E883" t="inlineStr">
        <is>
          <t>PITEÅ</t>
        </is>
      </c>
      <c r="G883" t="n">
        <v>3.2</v>
      </c>
      <c r="H883" t="n">
        <v>0</v>
      </c>
      <c r="I883" t="n">
        <v>0</v>
      </c>
      <c r="J883" t="n">
        <v>0</v>
      </c>
      <c r="K883" t="n">
        <v>0</v>
      </c>
      <c r="L883" t="n">
        <v>0</v>
      </c>
      <c r="M883" t="n">
        <v>0</v>
      </c>
      <c r="N883" t="n">
        <v>0</v>
      </c>
      <c r="O883" t="n">
        <v>0</v>
      </c>
      <c r="P883" t="n">
        <v>0</v>
      </c>
      <c r="Q883" t="n">
        <v>0</v>
      </c>
      <c r="R883" s="2" t="inlineStr"/>
    </row>
    <row r="884" ht="15" customHeight="1">
      <c r="A884" t="inlineStr">
        <is>
          <t>A 36741-2025</t>
        </is>
      </c>
      <c r="B884" s="1" t="n">
        <v>45873.53378472223</v>
      </c>
      <c r="C884" s="1" t="n">
        <v>45969</v>
      </c>
      <c r="D884" t="inlineStr">
        <is>
          <t>NORRBOTTENS LÄN</t>
        </is>
      </c>
      <c r="E884" t="inlineStr">
        <is>
          <t>PITEÅ</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36999-2025</t>
        </is>
      </c>
      <c r="B885" s="1" t="n">
        <v>45874.67835648148</v>
      </c>
      <c r="C885" s="1" t="n">
        <v>45969</v>
      </c>
      <c r="D885" t="inlineStr">
        <is>
          <t>NORRBOTTENS LÄN</t>
        </is>
      </c>
      <c r="E885" t="inlineStr">
        <is>
          <t>PITEÅ</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36648-2025</t>
        </is>
      </c>
      <c r="B886" s="1" t="n">
        <v>45872.55440972222</v>
      </c>
      <c r="C886" s="1" t="n">
        <v>45969</v>
      </c>
      <c r="D886" t="inlineStr">
        <is>
          <t>NORRBOTTENS LÄN</t>
        </is>
      </c>
      <c r="E886" t="inlineStr">
        <is>
          <t>PITEÅ</t>
        </is>
      </c>
      <c r="G886" t="n">
        <v>5.1</v>
      </c>
      <c r="H886" t="n">
        <v>0</v>
      </c>
      <c r="I886" t="n">
        <v>0</v>
      </c>
      <c r="J886" t="n">
        <v>0</v>
      </c>
      <c r="K886" t="n">
        <v>0</v>
      </c>
      <c r="L886" t="n">
        <v>0</v>
      </c>
      <c r="M886" t="n">
        <v>0</v>
      </c>
      <c r="N886" t="n">
        <v>0</v>
      </c>
      <c r="O886" t="n">
        <v>0</v>
      </c>
      <c r="P886" t="n">
        <v>0</v>
      </c>
      <c r="Q886" t="n">
        <v>0</v>
      </c>
      <c r="R886" s="2" t="inlineStr"/>
    </row>
    <row r="887" ht="15" customHeight="1">
      <c r="A887" t="inlineStr">
        <is>
          <t>A 36649-2025</t>
        </is>
      </c>
      <c r="B887" s="1" t="n">
        <v>45872.58510416667</v>
      </c>
      <c r="C887" s="1" t="n">
        <v>45969</v>
      </c>
      <c r="D887" t="inlineStr">
        <is>
          <t>NORRBOTTENS LÄN</t>
        </is>
      </c>
      <c r="E887" t="inlineStr">
        <is>
          <t>PITEÅ</t>
        </is>
      </c>
      <c r="G887" t="n">
        <v>4.5</v>
      </c>
      <c r="H887" t="n">
        <v>0</v>
      </c>
      <c r="I887" t="n">
        <v>0</v>
      </c>
      <c r="J887" t="n">
        <v>0</v>
      </c>
      <c r="K887" t="n">
        <v>0</v>
      </c>
      <c r="L887" t="n">
        <v>0</v>
      </c>
      <c r="M887" t="n">
        <v>0</v>
      </c>
      <c r="N887" t="n">
        <v>0</v>
      </c>
      <c r="O887" t="n">
        <v>0</v>
      </c>
      <c r="P887" t="n">
        <v>0</v>
      </c>
      <c r="Q887" t="n">
        <v>0</v>
      </c>
      <c r="R887" s="2" t="inlineStr"/>
    </row>
    <row r="888" ht="15" customHeight="1">
      <c r="A888" t="inlineStr">
        <is>
          <t>A 53448-2025</t>
        </is>
      </c>
      <c r="B888" s="1" t="n">
        <v>45959.65199074074</v>
      </c>
      <c r="C888" s="1" t="n">
        <v>45969</v>
      </c>
      <c r="D888" t="inlineStr">
        <is>
          <t>NORRBOTTENS LÄN</t>
        </is>
      </c>
      <c r="E888" t="inlineStr">
        <is>
          <t>PITEÅ</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53464-2025</t>
        </is>
      </c>
      <c r="B889" s="1" t="n">
        <v>45959.68377314815</v>
      </c>
      <c r="C889" s="1" t="n">
        <v>45969</v>
      </c>
      <c r="D889" t="inlineStr">
        <is>
          <t>NORRBOTTENS LÄN</t>
        </is>
      </c>
      <c r="E889" t="inlineStr">
        <is>
          <t>PITEÅ</t>
        </is>
      </c>
      <c r="F889" t="inlineStr">
        <is>
          <t>Övriga Aktiebolag</t>
        </is>
      </c>
      <c r="G889" t="n">
        <v>3.6</v>
      </c>
      <c r="H889" t="n">
        <v>0</v>
      </c>
      <c r="I889" t="n">
        <v>0</v>
      </c>
      <c r="J889" t="n">
        <v>0</v>
      </c>
      <c r="K889" t="n">
        <v>0</v>
      </c>
      <c r="L889" t="n">
        <v>0</v>
      </c>
      <c r="M889" t="n">
        <v>0</v>
      </c>
      <c r="N889" t="n">
        <v>0</v>
      </c>
      <c r="O889" t="n">
        <v>0</v>
      </c>
      <c r="P889" t="n">
        <v>0</v>
      </c>
      <c r="Q889" t="n">
        <v>0</v>
      </c>
      <c r="R889" s="2" t="inlineStr"/>
    </row>
    <row r="890" ht="15" customHeight="1">
      <c r="A890" t="inlineStr">
        <is>
          <t>A 61462-2024</t>
        </is>
      </c>
      <c r="B890" s="1" t="n">
        <v>45646.50115740741</v>
      </c>
      <c r="C890" s="1" t="n">
        <v>45969</v>
      </c>
      <c r="D890" t="inlineStr">
        <is>
          <t>NORRBOTTENS LÄN</t>
        </is>
      </c>
      <c r="E890" t="inlineStr">
        <is>
          <t>PITEÅ</t>
        </is>
      </c>
      <c r="G890" t="n">
        <v>5.2</v>
      </c>
      <c r="H890" t="n">
        <v>0</v>
      </c>
      <c r="I890" t="n">
        <v>0</v>
      </c>
      <c r="J890" t="n">
        <v>0</v>
      </c>
      <c r="K890" t="n">
        <v>0</v>
      </c>
      <c r="L890" t="n">
        <v>0</v>
      </c>
      <c r="M890" t="n">
        <v>0</v>
      </c>
      <c r="N890" t="n">
        <v>0</v>
      </c>
      <c r="O890" t="n">
        <v>0</v>
      </c>
      <c r="P890" t="n">
        <v>0</v>
      </c>
      <c r="Q890" t="n">
        <v>0</v>
      </c>
      <c r="R890" s="2" t="inlineStr"/>
    </row>
    <row r="891" ht="15" customHeight="1">
      <c r="A891" t="inlineStr">
        <is>
          <t>A 37842-2025</t>
        </is>
      </c>
      <c r="B891" s="1" t="n">
        <v>45881.4366087963</v>
      </c>
      <c r="C891" s="1" t="n">
        <v>45969</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36990-2025</t>
        </is>
      </c>
      <c r="B892" s="1" t="n">
        <v>45874.66177083334</v>
      </c>
      <c r="C892" s="1" t="n">
        <v>45969</v>
      </c>
      <c r="D892" t="inlineStr">
        <is>
          <t>NORRBOTTENS LÄN</t>
        </is>
      </c>
      <c r="E892" t="inlineStr">
        <is>
          <t>PITEÅ</t>
        </is>
      </c>
      <c r="F892" t="inlineStr">
        <is>
          <t>Sveaskog</t>
        </is>
      </c>
      <c r="G892" t="n">
        <v>22.3</v>
      </c>
      <c r="H892" t="n">
        <v>0</v>
      </c>
      <c r="I892" t="n">
        <v>0</v>
      </c>
      <c r="J892" t="n">
        <v>0</v>
      </c>
      <c r="K892" t="n">
        <v>0</v>
      </c>
      <c r="L892" t="n">
        <v>0</v>
      </c>
      <c r="M892" t="n">
        <v>0</v>
      </c>
      <c r="N892" t="n">
        <v>0</v>
      </c>
      <c r="O892" t="n">
        <v>0</v>
      </c>
      <c r="P892" t="n">
        <v>0</v>
      </c>
      <c r="Q892" t="n">
        <v>0</v>
      </c>
      <c r="R892" s="2" t="inlineStr"/>
    </row>
    <row r="893" ht="15" customHeight="1">
      <c r="A893" t="inlineStr">
        <is>
          <t>A 46213-2025</t>
        </is>
      </c>
      <c r="B893" s="1" t="n">
        <v>45924</v>
      </c>
      <c r="C893" s="1" t="n">
        <v>45969</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46143-2025</t>
        </is>
      </c>
      <c r="B894" s="1" t="n">
        <v>45924.60710648148</v>
      </c>
      <c r="C894" s="1" t="n">
        <v>45969</v>
      </c>
      <c r="D894" t="inlineStr">
        <is>
          <t>NORRBOTTENS LÄN</t>
        </is>
      </c>
      <c r="E894" t="inlineStr">
        <is>
          <t>PITEÅ</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36678-2025</t>
        </is>
      </c>
      <c r="B895" s="1" t="n">
        <v>45873</v>
      </c>
      <c r="C895" s="1" t="n">
        <v>45969</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60571-2023</t>
        </is>
      </c>
      <c r="B896" s="1" t="n">
        <v>45259.92872685185</v>
      </c>
      <c r="C896" s="1" t="n">
        <v>45969</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36681-2025</t>
        </is>
      </c>
      <c r="B897" s="1" t="n">
        <v>45873.40009259259</v>
      </c>
      <c r="C897" s="1" t="n">
        <v>45969</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36776-2025</t>
        </is>
      </c>
      <c r="B898" s="1" t="n">
        <v>45873.59333333333</v>
      </c>
      <c r="C898" s="1" t="n">
        <v>45969</v>
      </c>
      <c r="D898" t="inlineStr">
        <is>
          <t>NORRBOTTENS LÄN</t>
        </is>
      </c>
      <c r="E898" t="inlineStr">
        <is>
          <t>PITEÅ</t>
        </is>
      </c>
      <c r="G898" t="n">
        <v>7.2</v>
      </c>
      <c r="H898" t="n">
        <v>0</v>
      </c>
      <c r="I898" t="n">
        <v>0</v>
      </c>
      <c r="J898" t="n">
        <v>0</v>
      </c>
      <c r="K898" t="n">
        <v>0</v>
      </c>
      <c r="L898" t="n">
        <v>0</v>
      </c>
      <c r="M898" t="n">
        <v>0</v>
      </c>
      <c r="N898" t="n">
        <v>0</v>
      </c>
      <c r="O898" t="n">
        <v>0</v>
      </c>
      <c r="P898" t="n">
        <v>0</v>
      </c>
      <c r="Q898" t="n">
        <v>0</v>
      </c>
      <c r="R898" s="2" t="inlineStr"/>
    </row>
    <row r="899" ht="15" customHeight="1">
      <c r="A899" t="inlineStr">
        <is>
          <t>A 41173-2024</t>
        </is>
      </c>
      <c r="B899" s="1" t="n">
        <v>45559.4872337963</v>
      </c>
      <c r="C899" s="1" t="n">
        <v>45969</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67904-2021</t>
        </is>
      </c>
      <c r="B900" s="1" t="n">
        <v>44525</v>
      </c>
      <c r="C900" s="1" t="n">
        <v>45969</v>
      </c>
      <c r="D900" t="inlineStr">
        <is>
          <t>NORRBOTTENS LÄN</t>
        </is>
      </c>
      <c r="E900" t="inlineStr">
        <is>
          <t>PITEÅ</t>
        </is>
      </c>
      <c r="G900" t="n">
        <v>12.7</v>
      </c>
      <c r="H900" t="n">
        <v>0</v>
      </c>
      <c r="I900" t="n">
        <v>0</v>
      </c>
      <c r="J900" t="n">
        <v>0</v>
      </c>
      <c r="K900" t="n">
        <v>0</v>
      </c>
      <c r="L900" t="n">
        <v>0</v>
      </c>
      <c r="M900" t="n">
        <v>0</v>
      </c>
      <c r="N900" t="n">
        <v>0</v>
      </c>
      <c r="O900" t="n">
        <v>0</v>
      </c>
      <c r="P900" t="n">
        <v>0</v>
      </c>
      <c r="Q900" t="n">
        <v>0</v>
      </c>
      <c r="R900" s="2" t="inlineStr"/>
    </row>
    <row r="901" ht="15" customHeight="1">
      <c r="A901" t="inlineStr">
        <is>
          <t>A 38406-2024</t>
        </is>
      </c>
      <c r="B901" s="1" t="n">
        <v>45546</v>
      </c>
      <c r="C901" s="1" t="n">
        <v>45969</v>
      </c>
      <c r="D901" t="inlineStr">
        <is>
          <t>NORRBOTTENS LÄN</t>
        </is>
      </c>
      <c r="E901" t="inlineStr">
        <is>
          <t>PITEÅ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38679-2024</t>
        </is>
      </c>
      <c r="B902" s="1" t="n">
        <v>45547.344375</v>
      </c>
      <c r="C902" s="1" t="n">
        <v>45969</v>
      </c>
      <c r="D902" t="inlineStr">
        <is>
          <t>NORRBOTTENS LÄN</t>
        </is>
      </c>
      <c r="E902" t="inlineStr">
        <is>
          <t>PITEÅ</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37436-2025</t>
        </is>
      </c>
      <c r="B903" s="1" t="n">
        <v>45877.53163194445</v>
      </c>
      <c r="C903" s="1" t="n">
        <v>45969</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37721-2025</t>
        </is>
      </c>
      <c r="B904" s="1" t="n">
        <v>45880.61523148148</v>
      </c>
      <c r="C904" s="1" t="n">
        <v>45969</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45620-2025</t>
        </is>
      </c>
      <c r="B905" s="1" t="n">
        <v>45922.76864583333</v>
      </c>
      <c r="C905" s="1" t="n">
        <v>45969</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37722-2025</t>
        </is>
      </c>
      <c r="B906" s="1" t="n">
        <v>45880.61525462963</v>
      </c>
      <c r="C906" s="1" t="n">
        <v>45969</v>
      </c>
      <c r="D906" t="inlineStr">
        <is>
          <t>NORRBOTTENS LÄN</t>
        </is>
      </c>
      <c r="E906" t="inlineStr">
        <is>
          <t>PITEÅ</t>
        </is>
      </c>
      <c r="G906" t="n">
        <v>3.7</v>
      </c>
      <c r="H906" t="n">
        <v>0</v>
      </c>
      <c r="I906" t="n">
        <v>0</v>
      </c>
      <c r="J906" t="n">
        <v>0</v>
      </c>
      <c r="K906" t="n">
        <v>0</v>
      </c>
      <c r="L906" t="n">
        <v>0</v>
      </c>
      <c r="M906" t="n">
        <v>0</v>
      </c>
      <c r="N906" t="n">
        <v>0</v>
      </c>
      <c r="O906" t="n">
        <v>0</v>
      </c>
      <c r="P906" t="n">
        <v>0</v>
      </c>
      <c r="Q906" t="n">
        <v>0</v>
      </c>
      <c r="R906" s="2" t="inlineStr"/>
    </row>
    <row r="907" ht="15" customHeight="1">
      <c r="A907" t="inlineStr">
        <is>
          <t>A 45958-2025</t>
        </is>
      </c>
      <c r="B907" s="1" t="n">
        <v>45924.34524305556</v>
      </c>
      <c r="C907" s="1" t="n">
        <v>45969</v>
      </c>
      <c r="D907" t="inlineStr">
        <is>
          <t>NORRBOTTENS LÄN</t>
        </is>
      </c>
      <c r="E907" t="inlineStr">
        <is>
          <t>PITEÅ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47321-2025</t>
        </is>
      </c>
      <c r="B908" s="1" t="n">
        <v>45930.55292824074</v>
      </c>
      <c r="C908" s="1" t="n">
        <v>45969</v>
      </c>
      <c r="D908" t="inlineStr">
        <is>
          <t>NORRBOTTENS LÄN</t>
        </is>
      </c>
      <c r="E908" t="inlineStr">
        <is>
          <t>PITEÅ</t>
        </is>
      </c>
      <c r="G908" t="n">
        <v>9.4</v>
      </c>
      <c r="H908" t="n">
        <v>0</v>
      </c>
      <c r="I908" t="n">
        <v>0</v>
      </c>
      <c r="J908" t="n">
        <v>0</v>
      </c>
      <c r="K908" t="n">
        <v>0</v>
      </c>
      <c r="L908" t="n">
        <v>0</v>
      </c>
      <c r="M908" t="n">
        <v>0</v>
      </c>
      <c r="N908" t="n">
        <v>0</v>
      </c>
      <c r="O908" t="n">
        <v>0</v>
      </c>
      <c r="P908" t="n">
        <v>0</v>
      </c>
      <c r="Q908" t="n">
        <v>0</v>
      </c>
      <c r="R908" s="2" t="inlineStr"/>
    </row>
    <row r="909" ht="15" customHeight="1">
      <c r="A909" t="inlineStr">
        <is>
          <t>A 53652-2025</t>
        </is>
      </c>
      <c r="B909" s="1" t="n">
        <v>45960.52788194444</v>
      </c>
      <c r="C909" s="1" t="n">
        <v>45969</v>
      </c>
      <c r="D909" t="inlineStr">
        <is>
          <t>NORRBOTTENS LÄN</t>
        </is>
      </c>
      <c r="E909" t="inlineStr">
        <is>
          <t>PITEÅ</t>
        </is>
      </c>
      <c r="G909" t="n">
        <v>8.1</v>
      </c>
      <c r="H909" t="n">
        <v>0</v>
      </c>
      <c r="I909" t="n">
        <v>0</v>
      </c>
      <c r="J909" t="n">
        <v>0</v>
      </c>
      <c r="K909" t="n">
        <v>0</v>
      </c>
      <c r="L909" t="n">
        <v>0</v>
      </c>
      <c r="M909" t="n">
        <v>0</v>
      </c>
      <c r="N909" t="n">
        <v>0</v>
      </c>
      <c r="O909" t="n">
        <v>0</v>
      </c>
      <c r="P909" t="n">
        <v>0</v>
      </c>
      <c r="Q909" t="n">
        <v>0</v>
      </c>
      <c r="R909" s="2" t="inlineStr"/>
    </row>
    <row r="910" ht="15" customHeight="1">
      <c r="A910" t="inlineStr">
        <is>
          <t>A 53685-2025</t>
        </is>
      </c>
      <c r="B910" s="1" t="n">
        <v>45960</v>
      </c>
      <c r="C910" s="1" t="n">
        <v>45969</v>
      </c>
      <c r="D910" t="inlineStr">
        <is>
          <t>NORRBOTTENS LÄN</t>
        </is>
      </c>
      <c r="E910" t="inlineStr">
        <is>
          <t>PITEÅ</t>
        </is>
      </c>
      <c r="G910" t="n">
        <v>6.4</v>
      </c>
      <c r="H910" t="n">
        <v>0</v>
      </c>
      <c r="I910" t="n">
        <v>0</v>
      </c>
      <c r="J910" t="n">
        <v>0</v>
      </c>
      <c r="K910" t="n">
        <v>0</v>
      </c>
      <c r="L910" t="n">
        <v>0</v>
      </c>
      <c r="M910" t="n">
        <v>0</v>
      </c>
      <c r="N910" t="n">
        <v>0</v>
      </c>
      <c r="O910" t="n">
        <v>0</v>
      </c>
      <c r="P910" t="n">
        <v>0</v>
      </c>
      <c r="Q910" t="n">
        <v>0</v>
      </c>
      <c r="R910" s="2" t="inlineStr"/>
    </row>
    <row r="911" ht="15" customHeight="1">
      <c r="A911" t="inlineStr">
        <is>
          <t>A 46151-2025</t>
        </is>
      </c>
      <c r="B911" s="1" t="n">
        <v>45924.61495370371</v>
      </c>
      <c r="C911" s="1" t="n">
        <v>45969</v>
      </c>
      <c r="D911" t="inlineStr">
        <is>
          <t>NORRBOTTENS LÄN</t>
        </is>
      </c>
      <c r="E911" t="inlineStr">
        <is>
          <t>PITEÅ</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54334-2025</t>
        </is>
      </c>
      <c r="B912" s="1" t="n">
        <v>45965.35112268518</v>
      </c>
      <c r="C912" s="1" t="n">
        <v>45969</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53177-2025</t>
        </is>
      </c>
      <c r="B913" s="1" t="n">
        <v>45958</v>
      </c>
      <c r="C913" s="1" t="n">
        <v>45969</v>
      </c>
      <c r="D913" t="inlineStr">
        <is>
          <t>NORRBOTTENS LÄN</t>
        </is>
      </c>
      <c r="E913" t="inlineStr">
        <is>
          <t>PITEÅ</t>
        </is>
      </c>
      <c r="G913" t="n">
        <v>16.7</v>
      </c>
      <c r="H913" t="n">
        <v>0</v>
      </c>
      <c r="I913" t="n">
        <v>0</v>
      </c>
      <c r="J913" t="n">
        <v>0</v>
      </c>
      <c r="K913" t="n">
        <v>0</v>
      </c>
      <c r="L913" t="n">
        <v>0</v>
      </c>
      <c r="M913" t="n">
        <v>0</v>
      </c>
      <c r="N913" t="n">
        <v>0</v>
      </c>
      <c r="O913" t="n">
        <v>0</v>
      </c>
      <c r="P913" t="n">
        <v>0</v>
      </c>
      <c r="Q913" t="n">
        <v>0</v>
      </c>
      <c r="R913" s="2" t="inlineStr"/>
    </row>
    <row r="914" ht="15" customHeight="1">
      <c r="A914" t="inlineStr">
        <is>
          <t>A 53236-2025</t>
        </is>
      </c>
      <c r="B914" s="1" t="n">
        <v>45958.63005787037</v>
      </c>
      <c r="C914" s="1" t="n">
        <v>45969</v>
      </c>
      <c r="D914" t="inlineStr">
        <is>
          <t>NORRBOTTENS LÄN</t>
        </is>
      </c>
      <c r="E914" t="inlineStr">
        <is>
          <t>PITEÅ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52647-2025</t>
        </is>
      </c>
      <c r="B915" s="1" t="n">
        <v>45955</v>
      </c>
      <c r="C915" s="1" t="n">
        <v>45969</v>
      </c>
      <c r="D915" t="inlineStr">
        <is>
          <t>NORRBOTTENS LÄN</t>
        </is>
      </c>
      <c r="E915" t="inlineStr">
        <is>
          <t>PITEÅ</t>
        </is>
      </c>
      <c r="G915" t="n">
        <v>2.2</v>
      </c>
      <c r="H915" t="n">
        <v>0</v>
      </c>
      <c r="I915" t="n">
        <v>0</v>
      </c>
      <c r="J915" t="n">
        <v>0</v>
      </c>
      <c r="K915" t="n">
        <v>0</v>
      </c>
      <c r="L915" t="n">
        <v>0</v>
      </c>
      <c r="M915" t="n">
        <v>0</v>
      </c>
      <c r="N915" t="n">
        <v>0</v>
      </c>
      <c r="O915" t="n">
        <v>0</v>
      </c>
      <c r="P915" t="n">
        <v>0</v>
      </c>
      <c r="Q915" t="n">
        <v>0</v>
      </c>
      <c r="R915" s="2" t="inlineStr"/>
    </row>
    <row r="916" ht="15" customHeight="1">
      <c r="A916" t="inlineStr">
        <is>
          <t>A 46542-2025</t>
        </is>
      </c>
      <c r="B916" s="1" t="n">
        <v>45926.34465277778</v>
      </c>
      <c r="C916" s="1" t="n">
        <v>45969</v>
      </c>
      <c r="D916" t="inlineStr">
        <is>
          <t>NORRBOTTENS LÄN</t>
        </is>
      </c>
      <c r="E916" t="inlineStr">
        <is>
          <t>PITEÅ</t>
        </is>
      </c>
      <c r="F916" t="inlineStr">
        <is>
          <t>SCA</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52648-2025</t>
        </is>
      </c>
      <c r="B917" s="1" t="n">
        <v>45955</v>
      </c>
      <c r="C917" s="1" t="n">
        <v>45969</v>
      </c>
      <c r="D917" t="inlineStr">
        <is>
          <t>NORRBOTTENS LÄN</t>
        </is>
      </c>
      <c r="E917" t="inlineStr">
        <is>
          <t>PITEÅ</t>
        </is>
      </c>
      <c r="G917" t="n">
        <v>0.4</v>
      </c>
      <c r="H917" t="n">
        <v>0</v>
      </c>
      <c r="I917" t="n">
        <v>0</v>
      </c>
      <c r="J917" t="n">
        <v>0</v>
      </c>
      <c r="K917" t="n">
        <v>0</v>
      </c>
      <c r="L917" t="n">
        <v>0</v>
      </c>
      <c r="M917" t="n">
        <v>0</v>
      </c>
      <c r="N917" t="n">
        <v>0</v>
      </c>
      <c r="O917" t="n">
        <v>0</v>
      </c>
      <c r="P917" t="n">
        <v>0</v>
      </c>
      <c r="Q917" t="n">
        <v>0</v>
      </c>
      <c r="R917" s="2" t="inlineStr"/>
    </row>
    <row r="918" ht="15" customHeight="1">
      <c r="A918" t="inlineStr">
        <is>
          <t>A 46808-2025</t>
        </is>
      </c>
      <c r="B918" s="1" t="n">
        <v>45926</v>
      </c>
      <c r="C918" s="1" t="n">
        <v>45969</v>
      </c>
      <c r="D918" t="inlineStr">
        <is>
          <t>NORRBOTTENS LÄN</t>
        </is>
      </c>
      <c r="E918" t="inlineStr">
        <is>
          <t>PITEÅ</t>
        </is>
      </c>
      <c r="G918" t="n">
        <v>4.2</v>
      </c>
      <c r="H918" t="n">
        <v>0</v>
      </c>
      <c r="I918" t="n">
        <v>0</v>
      </c>
      <c r="J918" t="n">
        <v>0</v>
      </c>
      <c r="K918" t="n">
        <v>0</v>
      </c>
      <c r="L918" t="n">
        <v>0</v>
      </c>
      <c r="M918" t="n">
        <v>0</v>
      </c>
      <c r="N918" t="n">
        <v>0</v>
      </c>
      <c r="O918" t="n">
        <v>0</v>
      </c>
      <c r="P918" t="n">
        <v>0</v>
      </c>
      <c r="Q918" t="n">
        <v>0</v>
      </c>
      <c r="R918" s="2" t="inlineStr"/>
    </row>
    <row r="919" ht="15" customHeight="1">
      <c r="A919" t="inlineStr">
        <is>
          <t>A 52652-2025</t>
        </is>
      </c>
      <c r="B919" s="1" t="n">
        <v>45955.3462037037</v>
      </c>
      <c r="C919" s="1" t="n">
        <v>45969</v>
      </c>
      <c r="D919" t="inlineStr">
        <is>
          <t>NORRBOTTENS LÄN</t>
        </is>
      </c>
      <c r="E919" t="inlineStr">
        <is>
          <t>PITEÅ</t>
        </is>
      </c>
      <c r="G919" t="n">
        <v>1.2</v>
      </c>
      <c r="H919" t="n">
        <v>0</v>
      </c>
      <c r="I919" t="n">
        <v>0</v>
      </c>
      <c r="J919" t="n">
        <v>0</v>
      </c>
      <c r="K919" t="n">
        <v>0</v>
      </c>
      <c r="L919" t="n">
        <v>0</v>
      </c>
      <c r="M919" t="n">
        <v>0</v>
      </c>
      <c r="N919" t="n">
        <v>0</v>
      </c>
      <c r="O919" t="n">
        <v>0</v>
      </c>
      <c r="P919" t="n">
        <v>0</v>
      </c>
      <c r="Q919" t="n">
        <v>0</v>
      </c>
      <c r="R919" s="2" t="inlineStr"/>
    </row>
    <row r="920" ht="15" customHeight="1">
      <c r="A920" t="inlineStr">
        <is>
          <t>A 52656-2025</t>
        </is>
      </c>
      <c r="B920" s="1" t="n">
        <v>45955.34635416666</v>
      </c>
      <c r="C920" s="1" t="n">
        <v>45969</v>
      </c>
      <c r="D920" t="inlineStr">
        <is>
          <t>NORRBOTTENS LÄN</t>
        </is>
      </c>
      <c r="E920" t="inlineStr">
        <is>
          <t>PITEÅ</t>
        </is>
      </c>
      <c r="G920" t="n">
        <v>6.3</v>
      </c>
      <c r="H920" t="n">
        <v>0</v>
      </c>
      <c r="I920" t="n">
        <v>0</v>
      </c>
      <c r="J920" t="n">
        <v>0</v>
      </c>
      <c r="K920" t="n">
        <v>0</v>
      </c>
      <c r="L920" t="n">
        <v>0</v>
      </c>
      <c r="M920" t="n">
        <v>0</v>
      </c>
      <c r="N920" t="n">
        <v>0</v>
      </c>
      <c r="O920" t="n">
        <v>0</v>
      </c>
      <c r="P920" t="n">
        <v>0</v>
      </c>
      <c r="Q920" t="n">
        <v>0</v>
      </c>
      <c r="R920" s="2" t="inlineStr"/>
    </row>
    <row r="921" ht="15" customHeight="1">
      <c r="A921" t="inlineStr">
        <is>
          <t>A 51604-2025</t>
        </is>
      </c>
      <c r="B921" s="1" t="n">
        <v>45951.38586805556</v>
      </c>
      <c r="C921" s="1" t="n">
        <v>45969</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49685-2025</t>
        </is>
      </c>
      <c r="B922" s="1" t="n">
        <v>45939</v>
      </c>
      <c r="C922" s="1" t="n">
        <v>45969</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55220-2025</t>
        </is>
      </c>
      <c r="B923" s="1" t="n">
        <v>45968.59075231481</v>
      </c>
      <c r="C923" s="1" t="n">
        <v>45969</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46601-2025</t>
        </is>
      </c>
      <c r="B924" s="1" t="n">
        <v>45926.40671296296</v>
      </c>
      <c r="C924" s="1" t="n">
        <v>45969</v>
      </c>
      <c r="D924" t="inlineStr">
        <is>
          <t>NORRBOTTENS LÄN</t>
        </is>
      </c>
      <c r="E924" t="inlineStr">
        <is>
          <t>PITEÅ</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52685-2025</t>
        </is>
      </c>
      <c r="B925" s="1" t="n">
        <v>45956</v>
      </c>
      <c r="C925" s="1" t="n">
        <v>45969</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46254-2025</t>
        </is>
      </c>
      <c r="B926" s="1" t="n">
        <v>45925.34530092592</v>
      </c>
      <c r="C926" s="1" t="n">
        <v>45969</v>
      </c>
      <c r="D926" t="inlineStr">
        <is>
          <t>NORRBOTTENS LÄN</t>
        </is>
      </c>
      <c r="E926" t="inlineStr">
        <is>
          <t>PITEÅ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15906-2025</t>
        </is>
      </c>
      <c r="B927" s="1" t="n">
        <v>45749</v>
      </c>
      <c r="C927" s="1" t="n">
        <v>45969</v>
      </c>
      <c r="D927" t="inlineStr">
        <is>
          <t>NORRBOTTENS LÄN</t>
        </is>
      </c>
      <c r="E927" t="inlineStr">
        <is>
          <t>PITEÅ</t>
        </is>
      </c>
      <c r="G927" t="n">
        <v>11.1</v>
      </c>
      <c r="H927" t="n">
        <v>0</v>
      </c>
      <c r="I927" t="n">
        <v>0</v>
      </c>
      <c r="J927" t="n">
        <v>0</v>
      </c>
      <c r="K927" t="n">
        <v>0</v>
      </c>
      <c r="L927" t="n">
        <v>0</v>
      </c>
      <c r="M927" t="n">
        <v>0</v>
      </c>
      <c r="N927" t="n">
        <v>0</v>
      </c>
      <c r="O927" t="n">
        <v>0</v>
      </c>
      <c r="P927" t="n">
        <v>0</v>
      </c>
      <c r="Q927" t="n">
        <v>0</v>
      </c>
      <c r="R927" s="2" t="inlineStr"/>
    </row>
    <row r="928" ht="15" customHeight="1">
      <c r="A928" t="inlineStr">
        <is>
          <t>A 52474-2025</t>
        </is>
      </c>
      <c r="B928" s="1" t="n">
        <v>45954.46243055556</v>
      </c>
      <c r="C928" s="1" t="n">
        <v>45969</v>
      </c>
      <c r="D928" t="inlineStr">
        <is>
          <t>NORRBOTTENS LÄN</t>
        </is>
      </c>
      <c r="E928" t="inlineStr">
        <is>
          <t>PITEÅ</t>
        </is>
      </c>
      <c r="G928" t="n">
        <v>4.9</v>
      </c>
      <c r="H928" t="n">
        <v>0</v>
      </c>
      <c r="I928" t="n">
        <v>0</v>
      </c>
      <c r="J928" t="n">
        <v>0</v>
      </c>
      <c r="K928" t="n">
        <v>0</v>
      </c>
      <c r="L928" t="n">
        <v>0</v>
      </c>
      <c r="M928" t="n">
        <v>0</v>
      </c>
      <c r="N928" t="n">
        <v>0</v>
      </c>
      <c r="O928" t="n">
        <v>0</v>
      </c>
      <c r="P928" t="n">
        <v>0</v>
      </c>
      <c r="Q928" t="n">
        <v>0</v>
      </c>
      <c r="R928" s="2" t="inlineStr"/>
    </row>
    <row r="929" ht="15" customHeight="1">
      <c r="A929" t="inlineStr">
        <is>
          <t>A 55182-2025</t>
        </is>
      </c>
      <c r="B929" s="1" t="n">
        <v>45968.53197916667</v>
      </c>
      <c r="C929" s="1" t="n">
        <v>45969</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55260-2025</t>
        </is>
      </c>
      <c r="B930" s="1" t="n">
        <v>45968.64667824074</v>
      </c>
      <c r="C930" s="1" t="n">
        <v>45969</v>
      </c>
      <c r="D930" t="inlineStr">
        <is>
          <t>NORRBOTTENS LÄN</t>
        </is>
      </c>
      <c r="E930" t="inlineStr">
        <is>
          <t>PITEÅ</t>
        </is>
      </c>
      <c r="F930" t="inlineStr">
        <is>
          <t>Sveaskog</t>
        </is>
      </c>
      <c r="G930" t="n">
        <v>3.7</v>
      </c>
      <c r="H930" t="n">
        <v>0</v>
      </c>
      <c r="I930" t="n">
        <v>0</v>
      </c>
      <c r="J930" t="n">
        <v>0</v>
      </c>
      <c r="K930" t="n">
        <v>0</v>
      </c>
      <c r="L930" t="n">
        <v>0</v>
      </c>
      <c r="M930" t="n">
        <v>0</v>
      </c>
      <c r="N930" t="n">
        <v>0</v>
      </c>
      <c r="O930" t="n">
        <v>0</v>
      </c>
      <c r="P930" t="n">
        <v>0</v>
      </c>
      <c r="Q930" t="n">
        <v>0</v>
      </c>
      <c r="R930" s="2" t="inlineStr"/>
    </row>
    <row r="931" ht="15" customHeight="1">
      <c r="A931" t="inlineStr">
        <is>
          <t>A 46425-2025</t>
        </is>
      </c>
      <c r="B931" s="1" t="n">
        <v>45925.60075231481</v>
      </c>
      <c r="C931" s="1" t="n">
        <v>45969</v>
      </c>
      <c r="D931" t="inlineStr">
        <is>
          <t>NORRBOTTENS LÄN</t>
        </is>
      </c>
      <c r="E931" t="inlineStr">
        <is>
          <t>PITEÅ</t>
        </is>
      </c>
      <c r="G931" t="n">
        <v>4.5</v>
      </c>
      <c r="H931" t="n">
        <v>0</v>
      </c>
      <c r="I931" t="n">
        <v>0</v>
      </c>
      <c r="J931" t="n">
        <v>0</v>
      </c>
      <c r="K931" t="n">
        <v>0</v>
      </c>
      <c r="L931" t="n">
        <v>0</v>
      </c>
      <c r="M931" t="n">
        <v>0</v>
      </c>
      <c r="N931" t="n">
        <v>0</v>
      </c>
      <c r="O931" t="n">
        <v>0</v>
      </c>
      <c r="P931" t="n">
        <v>0</v>
      </c>
      <c r="Q931" t="n">
        <v>0</v>
      </c>
      <c r="R931" s="2" t="inlineStr"/>
    </row>
    <row r="932" ht="15" customHeight="1">
      <c r="A932" t="inlineStr">
        <is>
          <t>A 46250-2025</t>
        </is>
      </c>
      <c r="B932" s="1" t="n">
        <v>45925.34460648148</v>
      </c>
      <c r="C932" s="1" t="n">
        <v>45969</v>
      </c>
      <c r="D932" t="inlineStr">
        <is>
          <t>NORRBOTTENS LÄN</t>
        </is>
      </c>
      <c r="E932" t="inlineStr">
        <is>
          <t>PITEÅ</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46423-2025</t>
        </is>
      </c>
      <c r="B933" s="1" t="n">
        <v>45925.60002314814</v>
      </c>
      <c r="C933" s="1" t="n">
        <v>45969</v>
      </c>
      <c r="D933" t="inlineStr">
        <is>
          <t>NORRBOTTENS LÄN</t>
        </is>
      </c>
      <c r="E933" t="inlineStr">
        <is>
          <t>PITEÅ</t>
        </is>
      </c>
      <c r="G933" t="n">
        <v>12.3</v>
      </c>
      <c r="H933" t="n">
        <v>0</v>
      </c>
      <c r="I933" t="n">
        <v>0</v>
      </c>
      <c r="J933" t="n">
        <v>0</v>
      </c>
      <c r="K933" t="n">
        <v>0</v>
      </c>
      <c r="L933" t="n">
        <v>0</v>
      </c>
      <c r="M933" t="n">
        <v>0</v>
      </c>
      <c r="N933" t="n">
        <v>0</v>
      </c>
      <c r="O933" t="n">
        <v>0</v>
      </c>
      <c r="P933" t="n">
        <v>0</v>
      </c>
      <c r="Q933" t="n">
        <v>0</v>
      </c>
      <c r="R933" s="2" t="inlineStr"/>
    </row>
    <row r="934" ht="15" customHeight="1">
      <c r="A934" t="inlineStr">
        <is>
          <t>A 46427-2025</t>
        </is>
      </c>
      <c r="B934" s="1" t="n">
        <v>45925.60152777778</v>
      </c>
      <c r="C934" s="1" t="n">
        <v>45969</v>
      </c>
      <c r="D934" t="inlineStr">
        <is>
          <t>NORRBOTTENS LÄN</t>
        </is>
      </c>
      <c r="E934" t="inlineStr">
        <is>
          <t>PITEÅ</t>
        </is>
      </c>
      <c r="G934" t="n">
        <v>2.7</v>
      </c>
      <c r="H934" t="n">
        <v>0</v>
      </c>
      <c r="I934" t="n">
        <v>0</v>
      </c>
      <c r="J934" t="n">
        <v>0</v>
      </c>
      <c r="K934" t="n">
        <v>0</v>
      </c>
      <c r="L934" t="n">
        <v>0</v>
      </c>
      <c r="M934" t="n">
        <v>0</v>
      </c>
      <c r="N934" t="n">
        <v>0</v>
      </c>
      <c r="O934" t="n">
        <v>0</v>
      </c>
      <c r="P934" t="n">
        <v>0</v>
      </c>
      <c r="Q934" t="n">
        <v>0</v>
      </c>
      <c r="R934" s="2" t="inlineStr"/>
    </row>
    <row r="935" ht="15" customHeight="1">
      <c r="A935" t="inlineStr">
        <is>
          <t>A 46498-2025</t>
        </is>
      </c>
      <c r="B935" s="1" t="n">
        <v>45925.84547453704</v>
      </c>
      <c r="C935" s="1" t="n">
        <v>45969</v>
      </c>
      <c r="D935" t="inlineStr">
        <is>
          <t>NORRBOTTENS LÄN</t>
        </is>
      </c>
      <c r="E935" t="inlineStr">
        <is>
          <t>PITEÅ</t>
        </is>
      </c>
      <c r="G935" t="n">
        <v>3.5</v>
      </c>
      <c r="H935" t="n">
        <v>0</v>
      </c>
      <c r="I935" t="n">
        <v>0</v>
      </c>
      <c r="J935" t="n">
        <v>0</v>
      </c>
      <c r="K935" t="n">
        <v>0</v>
      </c>
      <c r="L935" t="n">
        <v>0</v>
      </c>
      <c r="M935" t="n">
        <v>0</v>
      </c>
      <c r="N935" t="n">
        <v>0</v>
      </c>
      <c r="O935" t="n">
        <v>0</v>
      </c>
      <c r="P935" t="n">
        <v>0</v>
      </c>
      <c r="Q935" t="n">
        <v>0</v>
      </c>
      <c r="R935" s="2" t="inlineStr"/>
    </row>
    <row r="936" ht="15" customHeight="1">
      <c r="A936" t="inlineStr">
        <is>
          <t>A 46544-2025</t>
        </is>
      </c>
      <c r="B936" s="1" t="n">
        <v>45926.34493055556</v>
      </c>
      <c r="C936" s="1" t="n">
        <v>45969</v>
      </c>
      <c r="D936" t="inlineStr">
        <is>
          <t>NORRBOTTENS LÄN</t>
        </is>
      </c>
      <c r="E936" t="inlineStr">
        <is>
          <t>PITEÅ</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52954-2025</t>
        </is>
      </c>
      <c r="B937" s="1" t="n">
        <v>45957.65662037037</v>
      </c>
      <c r="C937" s="1" t="n">
        <v>45969</v>
      </c>
      <c r="D937" t="inlineStr">
        <is>
          <t>NORRBOTTENS LÄN</t>
        </is>
      </c>
      <c r="E937" t="inlineStr">
        <is>
          <t>PITEÅ</t>
        </is>
      </c>
      <c r="G937" t="n">
        <v>2.7</v>
      </c>
      <c r="H937" t="n">
        <v>0</v>
      </c>
      <c r="I937" t="n">
        <v>0</v>
      </c>
      <c r="J937" t="n">
        <v>0</v>
      </c>
      <c r="K937" t="n">
        <v>0</v>
      </c>
      <c r="L937" t="n">
        <v>0</v>
      </c>
      <c r="M937" t="n">
        <v>0</v>
      </c>
      <c r="N937" t="n">
        <v>0</v>
      </c>
      <c r="O937" t="n">
        <v>0</v>
      </c>
      <c r="P937" t="n">
        <v>0</v>
      </c>
      <c r="Q937" t="n">
        <v>0</v>
      </c>
      <c r="R937" s="2" t="inlineStr"/>
    </row>
    <row r="938" ht="15" customHeight="1">
      <c r="A938" t="inlineStr">
        <is>
          <t>A 52955-2025</t>
        </is>
      </c>
      <c r="B938" s="1" t="n">
        <v>45957.65670138889</v>
      </c>
      <c r="C938" s="1" t="n">
        <v>45969</v>
      </c>
      <c r="D938" t="inlineStr">
        <is>
          <t>NORRBOTTENS LÄN</t>
        </is>
      </c>
      <c r="E938" t="inlineStr">
        <is>
          <t>PITEÅ</t>
        </is>
      </c>
      <c r="G938" t="n">
        <v>3.6</v>
      </c>
      <c r="H938" t="n">
        <v>0</v>
      </c>
      <c r="I938" t="n">
        <v>0</v>
      </c>
      <c r="J938" t="n">
        <v>0</v>
      </c>
      <c r="K938" t="n">
        <v>0</v>
      </c>
      <c r="L938" t="n">
        <v>0</v>
      </c>
      <c r="M938" t="n">
        <v>0</v>
      </c>
      <c r="N938" t="n">
        <v>0</v>
      </c>
      <c r="O938" t="n">
        <v>0</v>
      </c>
      <c r="P938" t="n">
        <v>0</v>
      </c>
      <c r="Q938" t="n">
        <v>0</v>
      </c>
      <c r="R938" s="2" t="inlineStr"/>
    </row>
    <row r="939" ht="15" customHeight="1">
      <c r="A939" t="inlineStr">
        <is>
          <t>A 53059-2025</t>
        </is>
      </c>
      <c r="B939" s="1" t="n">
        <v>45958.36559027778</v>
      </c>
      <c r="C939" s="1" t="n">
        <v>45969</v>
      </c>
      <c r="D939" t="inlineStr">
        <is>
          <t>NORRBOTTENS LÄN</t>
        </is>
      </c>
      <c r="E939" t="inlineStr">
        <is>
          <t>PITEÅ</t>
        </is>
      </c>
      <c r="G939" t="n">
        <v>12.9</v>
      </c>
      <c r="H939" t="n">
        <v>0</v>
      </c>
      <c r="I939" t="n">
        <v>0</v>
      </c>
      <c r="J939" t="n">
        <v>0</v>
      </c>
      <c r="K939" t="n">
        <v>0</v>
      </c>
      <c r="L939" t="n">
        <v>0</v>
      </c>
      <c r="M939" t="n">
        <v>0</v>
      </c>
      <c r="N939" t="n">
        <v>0</v>
      </c>
      <c r="O939" t="n">
        <v>0</v>
      </c>
      <c r="P939" t="n">
        <v>0</v>
      </c>
      <c r="Q939" t="n">
        <v>0</v>
      </c>
      <c r="R939" s="2" t="inlineStr"/>
    </row>
    <row r="940" ht="15" customHeight="1">
      <c r="A940" t="inlineStr">
        <is>
          <t>A 46803-2025</t>
        </is>
      </c>
      <c r="B940" s="1" t="n">
        <v>45926</v>
      </c>
      <c r="C940" s="1" t="n">
        <v>45969</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46403-2025</t>
        </is>
      </c>
      <c r="B941" s="1" t="n">
        <v>45925.56111111111</v>
      </c>
      <c r="C941" s="1" t="n">
        <v>45969</v>
      </c>
      <c r="D941" t="inlineStr">
        <is>
          <t>NORRBOTTENS LÄN</t>
        </is>
      </c>
      <c r="E941" t="inlineStr">
        <is>
          <t>PITEÅ</t>
        </is>
      </c>
      <c r="G941" t="n">
        <v>1</v>
      </c>
      <c r="H941" t="n">
        <v>0</v>
      </c>
      <c r="I941" t="n">
        <v>0</v>
      </c>
      <c r="J941" t="n">
        <v>0</v>
      </c>
      <c r="K941" t="n">
        <v>0</v>
      </c>
      <c r="L941" t="n">
        <v>0</v>
      </c>
      <c r="M941" t="n">
        <v>0</v>
      </c>
      <c r="N941" t="n">
        <v>0</v>
      </c>
      <c r="O941" t="n">
        <v>0</v>
      </c>
      <c r="P941" t="n">
        <v>0</v>
      </c>
      <c r="Q941" t="n">
        <v>0</v>
      </c>
      <c r="R941" s="2" t="inlineStr"/>
    </row>
    <row r="942" ht="15" customHeight="1">
      <c r="A942" t="inlineStr">
        <is>
          <t>A 46806-2025</t>
        </is>
      </c>
      <c r="B942" s="1" t="n">
        <v>45926</v>
      </c>
      <c r="C942" s="1" t="n">
        <v>45969</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50426-2025</t>
        </is>
      </c>
      <c r="B943" s="1" t="n">
        <v>45944.67363425926</v>
      </c>
      <c r="C943" s="1" t="n">
        <v>45969</v>
      </c>
      <c r="D943" t="inlineStr">
        <is>
          <t>NORRBOTTENS LÄN</t>
        </is>
      </c>
      <c r="E943" t="inlineStr">
        <is>
          <t>PITEÅ</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50500-2025</t>
        </is>
      </c>
      <c r="B944" s="1" t="n">
        <v>45945.41836805556</v>
      </c>
      <c r="C944" s="1" t="n">
        <v>45969</v>
      </c>
      <c r="D944" t="inlineStr">
        <is>
          <t>NORRBOTTENS LÄN</t>
        </is>
      </c>
      <c r="E944" t="inlineStr">
        <is>
          <t>PITEÅ</t>
        </is>
      </c>
      <c r="G944" t="n">
        <v>6.1</v>
      </c>
      <c r="H944" t="n">
        <v>0</v>
      </c>
      <c r="I944" t="n">
        <v>0</v>
      </c>
      <c r="J944" t="n">
        <v>0</v>
      </c>
      <c r="K944" t="n">
        <v>0</v>
      </c>
      <c r="L944" t="n">
        <v>0</v>
      </c>
      <c r="M944" t="n">
        <v>0</v>
      </c>
      <c r="N944" t="n">
        <v>0</v>
      </c>
      <c r="O944" t="n">
        <v>0</v>
      </c>
      <c r="P944" t="n">
        <v>0</v>
      </c>
      <c r="Q944" t="n">
        <v>0</v>
      </c>
      <c r="R944" s="2" t="inlineStr"/>
    </row>
    <row r="945" ht="15" customHeight="1">
      <c r="A945" t="inlineStr">
        <is>
          <t>A 46215-2025</t>
        </is>
      </c>
      <c r="B945" s="1" t="n">
        <v>45924.81440972222</v>
      </c>
      <c r="C945" s="1" t="n">
        <v>45969</v>
      </c>
      <c r="D945" t="inlineStr">
        <is>
          <t>NORRBOTTENS LÄN</t>
        </is>
      </c>
      <c r="E945" t="inlineStr">
        <is>
          <t>PITEÅ</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49885-2025</t>
        </is>
      </c>
      <c r="B946" s="1" t="n">
        <v>45940.57060185185</v>
      </c>
      <c r="C946" s="1" t="n">
        <v>45969</v>
      </c>
      <c r="D946" t="inlineStr">
        <is>
          <t>NORRBOTTENS LÄN</t>
        </is>
      </c>
      <c r="E946" t="inlineStr">
        <is>
          <t>PITEÅ</t>
        </is>
      </c>
      <c r="F946" t="inlineStr">
        <is>
          <t>Sveaskog</t>
        </is>
      </c>
      <c r="G946" t="n">
        <v>5</v>
      </c>
      <c r="H946" t="n">
        <v>0</v>
      </c>
      <c r="I946" t="n">
        <v>0</v>
      </c>
      <c r="J946" t="n">
        <v>0</v>
      </c>
      <c r="K946" t="n">
        <v>0</v>
      </c>
      <c r="L946" t="n">
        <v>0</v>
      </c>
      <c r="M946" t="n">
        <v>0</v>
      </c>
      <c r="N946" t="n">
        <v>0</v>
      </c>
      <c r="O946" t="n">
        <v>0</v>
      </c>
      <c r="P946" t="n">
        <v>0</v>
      </c>
      <c r="Q946" t="n">
        <v>0</v>
      </c>
      <c r="R946" s="2" t="inlineStr"/>
    </row>
    <row r="947" ht="15" customHeight="1">
      <c r="A947" t="inlineStr">
        <is>
          <t>A 49876-2025</t>
        </is>
      </c>
      <c r="B947" s="1" t="n">
        <v>45940.55581018519</v>
      </c>
      <c r="C947" s="1" t="n">
        <v>45969</v>
      </c>
      <c r="D947" t="inlineStr">
        <is>
          <t>NORRBOTTENS LÄN</t>
        </is>
      </c>
      <c r="E947" t="inlineStr">
        <is>
          <t>PITEÅ</t>
        </is>
      </c>
      <c r="F947" t="inlineStr">
        <is>
          <t>Sveaskog</t>
        </is>
      </c>
      <c r="G947" t="n">
        <v>32.9</v>
      </c>
      <c r="H947" t="n">
        <v>0</v>
      </c>
      <c r="I947" t="n">
        <v>0</v>
      </c>
      <c r="J947" t="n">
        <v>0</v>
      </c>
      <c r="K947" t="n">
        <v>0</v>
      </c>
      <c r="L947" t="n">
        <v>0</v>
      </c>
      <c r="M947" t="n">
        <v>0</v>
      </c>
      <c r="N947" t="n">
        <v>0</v>
      </c>
      <c r="O947" t="n">
        <v>0</v>
      </c>
      <c r="P947" t="n">
        <v>0</v>
      </c>
      <c r="Q947" t="n">
        <v>0</v>
      </c>
      <c r="R947" s="2" t="inlineStr"/>
    </row>
    <row r="948" ht="15" customHeight="1">
      <c r="A948" t="inlineStr">
        <is>
          <t>A 46422-2025</t>
        </is>
      </c>
      <c r="B948" s="1" t="n">
        <v>45925.59945601852</v>
      </c>
      <c r="C948" s="1" t="n">
        <v>45969</v>
      </c>
      <c r="D948" t="inlineStr">
        <is>
          <t>NORRBOTTENS LÄN</t>
        </is>
      </c>
      <c r="E948" t="inlineStr">
        <is>
          <t>PITEÅ</t>
        </is>
      </c>
      <c r="G948" t="n">
        <v>17.8</v>
      </c>
      <c r="H948" t="n">
        <v>0</v>
      </c>
      <c r="I948" t="n">
        <v>0</v>
      </c>
      <c r="J948" t="n">
        <v>0</v>
      </c>
      <c r="K948" t="n">
        <v>0</v>
      </c>
      <c r="L948" t="n">
        <v>0</v>
      </c>
      <c r="M948" t="n">
        <v>0</v>
      </c>
      <c r="N948" t="n">
        <v>0</v>
      </c>
      <c r="O948" t="n">
        <v>0</v>
      </c>
      <c r="P948" t="n">
        <v>0</v>
      </c>
      <c r="Q948" t="n">
        <v>0</v>
      </c>
      <c r="R948" s="2" t="inlineStr"/>
    </row>
    <row r="949" ht="15" customHeight="1">
      <c r="A949" t="inlineStr">
        <is>
          <t>A 46453-2025</t>
        </is>
      </c>
      <c r="B949" s="1" t="n">
        <v>45925.65667824074</v>
      </c>
      <c r="C949" s="1" t="n">
        <v>45969</v>
      </c>
      <c r="D949" t="inlineStr">
        <is>
          <t>NORRBOTTENS LÄN</t>
        </is>
      </c>
      <c r="E949" t="inlineStr">
        <is>
          <t>PITEÅ</t>
        </is>
      </c>
      <c r="G949" t="n">
        <v>0.8</v>
      </c>
      <c r="H949" t="n">
        <v>0</v>
      </c>
      <c r="I949" t="n">
        <v>0</v>
      </c>
      <c r="J949" t="n">
        <v>0</v>
      </c>
      <c r="K949" t="n">
        <v>0</v>
      </c>
      <c r="L949" t="n">
        <v>0</v>
      </c>
      <c r="M949" t="n">
        <v>0</v>
      </c>
      <c r="N949" t="n">
        <v>0</v>
      </c>
      <c r="O949" t="n">
        <v>0</v>
      </c>
      <c r="P949" t="n">
        <v>0</v>
      </c>
      <c r="Q949" t="n">
        <v>0</v>
      </c>
      <c r="R949" s="2" t="inlineStr"/>
    </row>
    <row r="950" ht="15" customHeight="1">
      <c r="A950" t="inlineStr">
        <is>
          <t>A 52644-2025</t>
        </is>
      </c>
      <c r="B950" s="1" t="n">
        <v>45955</v>
      </c>
      <c r="C950" s="1" t="n">
        <v>45969</v>
      </c>
      <c r="D950" t="inlineStr">
        <is>
          <t>NORRBOTTENS LÄN</t>
        </is>
      </c>
      <c r="E950" t="inlineStr">
        <is>
          <t>PITEÅ</t>
        </is>
      </c>
      <c r="G950" t="n">
        <v>1.4</v>
      </c>
      <c r="H950" t="n">
        <v>0</v>
      </c>
      <c r="I950" t="n">
        <v>0</v>
      </c>
      <c r="J950" t="n">
        <v>0</v>
      </c>
      <c r="K950" t="n">
        <v>0</v>
      </c>
      <c r="L950" t="n">
        <v>0</v>
      </c>
      <c r="M950" t="n">
        <v>0</v>
      </c>
      <c r="N950" t="n">
        <v>0</v>
      </c>
      <c r="O950" t="n">
        <v>0</v>
      </c>
      <c r="P950" t="n">
        <v>0</v>
      </c>
      <c r="Q950" t="n">
        <v>0</v>
      </c>
      <c r="R950" s="2" t="inlineStr"/>
    </row>
    <row r="951" ht="15" customHeight="1">
      <c r="A951" t="inlineStr">
        <is>
          <t>A 52593-2025</t>
        </is>
      </c>
      <c r="B951" s="1" t="n">
        <v>45954</v>
      </c>
      <c r="C951" s="1" t="n">
        <v>45969</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50496-2025</t>
        </is>
      </c>
      <c r="B952" s="1" t="n">
        <v>45945</v>
      </c>
      <c r="C952" s="1" t="n">
        <v>45969</v>
      </c>
      <c r="D952" t="inlineStr">
        <is>
          <t>NORRBOTTENS LÄN</t>
        </is>
      </c>
      <c r="E952" t="inlineStr">
        <is>
          <t>PITEÅ</t>
        </is>
      </c>
      <c r="G952" t="n">
        <v>2.2</v>
      </c>
      <c r="H952" t="n">
        <v>0</v>
      </c>
      <c r="I952" t="n">
        <v>0</v>
      </c>
      <c r="J952" t="n">
        <v>0</v>
      </c>
      <c r="K952" t="n">
        <v>0</v>
      </c>
      <c r="L952" t="n">
        <v>0</v>
      </c>
      <c r="M952" t="n">
        <v>0</v>
      </c>
      <c r="N952" t="n">
        <v>0</v>
      </c>
      <c r="O952" t="n">
        <v>0</v>
      </c>
      <c r="P952" t="n">
        <v>0</v>
      </c>
      <c r="Q952" t="n">
        <v>0</v>
      </c>
      <c r="R952" s="2" t="inlineStr"/>
    </row>
    <row r="953" ht="15" customHeight="1">
      <c r="A953" t="inlineStr">
        <is>
          <t>A 46549-2025</t>
        </is>
      </c>
      <c r="B953" s="1" t="n">
        <v>45926.34545138889</v>
      </c>
      <c r="C953" s="1" t="n">
        <v>45969</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46569-2025</t>
        </is>
      </c>
      <c r="B954" s="1" t="n">
        <v>45926.3659375</v>
      </c>
      <c r="C954" s="1" t="n">
        <v>45969</v>
      </c>
      <c r="D954" t="inlineStr">
        <is>
          <t>NORRBOTTENS LÄN</t>
        </is>
      </c>
      <c r="E954" t="inlineStr">
        <is>
          <t>PITEÅ</t>
        </is>
      </c>
      <c r="G954" t="n">
        <v>2.3</v>
      </c>
      <c r="H954" t="n">
        <v>0</v>
      </c>
      <c r="I954" t="n">
        <v>0</v>
      </c>
      <c r="J954" t="n">
        <v>0</v>
      </c>
      <c r="K954" t="n">
        <v>0</v>
      </c>
      <c r="L954" t="n">
        <v>0</v>
      </c>
      <c r="M954" t="n">
        <v>0</v>
      </c>
      <c r="N954" t="n">
        <v>0</v>
      </c>
      <c r="O954" t="n">
        <v>0</v>
      </c>
      <c r="P954" t="n">
        <v>0</v>
      </c>
      <c r="Q954" t="n">
        <v>0</v>
      </c>
      <c r="R954" s="2" t="inlineStr"/>
    </row>
    <row r="955" ht="15" customHeight="1">
      <c r="A955" t="inlineStr">
        <is>
          <t>A 51607-2025</t>
        </is>
      </c>
      <c r="B955" s="1" t="n">
        <v>45951.3860300926</v>
      </c>
      <c r="C955" s="1" t="n">
        <v>45969</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50641-2025</t>
        </is>
      </c>
      <c r="B956" s="1" t="n">
        <v>45945</v>
      </c>
      <c r="C956" s="1" t="n">
        <v>45969</v>
      </c>
      <c r="D956" t="inlineStr">
        <is>
          <t>NORRBOTTENS LÄN</t>
        </is>
      </c>
      <c r="E956" t="inlineStr">
        <is>
          <t>PITEÅ</t>
        </is>
      </c>
      <c r="G956" t="n">
        <v>23.5</v>
      </c>
      <c r="H956" t="n">
        <v>0</v>
      </c>
      <c r="I956" t="n">
        <v>0</v>
      </c>
      <c r="J956" t="n">
        <v>0</v>
      </c>
      <c r="K956" t="n">
        <v>0</v>
      </c>
      <c r="L956" t="n">
        <v>0</v>
      </c>
      <c r="M956" t="n">
        <v>0</v>
      </c>
      <c r="N956" t="n">
        <v>0</v>
      </c>
      <c r="O956" t="n">
        <v>0</v>
      </c>
      <c r="P956" t="n">
        <v>0</v>
      </c>
      <c r="Q956" t="n">
        <v>0</v>
      </c>
      <c r="R956" s="2" t="inlineStr"/>
    </row>
    <row r="957">
      <c r="A957" t="inlineStr">
        <is>
          <t>A 46547-2025</t>
        </is>
      </c>
      <c r="B957" s="1" t="n">
        <v>45926.34532407407</v>
      </c>
      <c r="C957" s="1" t="n">
        <v>45969</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2025-11-08T10:09:27Z</dcterms:created>
  <dcterms:modified xmlns:dcterms="http://purl.org/dc/terms/" xmlns:xsi="http://www.w3.org/2001/XMLSchema-instance" xsi:type="dcterms:W3CDTF">2025-11-08T10:09:27Z</dcterms:modified>
</cp:coreProperties>
</file>