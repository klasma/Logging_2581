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45807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45807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45807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45807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45807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45807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45807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45807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45807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45807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45807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45807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45807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47509-2023</t>
        </is>
      </c>
      <c r="B15" s="1" t="n">
        <v>45203</v>
      </c>
      <c r="C15" s="1" t="n">
        <v>45807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17.7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Tretåig hackspett
Dropptaggsvamp
Luddlav
Stuplav</t>
        </is>
      </c>
      <c r="S15">
        <f>HYPERLINK("https://klasma.github.io/Logging_2581/artfynd/A 47509-2023 artfynd.xlsx", "A 47509-2023")</f>
        <v/>
      </c>
      <c r="T15">
        <f>HYPERLINK("https://klasma.github.io/Logging_2581/kartor/A 47509-2023 karta.png", "A 47509-2023")</f>
        <v/>
      </c>
      <c r="V15">
        <f>HYPERLINK("https://klasma.github.io/Logging_2581/klagomål/A 47509-2023 FSC-klagomål.docx", "A 47509-2023")</f>
        <v/>
      </c>
      <c r="W15">
        <f>HYPERLINK("https://klasma.github.io/Logging_2581/klagomålsmail/A 47509-2023 FSC-klagomål mail.docx", "A 47509-2023")</f>
        <v/>
      </c>
      <c r="X15">
        <f>HYPERLINK("https://klasma.github.io/Logging_2581/tillsyn/A 47509-2023 tillsynsbegäran.docx", "A 47509-2023")</f>
        <v/>
      </c>
      <c r="Y15">
        <f>HYPERLINK("https://klasma.github.io/Logging_2581/tillsynsmail/A 47509-2023 tillsynsbegäran mail.docx", "A 47509-2023")</f>
        <v/>
      </c>
      <c r="Z15">
        <f>HYPERLINK("https://klasma.github.io/Logging_2581/fåglar/A 47509-2023 prioriterade fågelarter.docx", "A 47509-2023")</f>
        <v/>
      </c>
    </row>
    <row r="16" ht="15" customHeight="1">
      <c r="A16" t="inlineStr">
        <is>
          <t>A 9019-2024</t>
        </is>
      </c>
      <c r="B16" s="1" t="n">
        <v>45356</v>
      </c>
      <c r="C16" s="1" t="n">
        <v>45807</v>
      </c>
      <c r="D16" t="inlineStr">
        <is>
          <t>NORRBOTTENS LÄN</t>
        </is>
      </c>
      <c r="E16" t="inlineStr">
        <is>
          <t>PITEÅ</t>
        </is>
      </c>
      <c r="G16" t="n">
        <v>11.1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Mindre hackspett
Spillkråka
Talltita
Kungsfågel
Sångsvan</t>
        </is>
      </c>
      <c r="S16">
        <f>HYPERLINK("https://klasma.github.io/Logging_2581/artfynd/A 9019-2024 artfynd.xlsx", "A 9019-2024")</f>
        <v/>
      </c>
      <c r="T16">
        <f>HYPERLINK("https://klasma.github.io/Logging_2581/kartor/A 9019-2024 karta.png", "A 9019-2024")</f>
        <v/>
      </c>
      <c r="V16">
        <f>HYPERLINK("https://klasma.github.io/Logging_2581/klagomål/A 9019-2024 FSC-klagomål.docx", "A 9019-2024")</f>
        <v/>
      </c>
      <c r="W16">
        <f>HYPERLINK("https://klasma.github.io/Logging_2581/klagomålsmail/A 9019-2024 FSC-klagomål mail.docx", "A 9019-2024")</f>
        <v/>
      </c>
      <c r="X16">
        <f>HYPERLINK("https://klasma.github.io/Logging_2581/tillsyn/A 9019-2024 tillsynsbegäran.docx", "A 9019-2024")</f>
        <v/>
      </c>
      <c r="Y16">
        <f>HYPERLINK("https://klasma.github.io/Logging_2581/tillsynsmail/A 9019-2024 tillsynsbegäran mail.docx", "A 9019-2024")</f>
        <v/>
      </c>
      <c r="Z16">
        <f>HYPERLINK("https://klasma.github.io/Logging_2581/fåglar/A 9019-2024 prioriterade fågelarter.docx", "A 9019-2024")</f>
        <v/>
      </c>
    </row>
    <row r="17" ht="15" customHeight="1">
      <c r="A17" t="inlineStr">
        <is>
          <t>A 25516-2021</t>
        </is>
      </c>
      <c r="B17" s="1" t="n">
        <v>44343</v>
      </c>
      <c r="C17" s="1" t="n">
        <v>45807</v>
      </c>
      <c r="D17" t="inlineStr">
        <is>
          <t>NORRBOTTENS LÄN</t>
        </is>
      </c>
      <c r="E17" t="inlineStr">
        <is>
          <t>PITEÅ</t>
        </is>
      </c>
      <c r="F17" t="inlineStr">
        <is>
          <t>SCA</t>
        </is>
      </c>
      <c r="G17" t="n">
        <v>3.5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Spillkråka
Ullticka
Nästlav
Stor aspticka</t>
        </is>
      </c>
      <c r="S17">
        <f>HYPERLINK("https://klasma.github.io/Logging_2581/artfynd/A 25516-2021 artfynd.xlsx", "A 25516-2021")</f>
        <v/>
      </c>
      <c r="T17">
        <f>HYPERLINK("https://klasma.github.io/Logging_2581/kartor/A 25516-2021 karta.png", "A 25516-2021")</f>
        <v/>
      </c>
      <c r="V17">
        <f>HYPERLINK("https://klasma.github.io/Logging_2581/klagomål/A 25516-2021 FSC-klagomål.docx", "A 25516-2021")</f>
        <v/>
      </c>
      <c r="W17">
        <f>HYPERLINK("https://klasma.github.io/Logging_2581/klagomålsmail/A 25516-2021 FSC-klagomål mail.docx", "A 25516-2021")</f>
        <v/>
      </c>
      <c r="X17">
        <f>HYPERLINK("https://klasma.github.io/Logging_2581/tillsyn/A 25516-2021 tillsynsbegäran.docx", "A 25516-2021")</f>
        <v/>
      </c>
      <c r="Y17">
        <f>HYPERLINK("https://klasma.github.io/Logging_2581/tillsynsmail/A 25516-2021 tillsynsbegäran mail.docx", "A 25516-2021")</f>
        <v/>
      </c>
      <c r="Z17">
        <f>HYPERLINK("https://klasma.github.io/Logging_2581/fåglar/A 25516-2021 prioriterade fågelarter.docx", "A 25516-2021")</f>
        <v/>
      </c>
    </row>
    <row r="18" ht="15" customHeight="1">
      <c r="A18" t="inlineStr">
        <is>
          <t>A 71719-2021</t>
        </is>
      </c>
      <c r="B18" s="1" t="n">
        <v>44539</v>
      </c>
      <c r="C18" s="1" t="n">
        <v>45807</v>
      </c>
      <c r="D18" t="inlineStr">
        <is>
          <t>NORRBOTTENS LÄN</t>
        </is>
      </c>
      <c r="E18" t="inlineStr">
        <is>
          <t>PITEÅ</t>
        </is>
      </c>
      <c r="F18" t="inlineStr">
        <is>
          <t>Kommuner</t>
        </is>
      </c>
      <c r="G18" t="n">
        <v>3.1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Motaggsvamp
Orange taggsvamp
Skrovlig taggsvamp
Svartvit taggsvamp
Plattlummer</t>
        </is>
      </c>
      <c r="S18">
        <f>HYPERLINK("https://klasma.github.io/Logging_2581/artfynd/A 71719-2021 artfynd.xlsx", "A 71719-2021")</f>
        <v/>
      </c>
      <c r="T18">
        <f>HYPERLINK("https://klasma.github.io/Logging_2581/kartor/A 71719-2021 karta.png", "A 71719-2021")</f>
        <v/>
      </c>
      <c r="V18">
        <f>HYPERLINK("https://klasma.github.io/Logging_2581/klagomål/A 71719-2021 FSC-klagomål.docx", "A 71719-2021")</f>
        <v/>
      </c>
      <c r="W18">
        <f>HYPERLINK("https://klasma.github.io/Logging_2581/klagomålsmail/A 71719-2021 FSC-klagomål mail.docx", "A 71719-2021")</f>
        <v/>
      </c>
      <c r="X18">
        <f>HYPERLINK("https://klasma.github.io/Logging_2581/tillsyn/A 71719-2021 tillsynsbegäran.docx", "A 71719-2021")</f>
        <v/>
      </c>
      <c r="Y18">
        <f>HYPERLINK("https://klasma.github.io/Logging_2581/tillsynsmail/A 71719-2021 tillsynsbegäran mail.docx", "A 71719-2021")</f>
        <v/>
      </c>
    </row>
    <row r="19" ht="15" customHeight="1">
      <c r="A19" t="inlineStr">
        <is>
          <t>A 26963-2022</t>
        </is>
      </c>
      <c r="B19" s="1" t="n">
        <v>44740</v>
      </c>
      <c r="C19" s="1" t="n">
        <v>45807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14.6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Vedskivlav
Stuplav
Fläcknycklar
Revlummer</t>
        </is>
      </c>
      <c r="S19">
        <f>HYPERLINK("https://klasma.github.io/Logging_2581/artfynd/A 26963-2022 artfynd.xlsx", "A 26963-2022")</f>
        <v/>
      </c>
      <c r="T19">
        <f>HYPERLINK("https://klasma.github.io/Logging_2581/kartor/A 26963-2022 karta.png", "A 26963-2022")</f>
        <v/>
      </c>
      <c r="V19">
        <f>HYPERLINK("https://klasma.github.io/Logging_2581/klagomål/A 26963-2022 FSC-klagomål.docx", "A 26963-2022")</f>
        <v/>
      </c>
      <c r="W19">
        <f>HYPERLINK("https://klasma.github.io/Logging_2581/klagomålsmail/A 26963-2022 FSC-klagomål mail.docx", "A 26963-2022")</f>
        <v/>
      </c>
      <c r="X19">
        <f>HYPERLINK("https://klasma.github.io/Logging_2581/tillsyn/A 26963-2022 tillsynsbegäran.docx", "A 26963-2022")</f>
        <v/>
      </c>
      <c r="Y19">
        <f>HYPERLINK("https://klasma.github.io/Logging_2581/tillsynsmail/A 26963-2022 tillsynsbegäran mail.docx", "A 26963-2022")</f>
        <v/>
      </c>
    </row>
    <row r="20" ht="15" customHeight="1">
      <c r="A20" t="inlineStr">
        <is>
          <t>A 7799-2024</t>
        </is>
      </c>
      <c r="B20" s="1" t="n">
        <v>45348</v>
      </c>
      <c r="C20" s="1" t="n">
        <v>45807</v>
      </c>
      <c r="D20" t="inlineStr">
        <is>
          <t>NORRBOTTENS LÄN</t>
        </is>
      </c>
      <c r="E20" t="inlineStr">
        <is>
          <t>PITEÅ</t>
        </is>
      </c>
      <c r="G20" t="n">
        <v>6.7</v>
      </c>
      <c r="H20" t="n">
        <v>3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Järpe
Mindre hackspett
Tallticka
Talltita</t>
        </is>
      </c>
      <c r="S20">
        <f>HYPERLINK("https://klasma.github.io/Logging_2581/artfynd/A 7799-2024 artfynd.xlsx", "A 7799-2024")</f>
        <v/>
      </c>
      <c r="T20">
        <f>HYPERLINK("https://klasma.github.io/Logging_2581/kartor/A 7799-2024 karta.png", "A 7799-2024")</f>
        <v/>
      </c>
      <c r="V20">
        <f>HYPERLINK("https://klasma.github.io/Logging_2581/klagomål/A 7799-2024 FSC-klagomål.docx", "A 7799-2024")</f>
        <v/>
      </c>
      <c r="W20">
        <f>HYPERLINK("https://klasma.github.io/Logging_2581/klagomålsmail/A 7799-2024 FSC-klagomål mail.docx", "A 7799-2024")</f>
        <v/>
      </c>
      <c r="X20">
        <f>HYPERLINK("https://klasma.github.io/Logging_2581/tillsyn/A 7799-2024 tillsynsbegäran.docx", "A 7799-2024")</f>
        <v/>
      </c>
      <c r="Y20">
        <f>HYPERLINK("https://klasma.github.io/Logging_2581/tillsynsmail/A 7799-2024 tillsynsbegäran mail.docx", "A 7799-2024")</f>
        <v/>
      </c>
      <c r="Z20">
        <f>HYPERLINK("https://klasma.github.io/Logging_2581/fåglar/A 7799-2024 prioriterade fågelarter.docx", "A 7799-2024")</f>
        <v/>
      </c>
    </row>
    <row r="21" ht="15" customHeight="1">
      <c r="A21" t="inlineStr">
        <is>
          <t>A 12193-2024</t>
        </is>
      </c>
      <c r="B21" s="1" t="n">
        <v>45377</v>
      </c>
      <c r="C21" s="1" t="n">
        <v>45807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32.2</v>
      </c>
      <c r="H21" t="n">
        <v>5</v>
      </c>
      <c r="I21" t="n">
        <v>0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Grönfink
Järpe
Spillkråka
Talltita
Tjäder</t>
        </is>
      </c>
      <c r="S21">
        <f>HYPERLINK("https://klasma.github.io/Logging_2581/artfynd/A 12193-2024 artfynd.xlsx", "A 12193-2024")</f>
        <v/>
      </c>
      <c r="T21">
        <f>HYPERLINK("https://klasma.github.io/Logging_2581/kartor/A 12193-2024 karta.png", "A 12193-2024")</f>
        <v/>
      </c>
      <c r="V21">
        <f>HYPERLINK("https://klasma.github.io/Logging_2581/klagomål/A 12193-2024 FSC-klagomål.docx", "A 12193-2024")</f>
        <v/>
      </c>
      <c r="W21">
        <f>HYPERLINK("https://klasma.github.io/Logging_2581/klagomålsmail/A 12193-2024 FSC-klagomål mail.docx", "A 12193-2024")</f>
        <v/>
      </c>
      <c r="X21">
        <f>HYPERLINK("https://klasma.github.io/Logging_2581/tillsyn/A 12193-2024 tillsynsbegäran.docx", "A 12193-2024")</f>
        <v/>
      </c>
      <c r="Y21">
        <f>HYPERLINK("https://klasma.github.io/Logging_2581/tillsynsmail/A 12193-2024 tillsynsbegäran mail.docx", "A 12193-2024")</f>
        <v/>
      </c>
      <c r="Z21">
        <f>HYPERLINK("https://klasma.github.io/Logging_2581/fåglar/A 12193-2024 prioriterade fågelarter.docx", "A 12193-2024")</f>
        <v/>
      </c>
    </row>
    <row r="22" ht="15" customHeight="1">
      <c r="A22" t="inlineStr">
        <is>
          <t>A 21104-2024</t>
        </is>
      </c>
      <c r="B22" s="1" t="n">
        <v>45439</v>
      </c>
      <c r="C22" s="1" t="n">
        <v>45807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1.4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Granticka
Lunglav
Stuplav</t>
        </is>
      </c>
      <c r="S22">
        <f>HYPERLINK("https://klasma.github.io/Logging_2581/artfynd/A 21104-2024 artfynd.xlsx", "A 21104-2024")</f>
        <v/>
      </c>
      <c r="T22">
        <f>HYPERLINK("https://klasma.github.io/Logging_2581/kartor/A 21104-2024 karta.png", "A 21104-2024")</f>
        <v/>
      </c>
      <c r="V22">
        <f>HYPERLINK("https://klasma.github.io/Logging_2581/klagomål/A 21104-2024 FSC-klagomål.docx", "A 21104-2024")</f>
        <v/>
      </c>
      <c r="W22">
        <f>HYPERLINK("https://klasma.github.io/Logging_2581/klagomålsmail/A 21104-2024 FSC-klagomål mail.docx", "A 21104-2024")</f>
        <v/>
      </c>
      <c r="X22">
        <f>HYPERLINK("https://klasma.github.io/Logging_2581/tillsyn/A 21104-2024 tillsynsbegäran.docx", "A 21104-2024")</f>
        <v/>
      </c>
      <c r="Y22">
        <f>HYPERLINK("https://klasma.github.io/Logging_2581/tillsynsmail/A 21104-2024 tillsynsbegäran mail.docx", "A 21104-2024")</f>
        <v/>
      </c>
    </row>
    <row r="23" ht="15" customHeight="1">
      <c r="A23" t="inlineStr">
        <is>
          <t>A 33135-2024</t>
        </is>
      </c>
      <c r="B23" s="1" t="n">
        <v>45518</v>
      </c>
      <c r="C23" s="1" t="n">
        <v>45807</v>
      </c>
      <c r="D23" t="inlineStr">
        <is>
          <t>NORRBOTTENS LÄN</t>
        </is>
      </c>
      <c r="E23" t="inlineStr">
        <is>
          <t>PITEÅ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Igelkott
Spillkråka
Stjärntagging
Tretåig hackspett
Vitgrynig nållav</t>
        </is>
      </c>
      <c r="S23">
        <f>HYPERLINK("https://klasma.github.io/Logging_2581/artfynd/A 33135-2024 artfynd.xlsx", "A 33135-2024")</f>
        <v/>
      </c>
      <c r="T23">
        <f>HYPERLINK("https://klasma.github.io/Logging_2581/kartor/A 33135-2024 karta.png", "A 33135-2024")</f>
        <v/>
      </c>
      <c r="V23">
        <f>HYPERLINK("https://klasma.github.io/Logging_2581/klagomål/A 33135-2024 FSC-klagomål.docx", "A 33135-2024")</f>
        <v/>
      </c>
      <c r="W23">
        <f>HYPERLINK("https://klasma.github.io/Logging_2581/klagomålsmail/A 33135-2024 FSC-klagomål mail.docx", "A 33135-2024")</f>
        <v/>
      </c>
      <c r="X23">
        <f>HYPERLINK("https://klasma.github.io/Logging_2581/tillsyn/A 33135-2024 tillsynsbegäran.docx", "A 33135-2024")</f>
        <v/>
      </c>
      <c r="Y23">
        <f>HYPERLINK("https://klasma.github.io/Logging_2581/tillsynsmail/A 33135-2024 tillsynsbegäran mail.docx", "A 33135-2024")</f>
        <v/>
      </c>
      <c r="Z23">
        <f>HYPERLINK("https://klasma.github.io/Logging_2581/fåglar/A 33135-2024 prioriterade fågelarter.docx", "A 33135-2024")</f>
        <v/>
      </c>
    </row>
    <row r="24" ht="15" customHeight="1">
      <c r="A24" t="inlineStr">
        <is>
          <t>A 57808-2024</t>
        </is>
      </c>
      <c r="B24" s="1" t="n">
        <v>45631</v>
      </c>
      <c r="C24" s="1" t="n">
        <v>45807</v>
      </c>
      <c r="D24" t="inlineStr">
        <is>
          <t>NORRBOTTENS LÄN</t>
        </is>
      </c>
      <c r="E24" t="inlineStr">
        <is>
          <t>PITEÅ</t>
        </is>
      </c>
      <c r="G24" t="n">
        <v>17.4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Ullticka</t>
        </is>
      </c>
      <c r="S24">
        <f>HYPERLINK("https://klasma.github.io/Logging_2581/artfynd/A 57808-2024 artfynd.xlsx", "A 57808-2024")</f>
        <v/>
      </c>
      <c r="T24">
        <f>HYPERLINK("https://klasma.github.io/Logging_2581/kartor/A 57808-2024 karta.png", "A 57808-2024")</f>
        <v/>
      </c>
      <c r="V24">
        <f>HYPERLINK("https://klasma.github.io/Logging_2581/klagomål/A 57808-2024 FSC-klagomål.docx", "A 57808-2024")</f>
        <v/>
      </c>
      <c r="W24">
        <f>HYPERLINK("https://klasma.github.io/Logging_2581/klagomålsmail/A 57808-2024 FSC-klagomål mail.docx", "A 57808-2024")</f>
        <v/>
      </c>
      <c r="X24">
        <f>HYPERLINK("https://klasma.github.io/Logging_2581/tillsyn/A 57808-2024 tillsynsbegäran.docx", "A 57808-2024")</f>
        <v/>
      </c>
      <c r="Y24">
        <f>HYPERLINK("https://klasma.github.io/Logging_2581/tillsynsmail/A 57808-2024 tillsynsbegäran mail.docx", "A 57808-2024")</f>
        <v/>
      </c>
      <c r="Z24">
        <f>HYPERLINK("https://klasma.github.io/Logging_2581/fåglar/A 57808-2024 prioriterade fågelarter.docx", "A 57808-2024")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45807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Skrovlig taggsvamp
Tallriska
Trådticka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14856-2021</t>
        </is>
      </c>
      <c r="B26" s="1" t="n">
        <v>44280</v>
      </c>
      <c r="C26" s="1" t="n">
        <v>45807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2.8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Sprickporing
Gammelgransskål
Granticka
Ullticka</t>
        </is>
      </c>
      <c r="S26">
        <f>HYPERLINK("https://klasma.github.io/Logging_2581/artfynd/A 14856-2021 artfynd.xlsx", "A 14856-2021")</f>
        <v/>
      </c>
      <c r="T26">
        <f>HYPERLINK("https://klasma.github.io/Logging_2581/kartor/A 14856-2021 karta.png", "A 14856-2021")</f>
        <v/>
      </c>
      <c r="V26">
        <f>HYPERLINK("https://klasma.github.io/Logging_2581/klagomål/A 14856-2021 FSC-klagomål.docx", "A 14856-2021")</f>
        <v/>
      </c>
      <c r="W26">
        <f>HYPERLINK("https://klasma.github.io/Logging_2581/klagomålsmail/A 14856-2021 FSC-klagomål mail.docx", "A 14856-2021")</f>
        <v/>
      </c>
      <c r="X26">
        <f>HYPERLINK("https://klasma.github.io/Logging_2581/tillsyn/A 14856-2021 tillsynsbegäran.docx", "A 14856-2021")</f>
        <v/>
      </c>
      <c r="Y26">
        <f>HYPERLINK("https://klasma.github.io/Logging_2581/tillsynsmail/A 14856-2021 tillsynsbegäran mail.docx", "A 14856-2021")</f>
        <v/>
      </c>
    </row>
    <row r="27" ht="15" customHeight="1">
      <c r="A27" t="inlineStr">
        <is>
          <t>A 73023-2021</t>
        </is>
      </c>
      <c r="B27" s="1" t="n">
        <v>44550</v>
      </c>
      <c r="C27" s="1" t="n">
        <v>45807</v>
      </c>
      <c r="D27" t="inlineStr">
        <is>
          <t>NORRBOTTENS LÄN</t>
        </is>
      </c>
      <c r="E27" t="inlineStr">
        <is>
          <t>PITEÅ</t>
        </is>
      </c>
      <c r="F27" t="inlineStr">
        <is>
          <t>Övriga Aktiebolag</t>
        </is>
      </c>
      <c r="G27" t="n">
        <v>10.3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Garnlav
Lunglav
Ullticka</t>
        </is>
      </c>
      <c r="S27">
        <f>HYPERLINK("https://klasma.github.io/Logging_2581/artfynd/A 73023-2021 artfynd.xlsx", "A 73023-2021")</f>
        <v/>
      </c>
      <c r="T27">
        <f>HYPERLINK("https://klasma.github.io/Logging_2581/kartor/A 73023-2021 karta.png", "A 73023-2021")</f>
        <v/>
      </c>
      <c r="U27">
        <f>HYPERLINK("https://klasma.github.io/Logging_2581/knärot/A 73023-2021 karta knärot.png", "A 73023-2021")</f>
        <v/>
      </c>
      <c r="V27">
        <f>HYPERLINK("https://klasma.github.io/Logging_2581/klagomål/A 73023-2021 FSC-klagomål.docx", "A 73023-2021")</f>
        <v/>
      </c>
      <c r="W27">
        <f>HYPERLINK("https://klasma.github.io/Logging_2581/klagomålsmail/A 73023-2021 FSC-klagomål mail.docx", "A 73023-2021")</f>
        <v/>
      </c>
      <c r="X27">
        <f>HYPERLINK("https://klasma.github.io/Logging_2581/tillsyn/A 73023-2021 tillsynsbegäran.docx", "A 73023-2021")</f>
        <v/>
      </c>
      <c r="Y27">
        <f>HYPERLINK("https://klasma.github.io/Logging_2581/tillsynsmail/A 73023-2021 tillsynsbegäran mail.docx", "A 73023-2021")</f>
        <v/>
      </c>
    </row>
    <row r="28" ht="15" customHeight="1">
      <c r="A28" t="inlineStr">
        <is>
          <t>A 32155-2023</t>
        </is>
      </c>
      <c r="B28" s="1" t="n">
        <v>45119</v>
      </c>
      <c r="C28" s="1" t="n">
        <v>45807</v>
      </c>
      <c r="D28" t="inlineStr">
        <is>
          <t>NORRBOTTENS LÄN</t>
        </is>
      </c>
      <c r="E28" t="inlineStr">
        <is>
          <t>PITEÅ</t>
        </is>
      </c>
      <c r="F28" t="inlineStr">
        <is>
          <t>Sveaskog</t>
        </is>
      </c>
      <c r="G28" t="n">
        <v>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Harticka
Kolflarnlav
Tallticka
Violmussling</t>
        </is>
      </c>
      <c r="S28">
        <f>HYPERLINK("https://klasma.github.io/Logging_2581/artfynd/A 32155-2023 artfynd.xlsx", "A 32155-2023")</f>
        <v/>
      </c>
      <c r="T28">
        <f>HYPERLINK("https://klasma.github.io/Logging_2581/kartor/A 32155-2023 karta.png", "A 32155-2023")</f>
        <v/>
      </c>
      <c r="V28">
        <f>HYPERLINK("https://klasma.github.io/Logging_2581/klagomål/A 32155-2023 FSC-klagomål.docx", "A 32155-2023")</f>
        <v/>
      </c>
      <c r="W28">
        <f>HYPERLINK("https://klasma.github.io/Logging_2581/klagomålsmail/A 32155-2023 FSC-klagomål mail.docx", "A 32155-2023")</f>
        <v/>
      </c>
      <c r="X28">
        <f>HYPERLINK("https://klasma.github.io/Logging_2581/tillsyn/A 32155-2023 tillsynsbegäran.docx", "A 32155-2023")</f>
        <v/>
      </c>
      <c r="Y28">
        <f>HYPERLINK("https://klasma.github.io/Logging_2581/tillsynsmail/A 32155-2023 tillsynsbegäran mail.docx", "A 32155-2023")</f>
        <v/>
      </c>
    </row>
    <row r="29" ht="15" customHeight="1">
      <c r="A29" t="inlineStr">
        <is>
          <t>A 390-2024</t>
        </is>
      </c>
      <c r="B29" s="1" t="n">
        <v>45296</v>
      </c>
      <c r="C29" s="1" t="n">
        <v>45807</v>
      </c>
      <c r="D29" t="inlineStr">
        <is>
          <t>NORRBOTTENS LÄN</t>
        </is>
      </c>
      <c r="E29" t="inlineStr">
        <is>
          <t>PITEÅ</t>
        </is>
      </c>
      <c r="G29" t="n">
        <v>4.9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Spillkråka
Talltita
Ullticka</t>
        </is>
      </c>
      <c r="S29">
        <f>HYPERLINK("https://klasma.github.io/Logging_2581/artfynd/A 390-2024 artfynd.xlsx", "A 390-2024")</f>
        <v/>
      </c>
      <c r="T29">
        <f>HYPERLINK("https://klasma.github.io/Logging_2581/kartor/A 390-2024 karta.png", "A 390-2024")</f>
        <v/>
      </c>
      <c r="V29">
        <f>HYPERLINK("https://klasma.github.io/Logging_2581/klagomål/A 390-2024 FSC-klagomål.docx", "A 390-2024")</f>
        <v/>
      </c>
      <c r="W29">
        <f>HYPERLINK("https://klasma.github.io/Logging_2581/klagomålsmail/A 390-2024 FSC-klagomål mail.docx", "A 390-2024")</f>
        <v/>
      </c>
      <c r="X29">
        <f>HYPERLINK("https://klasma.github.io/Logging_2581/tillsyn/A 390-2024 tillsynsbegäran.docx", "A 390-2024")</f>
        <v/>
      </c>
      <c r="Y29">
        <f>HYPERLINK("https://klasma.github.io/Logging_2581/tillsynsmail/A 390-2024 tillsynsbegäran mail.docx", "A 390-2024")</f>
        <v/>
      </c>
      <c r="Z29">
        <f>HYPERLINK("https://klasma.github.io/Logging_2581/fåglar/A 390-2024 prioriterade fågelarter.docx", "A 390-2024")</f>
        <v/>
      </c>
    </row>
    <row r="30" ht="15" customHeight="1">
      <c r="A30" t="inlineStr">
        <is>
          <t>A 19587-2024</t>
        </is>
      </c>
      <c r="B30" s="1" t="n">
        <v>45430</v>
      </c>
      <c r="C30" s="1" t="n">
        <v>45807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4.1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Gammelgransskål
Rödvingetrast
Spillkråka
Ullticka</t>
        </is>
      </c>
      <c r="S30">
        <f>HYPERLINK("https://klasma.github.io/Logging_2581/artfynd/A 19587-2024 artfynd.xlsx", "A 19587-2024")</f>
        <v/>
      </c>
      <c r="T30">
        <f>HYPERLINK("https://klasma.github.io/Logging_2581/kartor/A 19587-2024 karta.png", "A 19587-2024")</f>
        <v/>
      </c>
      <c r="V30">
        <f>HYPERLINK("https://klasma.github.io/Logging_2581/klagomål/A 19587-2024 FSC-klagomål.docx", "A 19587-2024")</f>
        <v/>
      </c>
      <c r="W30">
        <f>HYPERLINK("https://klasma.github.io/Logging_2581/klagomålsmail/A 19587-2024 FSC-klagomål mail.docx", "A 19587-2024")</f>
        <v/>
      </c>
      <c r="X30">
        <f>HYPERLINK("https://klasma.github.io/Logging_2581/tillsyn/A 19587-2024 tillsynsbegäran.docx", "A 19587-2024")</f>
        <v/>
      </c>
      <c r="Y30">
        <f>HYPERLINK("https://klasma.github.io/Logging_2581/tillsynsmail/A 19587-2024 tillsynsbegäran mail.docx", "A 19587-2024")</f>
        <v/>
      </c>
      <c r="Z30">
        <f>HYPERLINK("https://klasma.github.io/Logging_2581/fåglar/A 19587-2024 prioriterade fågelarter.docx", "A 19587-2024")</f>
        <v/>
      </c>
    </row>
    <row r="31" ht="15" customHeight="1">
      <c r="A31" t="inlineStr">
        <is>
          <t>A 22474-2024</t>
        </is>
      </c>
      <c r="B31" s="1" t="n">
        <v>45447</v>
      </c>
      <c r="C31" s="1" t="n">
        <v>45807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6.5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Gammelgransskål
Granticka
Spillkråka
Tibast</t>
        </is>
      </c>
      <c r="S31">
        <f>HYPERLINK("https://klasma.github.io/Logging_2581/artfynd/A 22474-2024 artfynd.xlsx", "A 22474-2024")</f>
        <v/>
      </c>
      <c r="T31">
        <f>HYPERLINK("https://klasma.github.io/Logging_2581/kartor/A 22474-2024 karta.png", "A 22474-2024")</f>
        <v/>
      </c>
      <c r="V31">
        <f>HYPERLINK("https://klasma.github.io/Logging_2581/klagomål/A 22474-2024 FSC-klagomål.docx", "A 22474-2024")</f>
        <v/>
      </c>
      <c r="W31">
        <f>HYPERLINK("https://klasma.github.io/Logging_2581/klagomålsmail/A 22474-2024 FSC-klagomål mail.docx", "A 22474-2024")</f>
        <v/>
      </c>
      <c r="X31">
        <f>HYPERLINK("https://klasma.github.io/Logging_2581/tillsyn/A 22474-2024 tillsynsbegäran.docx", "A 22474-2024")</f>
        <v/>
      </c>
      <c r="Y31">
        <f>HYPERLINK("https://klasma.github.io/Logging_2581/tillsynsmail/A 22474-2024 tillsynsbegäran mail.docx", "A 22474-2024")</f>
        <v/>
      </c>
      <c r="Z31">
        <f>HYPERLINK("https://klasma.github.io/Logging_2581/fåglar/A 22474-2024 prioriterade fågelarter.docx", "A 22474-2024")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45807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45807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45807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45807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45807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45807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45807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45807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45807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45807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45807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45807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45807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45807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45807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45807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45807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45807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45807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45807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45807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45807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45807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45807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45807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45807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45807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45807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45807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45807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45807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45807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45807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45807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45807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45807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45807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45807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45807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45807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45807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45807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45807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45807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45807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45807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45807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45807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45807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45807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45807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45807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45807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45807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45807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45807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45807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45807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45807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45807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45807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45807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45807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45807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45807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45807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45807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45807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45807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45807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45807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45807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45807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45807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45807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45807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45807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45807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45807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45807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45807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45807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45807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45807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45807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45807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45807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45807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45807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45807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45807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45807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45807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45807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45807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45807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45807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45807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45807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45807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45807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45807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45807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45807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45807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45807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45807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45807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45807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45807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45807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45807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45807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45807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45807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45807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45807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45807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45807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45807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45807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45807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45807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45807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45807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45807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45807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45807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45807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45807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45807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45807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45807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45807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45807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45807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45807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45807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45807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45807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45807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45807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45807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45807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45807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45807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45807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45807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45807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45807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45807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45807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45807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45807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45807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45807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45807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45807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45807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45807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45807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45807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45807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45807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45807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45807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45807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45807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45807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45807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45807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45807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45807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45807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45807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45807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45807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45807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45807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45807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45807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45807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45807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45807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45807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45807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45807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45807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45807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45807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45807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45807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45807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45807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45807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45807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45807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45807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45807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45807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45807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45807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45807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45807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45807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45807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45807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45807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45807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45807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45807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45807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45807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45807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45807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45807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45807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45807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45807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45807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45807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45807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45807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45807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45807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45807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45807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45807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45807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45807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45807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45807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45807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45807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45807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45807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45807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45807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45807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45807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45807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45807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45807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45807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45807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45807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45807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45807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45807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45807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45807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45807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45807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45807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45807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45807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45807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45807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45807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45807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45807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45807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45807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45807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45807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45807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45807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45807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45807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45807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45807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45807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45807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45807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45807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45807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45807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45807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45807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45807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45807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45807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45807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45807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45807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45807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45807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45807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45807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45807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45807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45807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45807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45807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45807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45807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45807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45807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45807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45807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45807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45807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45807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45807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45807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45807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45807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45807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45807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45807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45807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45807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45807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45807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45807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45807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45807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45807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45807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45807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45807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45807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45807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45807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45807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45807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45807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45807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45807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45807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45807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45807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45807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45807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45807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45807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45807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45807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45807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45807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45807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45807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45807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45807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45807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45807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45807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45807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45807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45807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45807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45807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45807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45807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45807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45807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45807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45807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45807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45807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45807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45807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45807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45807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45807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45807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45807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45807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45807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45807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45807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45807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45807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45807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45807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45807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45807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45807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45807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45807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45807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45807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45807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45807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45807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45807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45807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45807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45807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45807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45807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45807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45807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45807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45807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45807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45807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45807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45807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45807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45807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45807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45807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45807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45807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45807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45807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45807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45807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45807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45807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45807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45807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45807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45807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45807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45807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45807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45807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45807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45807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45807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45807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45807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45807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45807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45807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45807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45807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45807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45807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45807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45807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45807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45807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45807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45807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45807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45807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45807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45807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45807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45807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45807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45807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45807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45807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45807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45807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45807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45807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45807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45807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45807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45807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45807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45807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45807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45807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45807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45807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45807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45807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45807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45807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45807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45807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45807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45807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45807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45807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45807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45807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45807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45807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45807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45807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45807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45807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45807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45807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45807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45807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45807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45807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45807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45807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45807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45807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45807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45807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45807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45807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45807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45807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45807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45807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45807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45807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45807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45807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45807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45807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45807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45807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45807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45807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45807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45807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45807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45807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45807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45807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45807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45807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45807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45807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45807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45807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45807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45807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45807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45807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45807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45807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45807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45807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45807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45807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45807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45807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45807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45807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45807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45807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45807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45807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45807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45807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45807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45807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45807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45807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45807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45807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45807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45807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45807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45807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45807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45807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45807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45807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45807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45807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45807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45807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45807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45807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45807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45807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45807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45807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45807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45807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45807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45807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45807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45807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45807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45807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45807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45807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45807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45807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45807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45807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45807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45807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45807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45807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45807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45807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45807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45807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45807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45807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45807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45807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45807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45807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45807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45807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45807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45807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45807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45807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45807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45807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45807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45807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45807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45807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45807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45807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45807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45807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45807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45807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45807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45807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45807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45807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45807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45807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45807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45807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45807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45807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45807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45807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45807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45807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45807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45807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45807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45807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45807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45807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45807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45807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45807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45807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45807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45807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45807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45807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45807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45807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45807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45807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45807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45807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45807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45807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45807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45807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45807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45807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45807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45807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45807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45807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45807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45807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45807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45807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45807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45807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45807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45807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45807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45807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45807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45807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45807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45807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45807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45807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45807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45807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45807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45807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45807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45807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45807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45807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45807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45807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45807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45807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45807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45807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45807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45807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45807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45807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45807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45807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45807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45807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45807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45807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45807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45807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45807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45807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45807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45807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45807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45807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45807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45807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45807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45807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45807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45807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45807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45807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45807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45807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45807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45807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45807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45807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45807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45807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45807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45807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45807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45807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45807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45807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45807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45807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45807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45807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45807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45807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45807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45807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45807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45807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45807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45807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45807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45807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45807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45807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45807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45807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45807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45807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45807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45807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45807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45807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45807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45807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45807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45807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45807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45807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45807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45807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45807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45807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45807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45807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45807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45807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45807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45807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45807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45807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45807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45807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45807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45807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45807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45807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45807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45807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45807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45807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45807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45807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45807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45807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45807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45807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45807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45807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45807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45807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45807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45807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45807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45807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45807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45807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45807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45807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45807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45807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45807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45807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45807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45807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45807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45807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45807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45807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45807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45807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45807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45807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45807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45807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45807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45807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45807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45807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45807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45807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45807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45807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45807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45807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45807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45807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45807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45807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45807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45807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45807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45807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45807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45807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45807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45807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45807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45807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45807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45807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45807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45807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45807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45807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45807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45807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45807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45807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45807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45807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45807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45807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45807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45807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45807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45807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45807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45807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45807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45807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45807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45807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45807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45807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45807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45807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45807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45807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45807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45807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45807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45807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45807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45807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45807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45807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45807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45807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45807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45807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45807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45807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45807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45807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45807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45807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45807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45807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45807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45807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45807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45807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45807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45807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45807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45807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45807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45807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45807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45807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45807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45807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45807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45807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45807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45807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45807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45807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45807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45807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45807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45807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45807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45807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45807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45807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45807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45807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45807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45807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45807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45807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45807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45807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45807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45807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45807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45807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45807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45807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45807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45807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45807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45807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45807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45807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45807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45807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45807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45807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45807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45807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45807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45807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45807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45807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45807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45807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45807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45807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45807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45807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45807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45807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45807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45807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45807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45807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45807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45807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45807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45807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45807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45807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45807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45807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45807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45807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45807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45807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45807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45807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45807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45807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45807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45807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45807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45807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45807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45807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45807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45807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45807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45807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45807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45807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45807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45807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45807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45807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45807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45807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45807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45807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45807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45807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45807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45807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45807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45807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45807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45807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45807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45807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45807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45807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45807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45807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45807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45807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45807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45807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45807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45807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45807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45807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45807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45807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45807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45807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45807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45807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45807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45807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45807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45807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45807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45807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45807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45807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45807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45807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45807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45807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45807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45807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45807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45807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45807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45807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45807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45807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45807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45807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45807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45807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45807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45807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45807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45807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45807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45807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45807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45807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45807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45807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45807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45807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45807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45807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45807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45807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45807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45807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45807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45807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45807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45807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45807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45807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45807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45807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45807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45807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45807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45807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45807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45807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45807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45807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45807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45807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45807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45807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45807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45807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45807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45807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45807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45807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45807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45807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45807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45807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45807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45807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45807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45807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45807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45807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45807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45807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45807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45807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45807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45807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45807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45807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45807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45807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45807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45807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45807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45807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45807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45807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45807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45807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45807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45807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45807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45807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45807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45807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45807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45807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45807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45807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45807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45807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45807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45807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45807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45807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45807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45807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45807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45807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45807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45807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45807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45807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45807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45807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45807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45807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45807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45807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45807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45807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45807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45807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45807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45807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45807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45807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45807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45807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45807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45807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45807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45807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45807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45807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45807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45807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45807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45807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45807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45807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45807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45807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45807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45807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45807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45807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45807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45807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45807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45807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45807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45807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45807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45807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45807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45807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45807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45807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45807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45807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45807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45807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45807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45807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45807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45807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45807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45807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45807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45807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45807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45807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45807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45807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45807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45807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45807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45807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45807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45807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45807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45807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45807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45807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45807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45807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45807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45807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45807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45807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45807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45807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45807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45807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45807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45807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45807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45807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45807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45807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45807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45807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45807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45807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45807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45807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45807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45807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45807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45807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45807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45807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45807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45807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45807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45807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45807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45807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45807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45807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45807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45807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45807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45807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45807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45807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45807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45807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45807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45807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45807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45807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45807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45807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45807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45807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45807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45807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45807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45807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45807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45807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45807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45807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45807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45807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45807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45807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45807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45807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45807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45807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45807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45807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45807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45807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45807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45807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45807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45807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45807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45807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45807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45807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45807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45807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45807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45807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45807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45807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45807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45807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45807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45807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45807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45807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45807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45807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45807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45807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45807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45807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45807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45807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45807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45807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45807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45807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45807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45807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45807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45807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45807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45807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45807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45807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45807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45807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45807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45807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45807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45807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45807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45807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45807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45807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45807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45807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45807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45807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45807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45807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45807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45807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45807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45807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45807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45807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45807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45807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45807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45807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45807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45807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45807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45807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45807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45807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45807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45807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45807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45807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45807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45807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45807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45807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45807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45807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45807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45807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45807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45807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45807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45807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45807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45807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45807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45807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45807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45807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45807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45807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45807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45807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45807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45807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45807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45807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45807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45807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45807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45807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45807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45807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45807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45807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45807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45807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45807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45807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45807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45807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45807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45807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45807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45807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45807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45807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45807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45807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45807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45807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45807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45807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45807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45807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45807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45807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45807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45807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45807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45807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45807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45807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45807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45807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45807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45807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45807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45807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45807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45807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45807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45807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45807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45807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45807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45807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45807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45807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45807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45807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45807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45807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45807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45807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45807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45807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45807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19433-2025</t>
        </is>
      </c>
      <c r="B1476" s="1" t="n">
        <v>45769</v>
      </c>
      <c r="C1476" s="1" t="n">
        <v>45807</v>
      </c>
      <c r="D1476" t="inlineStr">
        <is>
          <t>NORRBOTTENS LÄN</t>
        </is>
      </c>
      <c r="E1476" t="inlineStr">
        <is>
          <t>PITEÅ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45807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45807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45807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20497-2025</t>
        </is>
      </c>
      <c r="B1480" s="1" t="n">
        <v>45775</v>
      </c>
      <c r="C1480" s="1" t="n">
        <v>45807</v>
      </c>
      <c r="D1480" t="inlineStr">
        <is>
          <t>NORRBOTTENS LÄN</t>
        </is>
      </c>
      <c r="E1480" t="inlineStr">
        <is>
          <t>PITEÅ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20391-2025</t>
        </is>
      </c>
      <c r="B1481" s="1" t="n">
        <v>45775</v>
      </c>
      <c r="C1481" s="1" t="n">
        <v>45807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45807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45807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20668-2025</t>
        </is>
      </c>
      <c r="B1484" s="1" t="n">
        <v>45776</v>
      </c>
      <c r="C1484" s="1" t="n">
        <v>45807</v>
      </c>
      <c r="D1484" t="inlineStr">
        <is>
          <t>NORRBOTTENS LÄN</t>
        </is>
      </c>
      <c r="E1484" t="inlineStr">
        <is>
          <t>PITEÅ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20632-2025</t>
        </is>
      </c>
      <c r="B1485" s="1" t="n">
        <v>45776</v>
      </c>
      <c r="C1485" s="1" t="n">
        <v>45807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8.199999999999999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20646-2025</t>
        </is>
      </c>
      <c r="B1486" s="1" t="n">
        <v>45776</v>
      </c>
      <c r="C1486" s="1" t="n">
        <v>45807</v>
      </c>
      <c r="D1486" t="inlineStr">
        <is>
          <t>NORRBOTTENS LÄN</t>
        </is>
      </c>
      <c r="E1486" t="inlineStr">
        <is>
          <t>PITEÅ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21540-2025</t>
        </is>
      </c>
      <c r="B1487" s="1" t="n">
        <v>45782</v>
      </c>
      <c r="C1487" s="1" t="n">
        <v>45807</v>
      </c>
      <c r="D1487" t="inlineStr">
        <is>
          <t>NORRBOTTENS LÄN</t>
        </is>
      </c>
      <c r="E1487" t="inlineStr">
        <is>
          <t>PITEÅ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21494-2025</t>
        </is>
      </c>
      <c r="B1488" s="1" t="n">
        <v>45782</v>
      </c>
      <c r="C1488" s="1" t="n">
        <v>45807</v>
      </c>
      <c r="D1488" t="inlineStr">
        <is>
          <t>NORRBOTTENS LÄN</t>
        </is>
      </c>
      <c r="E1488" t="inlineStr">
        <is>
          <t>PITEÅ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21444-2025</t>
        </is>
      </c>
      <c r="B1489" s="1" t="n">
        <v>45782</v>
      </c>
      <c r="C1489" s="1" t="n">
        <v>45807</v>
      </c>
      <c r="D1489" t="inlineStr">
        <is>
          <t>NORRBOTTENS LÄN</t>
        </is>
      </c>
      <c r="E1489" t="inlineStr">
        <is>
          <t>PITEÅ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21498-2025</t>
        </is>
      </c>
      <c r="B1490" s="1" t="n">
        <v>45782</v>
      </c>
      <c r="C1490" s="1" t="n">
        <v>45807</v>
      </c>
      <c r="D1490" t="inlineStr">
        <is>
          <t>NORRBOTTENS LÄN</t>
        </is>
      </c>
      <c r="E1490" t="inlineStr">
        <is>
          <t>PITEÅ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45807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21705-2025</t>
        </is>
      </c>
      <c r="B1492" s="1" t="n">
        <v>45783</v>
      </c>
      <c r="C1492" s="1" t="n">
        <v>45807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45807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22978-2025</t>
        </is>
      </c>
      <c r="B1494" s="1" t="n">
        <v>45790</v>
      </c>
      <c r="C1494" s="1" t="n">
        <v>45807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22990-2025</t>
        </is>
      </c>
      <c r="B1495" s="1" t="n">
        <v>45790</v>
      </c>
      <c r="C1495" s="1" t="n">
        <v>45807</v>
      </c>
      <c r="D1495" t="inlineStr">
        <is>
          <t>NORRBOTTENS LÄN</t>
        </is>
      </c>
      <c r="E1495" t="inlineStr">
        <is>
          <t>PITEÅ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23032-2025</t>
        </is>
      </c>
      <c r="B1496" s="1" t="n">
        <v>45790</v>
      </c>
      <c r="C1496" s="1" t="n">
        <v>45807</v>
      </c>
      <c r="D1496" t="inlineStr">
        <is>
          <t>NORRBOTTENS LÄN</t>
        </is>
      </c>
      <c r="E1496" t="inlineStr">
        <is>
          <t>PITEÅ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23128-2025</t>
        </is>
      </c>
      <c r="B1497" s="1" t="n">
        <v>45791</v>
      </c>
      <c r="C1497" s="1" t="n">
        <v>45807</v>
      </c>
      <c r="D1497" t="inlineStr">
        <is>
          <t>NORRBOTTENS LÄN</t>
        </is>
      </c>
      <c r="E1497" t="inlineStr">
        <is>
          <t>PITEÅ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23161-2025</t>
        </is>
      </c>
      <c r="B1498" s="1" t="n">
        <v>45791</v>
      </c>
      <c r="C1498" s="1" t="n">
        <v>45807</v>
      </c>
      <c r="D1498" t="inlineStr">
        <is>
          <t>NORRBOTTENS LÄN</t>
        </is>
      </c>
      <c r="E1498" t="inlineStr">
        <is>
          <t>PITEÅ</t>
        </is>
      </c>
      <c r="G1498" t="n">
        <v>16.7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23112-2025</t>
        </is>
      </c>
      <c r="B1499" s="1" t="n">
        <v>45791</v>
      </c>
      <c r="C1499" s="1" t="n">
        <v>45807</v>
      </c>
      <c r="D1499" t="inlineStr">
        <is>
          <t>NORRBOTTENS LÄN</t>
        </is>
      </c>
      <c r="E1499" t="inlineStr">
        <is>
          <t>PITEÅ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23129-2025</t>
        </is>
      </c>
      <c r="B1500" s="1" t="n">
        <v>45791</v>
      </c>
      <c r="C1500" s="1" t="n">
        <v>45807</v>
      </c>
      <c r="D1500" t="inlineStr">
        <is>
          <t>NORRBOTTENS LÄN</t>
        </is>
      </c>
      <c r="E1500" t="inlineStr">
        <is>
          <t>PITEÅ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23692-2025</t>
        </is>
      </c>
      <c r="B1501" s="1" t="n">
        <v>45793</v>
      </c>
      <c r="C1501" s="1" t="n">
        <v>45807</v>
      </c>
      <c r="D1501" t="inlineStr">
        <is>
          <t>NORRBOTTENS LÄN</t>
        </is>
      </c>
      <c r="E1501" t="inlineStr">
        <is>
          <t>PITEÅ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23949-2025</t>
        </is>
      </c>
      <c r="B1502" s="1" t="n">
        <v>45796</v>
      </c>
      <c r="C1502" s="1" t="n">
        <v>45807</v>
      </c>
      <c r="D1502" t="inlineStr">
        <is>
          <t>NORRBOTTENS LÄN</t>
        </is>
      </c>
      <c r="E1502" t="inlineStr">
        <is>
          <t>PITEÅ</t>
        </is>
      </c>
      <c r="G1502" t="n">
        <v>13.4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24190-2025</t>
        </is>
      </c>
      <c r="B1503" s="1" t="n">
        <v>45796</v>
      </c>
      <c r="C1503" s="1" t="n">
        <v>45807</v>
      </c>
      <c r="D1503" t="inlineStr">
        <is>
          <t>NORRBOTTENS LÄN</t>
        </is>
      </c>
      <c r="E1503" t="inlineStr">
        <is>
          <t>PITEÅ</t>
        </is>
      </c>
      <c r="G1503" t="n">
        <v>8.300000000000001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24295-2025</t>
        </is>
      </c>
      <c r="B1504" s="1" t="n">
        <v>45797</v>
      </c>
      <c r="C1504" s="1" t="n">
        <v>45807</v>
      </c>
      <c r="D1504" t="inlineStr">
        <is>
          <t>NORRBOTTENS LÄN</t>
        </is>
      </c>
      <c r="E1504" t="inlineStr">
        <is>
          <t>PITEÅ</t>
        </is>
      </c>
      <c r="G1504" t="n">
        <v>6.9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24302-2025</t>
        </is>
      </c>
      <c r="B1505" s="1" t="n">
        <v>45797</v>
      </c>
      <c r="C1505" s="1" t="n">
        <v>45807</v>
      </c>
      <c r="D1505" t="inlineStr">
        <is>
          <t>NORRBOTTENS LÄN</t>
        </is>
      </c>
      <c r="E1505" t="inlineStr">
        <is>
          <t>PITEÅ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24311-2025</t>
        </is>
      </c>
      <c r="B1506" s="1" t="n">
        <v>45797</v>
      </c>
      <c r="C1506" s="1" t="n">
        <v>45807</v>
      </c>
      <c r="D1506" t="inlineStr">
        <is>
          <t>NORRBOTTENS LÄN</t>
        </is>
      </c>
      <c r="E1506" t="inlineStr">
        <is>
          <t>PITEÅ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24288-2025</t>
        </is>
      </c>
      <c r="B1507" s="1" t="n">
        <v>45797</v>
      </c>
      <c r="C1507" s="1" t="n">
        <v>45807</v>
      </c>
      <c r="D1507" t="inlineStr">
        <is>
          <t>NORRBOTTENS LÄN</t>
        </is>
      </c>
      <c r="E1507" t="inlineStr">
        <is>
          <t>PITEÅ</t>
        </is>
      </c>
      <c r="G1507" t="n">
        <v>17.5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24304-2025</t>
        </is>
      </c>
      <c r="B1508" s="1" t="n">
        <v>45797</v>
      </c>
      <c r="C1508" s="1" t="n">
        <v>45807</v>
      </c>
      <c r="D1508" t="inlineStr">
        <is>
          <t>NORRBOTTENS LÄN</t>
        </is>
      </c>
      <c r="E1508" t="inlineStr">
        <is>
          <t>PITEÅ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24749-2025</t>
        </is>
      </c>
      <c r="B1509" s="1" t="n">
        <v>45799</v>
      </c>
      <c r="C1509" s="1" t="n">
        <v>45807</v>
      </c>
      <c r="D1509" t="inlineStr">
        <is>
          <t>NORRBOTTENS LÄN</t>
        </is>
      </c>
      <c r="E1509" t="inlineStr">
        <is>
          <t>PITEÅ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24989-2025</t>
        </is>
      </c>
      <c r="B1510" s="1" t="n">
        <v>45799</v>
      </c>
      <c r="C1510" s="1" t="n">
        <v>45807</v>
      </c>
      <c r="D1510" t="inlineStr">
        <is>
          <t>NORRBOTTENS LÄN</t>
        </is>
      </c>
      <c r="E1510" t="inlineStr">
        <is>
          <t>PITEÅ</t>
        </is>
      </c>
      <c r="G1510" t="n">
        <v>11.7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25028-2025</t>
        </is>
      </c>
      <c r="B1511" s="1" t="n">
        <v>45799</v>
      </c>
      <c r="C1511" s="1" t="n">
        <v>45807</v>
      </c>
      <c r="D1511" t="inlineStr">
        <is>
          <t>NORRBOTTENS LÄN</t>
        </is>
      </c>
      <c r="E1511" t="inlineStr">
        <is>
          <t>PITEÅ</t>
        </is>
      </c>
      <c r="G1511" t="n">
        <v>17.2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25429-2025</t>
        </is>
      </c>
      <c r="B1512" s="1" t="n">
        <v>45800</v>
      </c>
      <c r="C1512" s="1" t="n">
        <v>45807</v>
      </c>
      <c r="D1512" t="inlineStr">
        <is>
          <t>NORRBOTTENS LÄN</t>
        </is>
      </c>
      <c r="E1512" t="inlineStr">
        <is>
          <t>PITEÅ</t>
        </is>
      </c>
      <c r="F1512" t="inlineStr">
        <is>
          <t>SCA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25379-2025</t>
        </is>
      </c>
      <c r="B1513" s="1" t="n">
        <v>45800</v>
      </c>
      <c r="C1513" s="1" t="n">
        <v>45807</v>
      </c>
      <c r="D1513" t="inlineStr">
        <is>
          <t>NORRBOTTENS LÄN</t>
        </is>
      </c>
      <c r="E1513" t="inlineStr">
        <is>
          <t>PITEÅ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25375-2025</t>
        </is>
      </c>
      <c r="B1514" s="1" t="n">
        <v>45800</v>
      </c>
      <c r="C1514" s="1" t="n">
        <v>45807</v>
      </c>
      <c r="D1514" t="inlineStr">
        <is>
          <t>NORRBOTTENS LÄN</t>
        </is>
      </c>
      <c r="E1514" t="inlineStr">
        <is>
          <t>PITEÅ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25424-2025</t>
        </is>
      </c>
      <c r="B1515" s="1" t="n">
        <v>45800</v>
      </c>
      <c r="C1515" s="1" t="n">
        <v>45807</v>
      </c>
      <c r="D1515" t="inlineStr">
        <is>
          <t>NORRBOTTENS LÄN</t>
        </is>
      </c>
      <c r="E1515" t="inlineStr">
        <is>
          <t>PITEÅ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25716-2025</t>
        </is>
      </c>
      <c r="B1516" s="1" t="n">
        <v>45803</v>
      </c>
      <c r="C1516" s="1" t="n">
        <v>45807</v>
      </c>
      <c r="D1516" t="inlineStr">
        <is>
          <t>NORRBOTTENS LÄN</t>
        </is>
      </c>
      <c r="E1516" t="inlineStr">
        <is>
          <t>PITEÅ</t>
        </is>
      </c>
      <c r="F1516" t="inlineStr">
        <is>
          <t>Sveaskog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25713-2025</t>
        </is>
      </c>
      <c r="B1517" s="1" t="n">
        <v>45803</v>
      </c>
      <c r="C1517" s="1" t="n">
        <v>45807</v>
      </c>
      <c r="D1517" t="inlineStr">
        <is>
          <t>NORRBOTTENS LÄN</t>
        </is>
      </c>
      <c r="E1517" t="inlineStr">
        <is>
          <t>PITEÅ</t>
        </is>
      </c>
      <c r="F1517" t="inlineStr">
        <is>
          <t>Sveaskog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25768-2025</t>
        </is>
      </c>
      <c r="B1518" s="1" t="n">
        <v>45804</v>
      </c>
      <c r="C1518" s="1" t="n">
        <v>45807</v>
      </c>
      <c r="D1518" t="inlineStr">
        <is>
          <t>NORRBOTTENS LÄN</t>
        </is>
      </c>
      <c r="E1518" t="inlineStr">
        <is>
          <t>PITEÅ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25934-2025</t>
        </is>
      </c>
      <c r="B1519" s="1" t="n">
        <v>45804</v>
      </c>
      <c r="C1519" s="1" t="n">
        <v>45807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26080-2025</t>
        </is>
      </c>
      <c r="B1520" s="1" t="n">
        <v>45805</v>
      </c>
      <c r="C1520" s="1" t="n">
        <v>45807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26248-2025</t>
        </is>
      </c>
      <c r="B1521" s="1" t="n">
        <v>45805</v>
      </c>
      <c r="C1521" s="1" t="n">
        <v>45807</v>
      </c>
      <c r="D1521" t="inlineStr">
        <is>
          <t>NORRBOTTENS LÄN</t>
        </is>
      </c>
      <c r="E1521" t="inlineStr">
        <is>
          <t>PITEÅ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2025-05-30T17:56:23Z</dcterms:created>
  <dcterms:modified xmlns:dcterms="http://purl.org/dc/terms/" xmlns:xsi="http://www.w3.org/2001/XMLSchema-instance" xsi:type="dcterms:W3CDTF">2025-05-30T17:56:25Z</dcterms:modified>
</cp:coreProperties>
</file>