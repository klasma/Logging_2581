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45649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14504-2020</t>
        </is>
      </c>
      <c r="B3" s="1" t="n">
        <v>43902</v>
      </c>
      <c r="C3" s="1" t="n">
        <v>45649</v>
      </c>
      <c r="D3" t="inlineStr">
        <is>
          <t>NORRBOTTENS LÄN</t>
        </is>
      </c>
      <c r="E3" t="inlineStr">
        <is>
          <t>PITEÅ</t>
        </is>
      </c>
      <c r="G3" t="n">
        <v>11.9</v>
      </c>
      <c r="H3" t="n">
        <v>3</v>
      </c>
      <c r="I3" t="n">
        <v>7</v>
      </c>
      <c r="J3" t="n">
        <v>7</v>
      </c>
      <c r="K3" t="n">
        <v>4</v>
      </c>
      <c r="L3" t="n">
        <v>0</v>
      </c>
      <c r="M3" t="n">
        <v>0</v>
      </c>
      <c r="N3" t="n">
        <v>0</v>
      </c>
      <c r="O3" t="n">
        <v>11</v>
      </c>
      <c r="P3" t="n">
        <v>4</v>
      </c>
      <c r="Q3" t="n">
        <v>18</v>
      </c>
      <c r="R3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3">
        <f>HYPERLINK("https://klasma.github.io/Logging_2581/artfynd/A 14504-2020 artfynd.xlsx", "A 14504-2020")</f>
        <v/>
      </c>
      <c r="T3">
        <f>HYPERLINK("https://klasma.github.io/Logging_2581/kartor/A 14504-2020 karta.png", "A 14504-2020")</f>
        <v/>
      </c>
      <c r="U3">
        <f>HYPERLINK("https://klasma.github.io/Logging_2581/knärot/A 14504-2020 karta knärot.png", "A 14504-2020")</f>
        <v/>
      </c>
      <c r="V3">
        <f>HYPERLINK("https://klasma.github.io/Logging_2581/klagomål/A 14504-2020 FSC-klagomål.docx", "A 14504-2020")</f>
        <v/>
      </c>
      <c r="W3">
        <f>HYPERLINK("https://klasma.github.io/Logging_2581/klagomålsmail/A 14504-2020 FSC-klagomål mail.docx", "A 14504-2020")</f>
        <v/>
      </c>
      <c r="X3">
        <f>HYPERLINK("https://klasma.github.io/Logging_2581/tillsyn/A 14504-2020 tillsynsbegäran.docx", "A 14504-2020")</f>
        <v/>
      </c>
      <c r="Y3">
        <f>HYPERLINK("https://klasma.github.io/Logging_2581/tillsynsmail/A 14504-2020 tillsynsbegäran mail.docx", "A 14504-2020")</f>
        <v/>
      </c>
      <c r="Z3">
        <f>HYPERLINK("https://klasma.github.io/Logging_2581/fåglar/A 14504-2020 prioriterade fågelarter.docx", "A 14504-2020")</f>
        <v/>
      </c>
    </row>
    <row r="4" ht="15" customHeight="1">
      <c r="A4" t="inlineStr">
        <is>
          <t>A 36307-2023</t>
        </is>
      </c>
      <c r="B4" s="1" t="n">
        <v>45152</v>
      </c>
      <c r="C4" s="1" t="n">
        <v>45649</v>
      </c>
      <c r="D4" t="inlineStr">
        <is>
          <t>NORRBOTTENS LÄN</t>
        </is>
      </c>
      <c r="E4" t="inlineStr">
        <is>
          <t>PITEÅ</t>
        </is>
      </c>
      <c r="F4" t="inlineStr">
        <is>
          <t>Sveaskog</t>
        </is>
      </c>
      <c r="G4" t="n">
        <v>16.6</v>
      </c>
      <c r="H4" t="n">
        <v>2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Gräddporing
Blanksvart spiklav
Dvärgbägarlav
Garnlav
Kolflarnlav
Mörk kolflarnlav
Orange taggsvamp
Skrovlig taggsvamp
Svart taggsvamp
Tallriska
Talltita
Vaddporing
Vedflamlav
Vedskivlav
Dropptaggsvamp
Vedticka
Tjäder</t>
        </is>
      </c>
      <c r="S4">
        <f>HYPERLINK("https://klasma.github.io/Logging_2581/artfynd/A 36307-2023 artfynd.xlsx", "A 36307-2023")</f>
        <v/>
      </c>
      <c r="T4">
        <f>HYPERLINK("https://klasma.github.io/Logging_2581/kartor/A 36307-2023 karta.png", "A 36307-2023")</f>
        <v/>
      </c>
      <c r="V4">
        <f>HYPERLINK("https://klasma.github.io/Logging_2581/klagomål/A 36307-2023 FSC-klagomål.docx", "A 36307-2023")</f>
        <v/>
      </c>
      <c r="W4">
        <f>HYPERLINK("https://klasma.github.io/Logging_2581/klagomålsmail/A 36307-2023 FSC-klagomål mail.docx", "A 36307-2023")</f>
        <v/>
      </c>
      <c r="X4">
        <f>HYPERLINK("https://klasma.github.io/Logging_2581/tillsyn/A 36307-2023 tillsynsbegäran.docx", "A 36307-2023")</f>
        <v/>
      </c>
      <c r="Y4">
        <f>HYPERLINK("https://klasma.github.io/Logging_2581/tillsynsmail/A 36307-2023 tillsynsbegäran mail.docx", "A 36307-2023")</f>
        <v/>
      </c>
      <c r="Z4">
        <f>HYPERLINK("https://klasma.github.io/Logging_2581/fåglar/A 36307-2023 prioriterade fågelarter.docx", "A 36307-2023")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45649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45649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45649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45649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45649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45649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45649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45649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45649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45649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45649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45649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45649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45649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45649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45649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57808-2024</t>
        </is>
      </c>
      <c r="B21" s="1" t="n">
        <v>45631</v>
      </c>
      <c r="C21" s="1" t="n">
        <v>45649</v>
      </c>
      <c r="D21" t="inlineStr">
        <is>
          <t>NORRBOTTENS LÄN</t>
        </is>
      </c>
      <c r="E21" t="inlineStr">
        <is>
          <t>PITEÅ</t>
        </is>
      </c>
      <c r="G21" t="n">
        <v>17.4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Ullticka</t>
        </is>
      </c>
      <c r="S21">
        <f>HYPERLINK("https://klasma.github.io/Logging_2581/artfynd/A 57808-2024 artfynd.xlsx", "A 57808-2024")</f>
        <v/>
      </c>
      <c r="T21">
        <f>HYPERLINK("https://klasma.github.io/Logging_2581/kartor/A 57808-2024 karta.png", "A 57808-2024")</f>
        <v/>
      </c>
      <c r="V21">
        <f>HYPERLINK("https://klasma.github.io/Logging_2581/klagomål/A 57808-2024 FSC-klagomål.docx", "A 57808-2024")</f>
        <v/>
      </c>
      <c r="W21">
        <f>HYPERLINK("https://klasma.github.io/Logging_2581/klagomålsmail/A 57808-2024 FSC-klagomål mail.docx", "A 57808-2024")</f>
        <v/>
      </c>
      <c r="X21">
        <f>HYPERLINK("https://klasma.github.io/Logging_2581/tillsyn/A 57808-2024 tillsynsbegäran.docx", "A 57808-2024")</f>
        <v/>
      </c>
      <c r="Y21">
        <f>HYPERLINK("https://klasma.github.io/Logging_2581/tillsynsmail/A 57808-2024 tillsynsbegäran mail.docx", "A 57808-2024")</f>
        <v/>
      </c>
      <c r="Z21">
        <f>HYPERLINK("https://klasma.github.io/Logging_2581/fåglar/A 57808-2024 prioriterade fågelarter.docx", "A 57808-2024")</f>
        <v/>
      </c>
    </row>
    <row r="22" ht="15" customHeight="1">
      <c r="A22" t="inlineStr">
        <is>
          <t>A 16356-2020</t>
        </is>
      </c>
      <c r="B22" s="1" t="n">
        <v>43908</v>
      </c>
      <c r="C22" s="1" t="n">
        <v>45649</v>
      </c>
      <c r="D22" t="inlineStr">
        <is>
          <t>NORRBOTTENS LÄN</t>
        </is>
      </c>
      <c r="E22" t="inlineStr">
        <is>
          <t>PITEÅ</t>
        </is>
      </c>
      <c r="G22" t="n">
        <v>8.699999999999999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Skrovlig taggsvamp
Tallriska
Trådticka</t>
        </is>
      </c>
      <c r="S22">
        <f>HYPERLINK("https://klasma.github.io/Logging_2581/artfynd/A 16356-2020 artfynd.xlsx", "A 16356-2020")</f>
        <v/>
      </c>
      <c r="T22">
        <f>HYPERLINK("https://klasma.github.io/Logging_2581/kartor/A 16356-2020 karta.png", "A 16356-2020")</f>
        <v/>
      </c>
      <c r="V22">
        <f>HYPERLINK("https://klasma.github.io/Logging_2581/klagomål/A 16356-2020 FSC-klagomål.docx", "A 16356-2020")</f>
        <v/>
      </c>
      <c r="W22">
        <f>HYPERLINK("https://klasma.github.io/Logging_2581/klagomålsmail/A 16356-2020 FSC-klagomål mail.docx", "A 16356-2020")</f>
        <v/>
      </c>
      <c r="X22">
        <f>HYPERLINK("https://klasma.github.io/Logging_2581/tillsyn/A 16356-2020 tillsynsbegäran.docx", "A 16356-2020")</f>
        <v/>
      </c>
      <c r="Y22">
        <f>HYPERLINK("https://klasma.github.io/Logging_2581/tillsynsmail/A 16356-2020 tillsynsbegäran mail.docx", "A 16356-2020")</f>
        <v/>
      </c>
    </row>
    <row r="23" ht="15" customHeight="1">
      <c r="A23" t="inlineStr">
        <is>
          <t>A 14856-2021</t>
        </is>
      </c>
      <c r="B23" s="1" t="n">
        <v>44280</v>
      </c>
      <c r="C23" s="1" t="n">
        <v>45649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2.8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Sprickporing
Gammelgransskål
Granticka
Ullticka</t>
        </is>
      </c>
      <c r="S23">
        <f>HYPERLINK("https://klasma.github.io/Logging_2581/artfynd/A 14856-2021 artfynd.xlsx", "A 14856-2021")</f>
        <v/>
      </c>
      <c r="T23">
        <f>HYPERLINK("https://klasma.github.io/Logging_2581/kartor/A 14856-2021 karta.png", "A 14856-2021")</f>
        <v/>
      </c>
      <c r="V23">
        <f>HYPERLINK("https://klasma.github.io/Logging_2581/klagomål/A 14856-2021 FSC-klagomål.docx", "A 14856-2021")</f>
        <v/>
      </c>
      <c r="W23">
        <f>HYPERLINK("https://klasma.github.io/Logging_2581/klagomålsmail/A 14856-2021 FSC-klagomål mail.docx", "A 14856-2021")</f>
        <v/>
      </c>
      <c r="X23">
        <f>HYPERLINK("https://klasma.github.io/Logging_2581/tillsyn/A 14856-2021 tillsynsbegäran.docx", "A 14856-2021")</f>
        <v/>
      </c>
      <c r="Y23">
        <f>HYPERLINK("https://klasma.github.io/Logging_2581/tillsynsmail/A 14856-2021 tillsynsbegäran mail.docx", "A 14856-2021")</f>
        <v/>
      </c>
    </row>
    <row r="24" ht="15" customHeight="1">
      <c r="A24" t="inlineStr">
        <is>
          <t>A 73023-2021</t>
        </is>
      </c>
      <c r="B24" s="1" t="n">
        <v>44550</v>
      </c>
      <c r="C24" s="1" t="n">
        <v>45649</v>
      </c>
      <c r="D24" t="inlineStr">
        <is>
          <t>NORRBOTTENS LÄN</t>
        </is>
      </c>
      <c r="E24" t="inlineStr">
        <is>
          <t>PITEÅ</t>
        </is>
      </c>
      <c r="F24" t="inlineStr">
        <is>
          <t>Övriga Aktiebolag</t>
        </is>
      </c>
      <c r="G24" t="n">
        <v>10.3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Lunglav
Ullticka</t>
        </is>
      </c>
      <c r="S24">
        <f>HYPERLINK("https://klasma.github.io/Logging_2581/artfynd/A 73023-2021 artfynd.xlsx", "A 73023-2021")</f>
        <v/>
      </c>
      <c r="T24">
        <f>HYPERLINK("https://klasma.github.io/Logging_2581/kartor/A 73023-2021 karta.png", "A 73023-2021")</f>
        <v/>
      </c>
      <c r="U24">
        <f>HYPERLINK("https://klasma.github.io/Logging_2581/knärot/A 73023-2021 karta knärot.png", "A 73023-2021")</f>
        <v/>
      </c>
      <c r="V24">
        <f>HYPERLINK("https://klasma.github.io/Logging_2581/klagomål/A 73023-2021 FSC-klagomål.docx", "A 73023-2021")</f>
        <v/>
      </c>
      <c r="W24">
        <f>HYPERLINK("https://klasma.github.io/Logging_2581/klagomålsmail/A 73023-2021 FSC-klagomål mail.docx", "A 73023-2021")</f>
        <v/>
      </c>
      <c r="X24">
        <f>HYPERLINK("https://klasma.github.io/Logging_2581/tillsyn/A 73023-2021 tillsynsbegäran.docx", "A 73023-2021")</f>
        <v/>
      </c>
      <c r="Y24">
        <f>HYPERLINK("https://klasma.github.io/Logging_2581/tillsynsmail/A 73023-2021 tillsynsbegäran mail.docx", "A 73023-2021")</f>
        <v/>
      </c>
    </row>
    <row r="25" ht="15" customHeight="1">
      <c r="A25" t="inlineStr">
        <is>
          <t>A 32155-2023</t>
        </is>
      </c>
      <c r="B25" s="1" t="n">
        <v>45119</v>
      </c>
      <c r="C25" s="1" t="n">
        <v>45649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Harticka
Kolflarnlav
Tallticka
Violmussling</t>
        </is>
      </c>
      <c r="S25">
        <f>HYPERLINK("https://klasma.github.io/Logging_2581/artfynd/A 32155-2023 artfynd.xlsx", "A 32155-2023")</f>
        <v/>
      </c>
      <c r="T25">
        <f>HYPERLINK("https://klasma.github.io/Logging_2581/kartor/A 32155-2023 karta.png", "A 32155-2023")</f>
        <v/>
      </c>
      <c r="V25">
        <f>HYPERLINK("https://klasma.github.io/Logging_2581/klagomål/A 32155-2023 FSC-klagomål.docx", "A 32155-2023")</f>
        <v/>
      </c>
      <c r="W25">
        <f>HYPERLINK("https://klasma.github.io/Logging_2581/klagomålsmail/A 32155-2023 FSC-klagomål mail.docx", "A 32155-2023")</f>
        <v/>
      </c>
      <c r="X25">
        <f>HYPERLINK("https://klasma.github.io/Logging_2581/tillsyn/A 32155-2023 tillsynsbegäran.docx", "A 32155-2023")</f>
        <v/>
      </c>
      <c r="Y25">
        <f>HYPERLINK("https://klasma.github.io/Logging_2581/tillsynsmail/A 32155-2023 tillsynsbegäran mail.docx", "A 32155-2023")</f>
        <v/>
      </c>
    </row>
    <row r="26" ht="15" customHeight="1">
      <c r="A26" t="inlineStr">
        <is>
          <t>A 390-2024</t>
        </is>
      </c>
      <c r="B26" s="1" t="n">
        <v>45296</v>
      </c>
      <c r="C26" s="1" t="n">
        <v>45649</v>
      </c>
      <c r="D26" t="inlineStr">
        <is>
          <t>NORRBOTTENS LÄN</t>
        </is>
      </c>
      <c r="E26" t="inlineStr">
        <is>
          <t>PITEÅ</t>
        </is>
      </c>
      <c r="G26" t="n">
        <v>4.9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Spillkråka
Talltita
Ullticka</t>
        </is>
      </c>
      <c r="S26">
        <f>HYPERLINK("https://klasma.github.io/Logging_2581/artfynd/A 390-2024 artfynd.xlsx", "A 390-2024")</f>
        <v/>
      </c>
      <c r="T26">
        <f>HYPERLINK("https://klasma.github.io/Logging_2581/kartor/A 390-2024 karta.png", "A 390-2024")</f>
        <v/>
      </c>
      <c r="V26">
        <f>HYPERLINK("https://klasma.github.io/Logging_2581/klagomål/A 390-2024 FSC-klagomål.docx", "A 390-2024")</f>
        <v/>
      </c>
      <c r="W26">
        <f>HYPERLINK("https://klasma.github.io/Logging_2581/klagomålsmail/A 390-2024 FSC-klagomål mail.docx", "A 390-2024")</f>
        <v/>
      </c>
      <c r="X26">
        <f>HYPERLINK("https://klasma.github.io/Logging_2581/tillsyn/A 390-2024 tillsynsbegäran.docx", "A 390-2024")</f>
        <v/>
      </c>
      <c r="Y26">
        <f>HYPERLINK("https://klasma.github.io/Logging_2581/tillsynsmail/A 390-2024 tillsynsbegäran mail.docx", "A 390-2024")</f>
        <v/>
      </c>
      <c r="Z26">
        <f>HYPERLINK("https://klasma.github.io/Logging_2581/fåglar/A 390-2024 prioriterade fågelarter.docx", "A 390-2024")</f>
        <v/>
      </c>
    </row>
    <row r="27" ht="15" customHeight="1">
      <c r="A27" t="inlineStr">
        <is>
          <t>A 19587-2024</t>
        </is>
      </c>
      <c r="B27" s="1" t="n">
        <v>45430</v>
      </c>
      <c r="C27" s="1" t="n">
        <v>45649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4.1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Rödvingetrast
Spillkråka
Ullticka</t>
        </is>
      </c>
      <c r="S27">
        <f>HYPERLINK("https://klasma.github.io/Logging_2581/artfynd/A 19587-2024 artfynd.xlsx", "A 19587-2024")</f>
        <v/>
      </c>
      <c r="T27">
        <f>HYPERLINK("https://klasma.github.io/Logging_2581/kartor/A 19587-2024 karta.png", "A 19587-2024")</f>
        <v/>
      </c>
      <c r="V27">
        <f>HYPERLINK("https://klasma.github.io/Logging_2581/klagomål/A 19587-2024 FSC-klagomål.docx", "A 19587-2024")</f>
        <v/>
      </c>
      <c r="W27">
        <f>HYPERLINK("https://klasma.github.io/Logging_2581/klagomålsmail/A 19587-2024 FSC-klagomål mail.docx", "A 19587-2024")</f>
        <v/>
      </c>
      <c r="X27">
        <f>HYPERLINK("https://klasma.github.io/Logging_2581/tillsyn/A 19587-2024 tillsynsbegäran.docx", "A 19587-2024")</f>
        <v/>
      </c>
      <c r="Y27">
        <f>HYPERLINK("https://klasma.github.io/Logging_2581/tillsynsmail/A 19587-2024 tillsynsbegäran mail.docx", "A 19587-2024")</f>
        <v/>
      </c>
      <c r="Z27">
        <f>HYPERLINK("https://klasma.github.io/Logging_2581/fåglar/A 19587-2024 prioriterade fågelarter.docx", "A 19587-2024")</f>
        <v/>
      </c>
    </row>
    <row r="28" ht="15" customHeight="1">
      <c r="A28" t="inlineStr">
        <is>
          <t>A 22474-2024</t>
        </is>
      </c>
      <c r="B28" s="1" t="n">
        <v>45447</v>
      </c>
      <c r="C28" s="1" t="n">
        <v>45649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6.5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Granticka
Spillkråka
Tibast</t>
        </is>
      </c>
      <c r="S28">
        <f>HYPERLINK("https://klasma.github.io/Logging_2581/artfynd/A 22474-2024 artfynd.xlsx", "A 22474-2024")</f>
        <v/>
      </c>
      <c r="T28">
        <f>HYPERLINK("https://klasma.github.io/Logging_2581/kartor/A 22474-2024 karta.png", "A 22474-2024")</f>
        <v/>
      </c>
      <c r="V28">
        <f>HYPERLINK("https://klasma.github.io/Logging_2581/klagomål/A 22474-2024 FSC-klagomål.docx", "A 22474-2024")</f>
        <v/>
      </c>
      <c r="W28">
        <f>HYPERLINK("https://klasma.github.io/Logging_2581/klagomålsmail/A 22474-2024 FSC-klagomål mail.docx", "A 22474-2024")</f>
        <v/>
      </c>
      <c r="X28">
        <f>HYPERLINK("https://klasma.github.io/Logging_2581/tillsyn/A 22474-2024 tillsynsbegäran.docx", "A 22474-2024")</f>
        <v/>
      </c>
      <c r="Y28">
        <f>HYPERLINK("https://klasma.github.io/Logging_2581/tillsynsmail/A 22474-2024 tillsynsbegäran mail.docx", "A 22474-2024")</f>
        <v/>
      </c>
      <c r="Z28">
        <f>HYPERLINK("https://klasma.github.io/Logging_2581/fåglar/A 22474-2024 prioriterade fågelarter.docx", "A 22474-2024")</f>
        <v/>
      </c>
    </row>
    <row r="29" ht="15" customHeight="1">
      <c r="A29" t="inlineStr">
        <is>
          <t>A 31881-2020</t>
        </is>
      </c>
      <c r="B29" s="1" t="n">
        <v>44014</v>
      </c>
      <c r="C29" s="1" t="n">
        <v>45649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26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Mörk kolflarnlav
Vedflamlav
Dropptaggsvamp</t>
        </is>
      </c>
      <c r="S29">
        <f>HYPERLINK("https://klasma.github.io/Logging_2581/artfynd/A 31881-2020 artfynd.xlsx", "A 31881-2020")</f>
        <v/>
      </c>
      <c r="T29">
        <f>HYPERLINK("https://klasma.github.io/Logging_2581/kartor/A 31881-2020 karta.png", "A 31881-2020")</f>
        <v/>
      </c>
      <c r="V29">
        <f>HYPERLINK("https://klasma.github.io/Logging_2581/klagomål/A 31881-2020 FSC-klagomål.docx", "A 31881-2020")</f>
        <v/>
      </c>
      <c r="W29">
        <f>HYPERLINK("https://klasma.github.io/Logging_2581/klagomålsmail/A 31881-2020 FSC-klagomål mail.docx", "A 31881-2020")</f>
        <v/>
      </c>
      <c r="X29">
        <f>HYPERLINK("https://klasma.github.io/Logging_2581/tillsyn/A 31881-2020 tillsynsbegäran.docx", "A 31881-2020")</f>
        <v/>
      </c>
      <c r="Y29">
        <f>HYPERLINK("https://klasma.github.io/Logging_2581/tillsynsmail/A 31881-2020 tillsynsbegäran mail.docx", "A 31881-2020")</f>
        <v/>
      </c>
    </row>
    <row r="30" ht="15" customHeight="1">
      <c r="A30" t="inlineStr">
        <is>
          <t>A 66859-2021</t>
        </is>
      </c>
      <c r="B30" s="1" t="n">
        <v>44522</v>
      </c>
      <c r="C30" s="1" t="n">
        <v>45649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0.9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Hårjordtunga
Ögonpyrola
Nattviol</t>
        </is>
      </c>
      <c r="S30">
        <f>HYPERLINK("https://klasma.github.io/Logging_2581/artfynd/A 66859-2021 artfynd.xlsx", "A 66859-2021")</f>
        <v/>
      </c>
      <c r="T30">
        <f>HYPERLINK("https://klasma.github.io/Logging_2581/kartor/A 66859-2021 karta.png", "A 66859-2021")</f>
        <v/>
      </c>
      <c r="V30">
        <f>HYPERLINK("https://klasma.github.io/Logging_2581/klagomål/A 66859-2021 FSC-klagomål.docx", "A 66859-2021")</f>
        <v/>
      </c>
      <c r="W30">
        <f>HYPERLINK("https://klasma.github.io/Logging_2581/klagomålsmail/A 66859-2021 FSC-klagomål mail.docx", "A 66859-2021")</f>
        <v/>
      </c>
      <c r="X30">
        <f>HYPERLINK("https://klasma.github.io/Logging_2581/tillsyn/A 66859-2021 tillsynsbegäran.docx", "A 66859-2021")</f>
        <v/>
      </c>
      <c r="Y30">
        <f>HYPERLINK("https://klasma.github.io/Logging_2581/tillsynsmail/A 66859-2021 tillsynsbegäran mail.docx", "A 66859-2021")</f>
        <v/>
      </c>
    </row>
    <row r="31" ht="15" customHeight="1">
      <c r="A31" t="inlineStr">
        <is>
          <t>A 68201-2021</t>
        </is>
      </c>
      <c r="B31" s="1" t="n">
        <v>44526</v>
      </c>
      <c r="C31" s="1" t="n">
        <v>45649</v>
      </c>
      <c r="D31" t="inlineStr">
        <is>
          <t>NORRBOTTENS LÄN</t>
        </is>
      </c>
      <c r="E31" t="inlineStr">
        <is>
          <t>PITEÅ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Lunglav
Spillkråka</t>
        </is>
      </c>
      <c r="S31">
        <f>HYPERLINK("https://klasma.github.io/Logging_2581/artfynd/A 68201-2021 artfynd.xlsx", "A 68201-2021")</f>
        <v/>
      </c>
      <c r="T31">
        <f>HYPERLINK("https://klasma.github.io/Logging_2581/kartor/A 68201-2021 karta.png", "A 68201-2021")</f>
        <v/>
      </c>
      <c r="V31">
        <f>HYPERLINK("https://klasma.github.io/Logging_2581/klagomål/A 68201-2021 FSC-klagomål.docx", "A 68201-2021")</f>
        <v/>
      </c>
      <c r="W31">
        <f>HYPERLINK("https://klasma.github.io/Logging_2581/klagomålsmail/A 68201-2021 FSC-klagomål mail.docx", "A 68201-2021")</f>
        <v/>
      </c>
      <c r="X31">
        <f>HYPERLINK("https://klasma.github.io/Logging_2581/tillsyn/A 68201-2021 tillsynsbegäran.docx", "A 68201-2021")</f>
        <v/>
      </c>
      <c r="Y31">
        <f>HYPERLINK("https://klasma.github.io/Logging_2581/tillsynsmail/A 68201-2021 tillsynsbegäran mail.docx", "A 68201-2021")</f>
        <v/>
      </c>
      <c r="Z31">
        <f>HYPERLINK("https://klasma.github.io/Logging_2581/fåglar/A 68201-2021 prioriterade fågelarter.docx", "A 68201-2021")</f>
        <v/>
      </c>
    </row>
    <row r="32" ht="15" customHeight="1">
      <c r="A32" t="inlineStr">
        <is>
          <t>A 73971-2021</t>
        </is>
      </c>
      <c r="B32" s="1" t="n">
        <v>44553</v>
      </c>
      <c r="C32" s="1" t="n">
        <v>45649</v>
      </c>
      <c r="D32" t="inlineStr">
        <is>
          <t>NORRBOTTENS LÄN</t>
        </is>
      </c>
      <c r="E32" t="inlineStr">
        <is>
          <t>PITEÅ</t>
        </is>
      </c>
      <c r="F32" t="inlineStr">
        <is>
          <t>Kyrkan</t>
        </is>
      </c>
      <c r="G32" t="n">
        <v>54.7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Spillkråka
Tretåig hackspett
Ullticka</t>
        </is>
      </c>
      <c r="S32">
        <f>HYPERLINK("https://klasma.github.io/Logging_2581/artfynd/A 73971-2021 artfynd.xlsx", "A 73971-2021")</f>
        <v/>
      </c>
      <c r="T32">
        <f>HYPERLINK("https://klasma.github.io/Logging_2581/kartor/A 73971-2021 karta.png", "A 73971-2021")</f>
        <v/>
      </c>
      <c r="V32">
        <f>HYPERLINK("https://klasma.github.io/Logging_2581/klagomål/A 73971-2021 FSC-klagomål.docx", "A 73971-2021")</f>
        <v/>
      </c>
      <c r="W32">
        <f>HYPERLINK("https://klasma.github.io/Logging_2581/klagomålsmail/A 73971-2021 FSC-klagomål mail.docx", "A 73971-2021")</f>
        <v/>
      </c>
      <c r="X32">
        <f>HYPERLINK("https://klasma.github.io/Logging_2581/tillsyn/A 73971-2021 tillsynsbegäran.docx", "A 73971-2021")</f>
        <v/>
      </c>
      <c r="Y32">
        <f>HYPERLINK("https://klasma.github.io/Logging_2581/tillsynsmail/A 73971-2021 tillsynsbegäran mail.docx", "A 73971-2021")</f>
        <v/>
      </c>
      <c r="Z32">
        <f>HYPERLINK("https://klasma.github.io/Logging_2581/fåglar/A 73971-2021 prioriterade fågelarter.docx", "A 73971-2021")</f>
        <v/>
      </c>
    </row>
    <row r="33" ht="15" customHeight="1">
      <c r="A33" t="inlineStr">
        <is>
          <t>A 37703-2022</t>
        </is>
      </c>
      <c r="B33" s="1" t="n">
        <v>44810</v>
      </c>
      <c r="C33" s="1" t="n">
        <v>45649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11.6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Nordtagging
Tallticka
Skarp dropptaggsvamp</t>
        </is>
      </c>
      <c r="S33">
        <f>HYPERLINK("https://klasma.github.io/Logging_2581/artfynd/A 37703-2022 artfynd.xlsx", "A 37703-2022")</f>
        <v/>
      </c>
      <c r="T33">
        <f>HYPERLINK("https://klasma.github.io/Logging_2581/kartor/A 37703-2022 karta.png", "A 37703-2022")</f>
        <v/>
      </c>
      <c r="V33">
        <f>HYPERLINK("https://klasma.github.io/Logging_2581/klagomål/A 37703-2022 FSC-klagomål.docx", "A 37703-2022")</f>
        <v/>
      </c>
      <c r="W33">
        <f>HYPERLINK("https://klasma.github.io/Logging_2581/klagomålsmail/A 37703-2022 FSC-klagomål mail.docx", "A 37703-2022")</f>
        <v/>
      </c>
      <c r="X33">
        <f>HYPERLINK("https://klasma.github.io/Logging_2581/tillsyn/A 37703-2022 tillsynsbegäran.docx", "A 37703-2022")</f>
        <v/>
      </c>
      <c r="Y33">
        <f>HYPERLINK("https://klasma.github.io/Logging_2581/tillsynsmail/A 37703-2022 tillsynsbegäran mail.docx", "A 37703-2022")</f>
        <v/>
      </c>
    </row>
    <row r="34" ht="15" customHeight="1">
      <c r="A34" t="inlineStr">
        <is>
          <t>A 61712-2022</t>
        </is>
      </c>
      <c r="B34" s="1" t="n">
        <v>44917</v>
      </c>
      <c r="C34" s="1" t="n">
        <v>45649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4.2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Mattlummer
Revlummer</t>
        </is>
      </c>
      <c r="S34">
        <f>HYPERLINK("https://klasma.github.io/Logging_2581/artfynd/A 61712-2022 artfynd.xlsx", "A 61712-2022")</f>
        <v/>
      </c>
      <c r="T34">
        <f>HYPERLINK("https://klasma.github.io/Logging_2581/kartor/A 61712-2022 karta.png", "A 61712-2022")</f>
        <v/>
      </c>
      <c r="V34">
        <f>HYPERLINK("https://klasma.github.io/Logging_2581/klagomål/A 61712-2022 FSC-klagomål.docx", "A 61712-2022")</f>
        <v/>
      </c>
      <c r="W34">
        <f>HYPERLINK("https://klasma.github.io/Logging_2581/klagomålsmail/A 61712-2022 FSC-klagomål mail.docx", "A 61712-2022")</f>
        <v/>
      </c>
      <c r="X34">
        <f>HYPERLINK("https://klasma.github.io/Logging_2581/tillsyn/A 61712-2022 tillsynsbegäran.docx", "A 61712-2022")</f>
        <v/>
      </c>
      <c r="Y34">
        <f>HYPERLINK("https://klasma.github.io/Logging_2581/tillsynsmail/A 61712-2022 tillsynsbegäran mail.docx", "A 61712-2022")</f>
        <v/>
      </c>
    </row>
    <row r="35" ht="15" customHeight="1">
      <c r="A35" t="inlineStr">
        <is>
          <t>A 28595-2023</t>
        </is>
      </c>
      <c r="B35" s="1" t="n">
        <v>45103</v>
      </c>
      <c r="C35" s="1" t="n">
        <v>45649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21.2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Harticka
Kolflarnlav
Rosenticka</t>
        </is>
      </c>
      <c r="S35">
        <f>HYPERLINK("https://klasma.github.io/Logging_2581/artfynd/A 28595-2023 artfynd.xlsx", "A 28595-2023")</f>
        <v/>
      </c>
      <c r="T35">
        <f>HYPERLINK("https://klasma.github.io/Logging_2581/kartor/A 28595-2023 karta.png", "A 28595-2023")</f>
        <v/>
      </c>
      <c r="V35">
        <f>HYPERLINK("https://klasma.github.io/Logging_2581/klagomål/A 28595-2023 FSC-klagomål.docx", "A 28595-2023")</f>
        <v/>
      </c>
      <c r="W35">
        <f>HYPERLINK("https://klasma.github.io/Logging_2581/klagomålsmail/A 28595-2023 FSC-klagomål mail.docx", "A 28595-2023")</f>
        <v/>
      </c>
      <c r="X35">
        <f>HYPERLINK("https://klasma.github.io/Logging_2581/tillsyn/A 28595-2023 tillsynsbegäran.docx", "A 28595-2023")</f>
        <v/>
      </c>
      <c r="Y35">
        <f>HYPERLINK("https://klasma.github.io/Logging_2581/tillsynsmail/A 28595-2023 tillsynsbegäran mail.docx", "A 28595-2023")</f>
        <v/>
      </c>
    </row>
    <row r="36" ht="15" customHeight="1">
      <c r="A36" t="inlineStr">
        <is>
          <t>A 29465-2023</t>
        </is>
      </c>
      <c r="B36" s="1" t="n">
        <v>45106</v>
      </c>
      <c r="C36" s="1" t="n">
        <v>45649</v>
      </c>
      <c r="D36" t="inlineStr">
        <is>
          <t>NORRBOTTENS LÄN</t>
        </is>
      </c>
      <c r="E36" t="inlineStr">
        <is>
          <t>PITEÅ</t>
        </is>
      </c>
      <c r="G36" t="n">
        <v>21.6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29465-2023 artfynd.xlsx", "A 29465-2023")</f>
        <v/>
      </c>
      <c r="T36">
        <f>HYPERLINK("https://klasma.github.io/Logging_2581/kartor/A 29465-2023 karta.png", "A 29465-2023")</f>
        <v/>
      </c>
      <c r="V36">
        <f>HYPERLINK("https://klasma.github.io/Logging_2581/klagomål/A 29465-2023 FSC-klagomål.docx", "A 29465-2023")</f>
        <v/>
      </c>
      <c r="W36">
        <f>HYPERLINK("https://klasma.github.io/Logging_2581/klagomålsmail/A 29465-2023 FSC-klagomål mail.docx", "A 29465-2023")</f>
        <v/>
      </c>
      <c r="X36">
        <f>HYPERLINK("https://klasma.github.io/Logging_2581/tillsyn/A 29465-2023 tillsynsbegäran.docx", "A 29465-2023")</f>
        <v/>
      </c>
      <c r="Y36">
        <f>HYPERLINK("https://klasma.github.io/Logging_2581/tillsynsmail/A 29465-2023 tillsynsbegäran mail.docx", "A 29465-2023")</f>
        <v/>
      </c>
    </row>
    <row r="37" ht="15" customHeight="1">
      <c r="A37" t="inlineStr">
        <is>
          <t>A 60837-2023</t>
        </is>
      </c>
      <c r="B37" s="1" t="n">
        <v>45260</v>
      </c>
      <c r="C37" s="1" t="n">
        <v>45649</v>
      </c>
      <c r="D37" t="inlineStr">
        <is>
          <t>NORRBOTTENS LÄN</t>
        </is>
      </c>
      <c r="E37" t="inlineStr">
        <is>
          <t>PITEÅ</t>
        </is>
      </c>
      <c r="G37" t="n">
        <v>6.4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HYPERLINK("https://klasma.github.io/Logging_2581/artfynd/A 60837-2023 artfynd.xlsx", "A 60837-2023")</f>
        <v/>
      </c>
      <c r="T37">
        <f>HYPERLINK("https://klasma.github.io/Logging_2581/kartor/A 60837-2023 karta.png", "A 60837-2023")</f>
        <v/>
      </c>
      <c r="U37">
        <f>HYPERLINK("https://klasma.github.io/Logging_2581/knärot/A 60837-2023 karta knärot.png", "A 60837-2023")</f>
        <v/>
      </c>
      <c r="V37">
        <f>HYPERLINK("https://klasma.github.io/Logging_2581/klagomål/A 60837-2023 FSC-klagomål.docx", "A 60837-2023")</f>
        <v/>
      </c>
      <c r="W37">
        <f>HYPERLINK("https://klasma.github.io/Logging_2581/klagomålsmail/A 60837-2023 FSC-klagomål mail.docx", "A 60837-2023")</f>
        <v/>
      </c>
      <c r="X37">
        <f>HYPERLINK("https://klasma.github.io/Logging_2581/tillsyn/A 60837-2023 tillsynsbegäran.docx", "A 60837-2023")</f>
        <v/>
      </c>
      <c r="Y37">
        <f>HYPERLINK("https://klasma.github.io/Logging_2581/tillsynsmail/A 60837-2023 tillsynsbegäran mail.docx", "A 60837-2023")</f>
        <v/>
      </c>
    </row>
    <row r="38" ht="15" customHeight="1">
      <c r="A38" t="inlineStr">
        <is>
          <t>A 39596-2024</t>
        </is>
      </c>
      <c r="B38" s="1" t="n">
        <v>45552</v>
      </c>
      <c r="C38" s="1" t="n">
        <v>45649</v>
      </c>
      <c r="D38" t="inlineStr">
        <is>
          <t>NORRBOTTENS LÄN</t>
        </is>
      </c>
      <c r="E38" t="inlineStr">
        <is>
          <t>PITEÅ</t>
        </is>
      </c>
      <c r="G38" t="n">
        <v>15.9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Skinnlav</t>
        </is>
      </c>
      <c r="S38">
        <f>HYPERLINK("https://klasma.github.io/Logging_2581/artfynd/A 39596-2024 artfynd.xlsx", "A 39596-2024")</f>
        <v/>
      </c>
      <c r="T38">
        <f>HYPERLINK("https://klasma.github.io/Logging_2581/kartor/A 39596-2024 karta.png", "A 39596-2024")</f>
        <v/>
      </c>
      <c r="V38">
        <f>HYPERLINK("https://klasma.github.io/Logging_2581/klagomål/A 39596-2024 FSC-klagomål.docx", "A 39596-2024")</f>
        <v/>
      </c>
      <c r="W38">
        <f>HYPERLINK("https://klasma.github.io/Logging_2581/klagomålsmail/A 39596-2024 FSC-klagomål mail.docx", "A 39596-2024")</f>
        <v/>
      </c>
      <c r="X38">
        <f>HYPERLINK("https://klasma.github.io/Logging_2581/tillsyn/A 39596-2024 tillsynsbegäran.docx", "A 39596-2024")</f>
        <v/>
      </c>
      <c r="Y38">
        <f>HYPERLINK("https://klasma.github.io/Logging_2581/tillsynsmail/A 39596-2024 tillsynsbegäran mail.docx", "A 39596-2024")</f>
        <v/>
      </c>
      <c r="Z38">
        <f>HYPERLINK("https://klasma.github.io/Logging_2581/fåglar/A 39596-2024 prioriterade fågelarter.docx", "A 39596-2024")</f>
        <v/>
      </c>
    </row>
    <row r="39" ht="15" customHeight="1">
      <c r="A39" t="inlineStr">
        <is>
          <t>A 66423-2019</t>
        </is>
      </c>
      <c r="B39" s="1" t="n">
        <v>43802</v>
      </c>
      <c r="C39" s="1" t="n">
        <v>45649</v>
      </c>
      <c r="D39" t="inlineStr">
        <is>
          <t>NORRBOTTENS LÄN</t>
        </is>
      </c>
      <c r="E39" t="inlineStr">
        <is>
          <t>PITEÅ</t>
        </is>
      </c>
      <c r="G39" t="n">
        <v>4.8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Tallticka</t>
        </is>
      </c>
      <c r="S39">
        <f>HYPERLINK("https://klasma.github.io/Logging_2581/artfynd/A 66423-2019 artfynd.xlsx", "A 66423-2019")</f>
        <v/>
      </c>
      <c r="T39">
        <f>HYPERLINK("https://klasma.github.io/Logging_2581/kartor/A 66423-2019 karta.png", "A 66423-2019")</f>
        <v/>
      </c>
      <c r="V39">
        <f>HYPERLINK("https://klasma.github.io/Logging_2581/klagomål/A 66423-2019 FSC-klagomål.docx", "A 66423-2019")</f>
        <v/>
      </c>
      <c r="W39">
        <f>HYPERLINK("https://klasma.github.io/Logging_2581/klagomålsmail/A 66423-2019 FSC-klagomål mail.docx", "A 66423-2019")</f>
        <v/>
      </c>
      <c r="X39">
        <f>HYPERLINK("https://klasma.github.io/Logging_2581/tillsyn/A 66423-2019 tillsynsbegäran.docx", "A 66423-2019")</f>
        <v/>
      </c>
      <c r="Y39">
        <f>HYPERLINK("https://klasma.github.io/Logging_2581/tillsynsmail/A 66423-2019 tillsynsbegäran mail.docx", "A 66423-2019")</f>
        <v/>
      </c>
      <c r="Z39">
        <f>HYPERLINK("https://klasma.github.io/Logging_2581/fåglar/A 66423-2019 prioriterade fågelarter.docx", "A 66423-2019")</f>
        <v/>
      </c>
    </row>
    <row r="40" ht="15" customHeight="1">
      <c r="A40" t="inlineStr">
        <is>
          <t>A 36956-2020</t>
        </is>
      </c>
      <c r="B40" s="1" t="n">
        <v>44053</v>
      </c>
      <c r="C40" s="1" t="n">
        <v>45649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3.1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HYPERLINK("https://klasma.github.io/Logging_2581/artfynd/A 36956-2020 artfynd.xlsx", "A 36956-2020")</f>
        <v/>
      </c>
      <c r="T40">
        <f>HYPERLINK("https://klasma.github.io/Logging_2581/kartor/A 36956-2020 karta.png", "A 36956-2020")</f>
        <v/>
      </c>
      <c r="V40">
        <f>HYPERLINK("https://klasma.github.io/Logging_2581/klagomål/A 36956-2020 FSC-klagomål.docx", "A 36956-2020")</f>
        <v/>
      </c>
      <c r="W40">
        <f>HYPERLINK("https://klasma.github.io/Logging_2581/klagomålsmail/A 36956-2020 FSC-klagomål mail.docx", "A 36956-2020")</f>
        <v/>
      </c>
      <c r="X40">
        <f>HYPERLINK("https://klasma.github.io/Logging_2581/tillsyn/A 36956-2020 tillsynsbegäran.docx", "A 36956-2020")</f>
        <v/>
      </c>
      <c r="Y40">
        <f>HYPERLINK("https://klasma.github.io/Logging_2581/tillsynsmail/A 36956-2020 tillsynsbegäran mail.docx", "A 36956-2020")</f>
        <v/>
      </c>
      <c r="Z40">
        <f>HYPERLINK("https://klasma.github.io/Logging_2581/fåglar/A 36956-2020 prioriterade fågelarter.docx", "A 36956-2020")</f>
        <v/>
      </c>
    </row>
    <row r="41" ht="15" customHeight="1">
      <c r="A41" t="inlineStr">
        <is>
          <t>A 69475-2020</t>
        </is>
      </c>
      <c r="B41" s="1" t="n">
        <v>44193</v>
      </c>
      <c r="C41" s="1" t="n">
        <v>45649</v>
      </c>
      <c r="D41" t="inlineStr">
        <is>
          <t>NORRBOTTENS LÄN</t>
        </is>
      </c>
      <c r="E41" t="inlineStr">
        <is>
          <t>PITEÅ</t>
        </is>
      </c>
      <c r="G41" t="n">
        <v>17.7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Revlummer</t>
        </is>
      </c>
      <c r="S41">
        <f>HYPERLINK("https://klasma.github.io/Logging_2581/artfynd/A 69475-2020 artfynd.xlsx", "A 69475-2020")</f>
        <v/>
      </c>
      <c r="T41">
        <f>HYPERLINK("https://klasma.github.io/Logging_2581/kartor/A 69475-2020 karta.png", "A 69475-2020")</f>
        <v/>
      </c>
      <c r="V41">
        <f>HYPERLINK("https://klasma.github.io/Logging_2581/klagomål/A 69475-2020 FSC-klagomål.docx", "A 69475-2020")</f>
        <v/>
      </c>
      <c r="W41">
        <f>HYPERLINK("https://klasma.github.io/Logging_2581/klagomålsmail/A 69475-2020 FSC-klagomål mail.docx", "A 69475-2020")</f>
        <v/>
      </c>
      <c r="X41">
        <f>HYPERLINK("https://klasma.github.io/Logging_2581/tillsyn/A 69475-2020 tillsynsbegäran.docx", "A 69475-2020")</f>
        <v/>
      </c>
      <c r="Y41">
        <f>HYPERLINK("https://klasma.github.io/Logging_2581/tillsynsmail/A 69475-2020 tillsynsbegäran mail.docx", "A 69475-2020")</f>
        <v/>
      </c>
    </row>
    <row r="42" ht="15" customHeight="1">
      <c r="A42" t="inlineStr">
        <is>
          <t>A 17190-2021</t>
        </is>
      </c>
      <c r="B42" s="1" t="n">
        <v>44298</v>
      </c>
      <c r="C42" s="1" t="n">
        <v>45649</v>
      </c>
      <c r="D42" t="inlineStr">
        <is>
          <t>NORRBOTTENS LÄN</t>
        </is>
      </c>
      <c r="E42" t="inlineStr">
        <is>
          <t>PITEÅ</t>
        </is>
      </c>
      <c r="G42" t="n">
        <v>18.4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Goliatmusseron
Skrovlig taggsvamp</t>
        </is>
      </c>
      <c r="S42">
        <f>HYPERLINK("https://klasma.github.io/Logging_2581/artfynd/A 17190-2021 artfynd.xlsx", "A 17190-2021")</f>
        <v/>
      </c>
      <c r="T42">
        <f>HYPERLINK("https://klasma.github.io/Logging_2581/kartor/A 17190-2021 karta.png", "A 17190-2021")</f>
        <v/>
      </c>
      <c r="V42">
        <f>HYPERLINK("https://klasma.github.io/Logging_2581/klagomål/A 17190-2021 FSC-klagomål.docx", "A 17190-2021")</f>
        <v/>
      </c>
      <c r="W42">
        <f>HYPERLINK("https://klasma.github.io/Logging_2581/klagomålsmail/A 17190-2021 FSC-klagomål mail.docx", "A 17190-2021")</f>
        <v/>
      </c>
      <c r="X42">
        <f>HYPERLINK("https://klasma.github.io/Logging_2581/tillsyn/A 17190-2021 tillsynsbegäran.docx", "A 17190-2021")</f>
        <v/>
      </c>
      <c r="Y42">
        <f>HYPERLINK("https://klasma.github.io/Logging_2581/tillsynsmail/A 17190-2021 tillsynsbegäran mail.docx", "A 17190-2021")</f>
        <v/>
      </c>
    </row>
    <row r="43" ht="15" customHeight="1">
      <c r="A43" t="inlineStr">
        <is>
          <t>A 25516-2021</t>
        </is>
      </c>
      <c r="B43" s="1" t="n">
        <v>44343</v>
      </c>
      <c r="C43" s="1" t="n">
        <v>45649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Ullticka</t>
        </is>
      </c>
      <c r="S43">
        <f>HYPERLINK("https://klasma.github.io/Logging_2581/artfynd/A 25516-2021 artfynd.xlsx", "A 25516-2021")</f>
        <v/>
      </c>
      <c r="T43">
        <f>HYPERLINK("https://klasma.github.io/Logging_2581/kartor/A 25516-2021 karta.png", "A 25516-2021")</f>
        <v/>
      </c>
      <c r="V43">
        <f>HYPERLINK("https://klasma.github.io/Logging_2581/klagomål/A 25516-2021 FSC-klagomål.docx", "A 25516-2021")</f>
        <v/>
      </c>
      <c r="W43">
        <f>HYPERLINK("https://klasma.github.io/Logging_2581/klagomålsmail/A 25516-2021 FSC-klagomål mail.docx", "A 25516-2021")</f>
        <v/>
      </c>
      <c r="X43">
        <f>HYPERLINK("https://klasma.github.io/Logging_2581/tillsyn/A 25516-2021 tillsynsbegäran.docx", "A 25516-2021")</f>
        <v/>
      </c>
      <c r="Y43">
        <f>HYPERLINK("https://klasma.github.io/Logging_2581/tillsynsmail/A 25516-2021 tillsynsbegäran mail.docx", "A 25516-2021")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45649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45649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45649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45649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45649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45649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45649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45649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45649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45649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45649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45649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45649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45649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45649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45649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45649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45649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45649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45649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45649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45649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45649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45649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45649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45649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45649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45649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45649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45649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45649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45649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45649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45649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45649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45649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45649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45649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45649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45649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45649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45649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45649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45649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45649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45649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45649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45649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45649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45649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45649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45649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45649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45649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45649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45649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45649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45649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45649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45649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45649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45649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45649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45649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45649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45649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45649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45649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45649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45649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45649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45649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45649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45649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45649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45649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45649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45649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45649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45649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45649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45649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45649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45649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45649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45649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45649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45649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45649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45649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45649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45649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45649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45649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45649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45649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45649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45649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45649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45649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45649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45649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45649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45649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45649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45649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45649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45649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45649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45649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45649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45649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45649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45649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45649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45649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45649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45649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45649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45649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45649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45649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45649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45649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45649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45649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45649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45649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45649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45649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45649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45649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45649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45649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45649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45649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45649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45649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45649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45649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45649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45649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45649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45649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45649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45649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45649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45649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45649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45649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45649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45649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45649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45649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45649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45649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45649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45649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45649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45649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45649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45649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45649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45649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45649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45649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45649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45649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45649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45649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45649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45649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45649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45649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45649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45649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45649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45649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45649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45649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45649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45649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45649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45649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45649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45649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45649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45649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45649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45649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45649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45649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45649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45649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45649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45649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45649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45649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45649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45649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45649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45649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45649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45649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45649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45649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45649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45649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45649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45649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45649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45649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45649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45649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45649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45649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45649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45649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45649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45649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45649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45649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45649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45649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45649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45649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45649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45649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45649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45649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45649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45649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45649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45649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45649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45649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45649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45649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45649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45649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45649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45649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45649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45649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45649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45649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45649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45649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45649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45649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45649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45649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45649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45649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45649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45649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45649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45649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45649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45649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45649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45649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45649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45649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45649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45649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45649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45649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45649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45649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45649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45649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45649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45649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45649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45649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45649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45649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45649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45649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45649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45649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45649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45649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45649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45649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45649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45649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45649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45649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45649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45649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45649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45649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45649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45649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45649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45649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45649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45649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45649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45649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45649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45649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45649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45649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45649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45649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45649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45649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45649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45649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45649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45649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45649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45649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45649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45649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45649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45649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45649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45649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45649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45649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45649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45649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45649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45649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45649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45649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45649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45649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45649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45649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45649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45649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45649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45649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45649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45649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45649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45649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45649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45649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45649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45649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45649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45649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45649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45649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45649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45649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45649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45649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45649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45649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45649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45649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45649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45649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45649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45649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45649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45649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45649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45649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45649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45649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45649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45649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45649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45649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45649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45649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45649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45649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45649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45649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45649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45649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45649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45649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45649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45649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45649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45649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45649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45649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45649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45649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45649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45649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45649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45649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45649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45649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45649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45649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45649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45649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45649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45649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45649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45649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45649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45649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45649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45649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45649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45649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45649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45649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45649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45649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45649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45649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45649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45649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45649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45649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45649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45649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45649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45649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45649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45649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45649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45649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45649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45649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45649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45649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45649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45649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45649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45649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45649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45649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45649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45649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45649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45649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45649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45649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45649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45649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45649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45649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45649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45649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45649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45649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45649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45649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45649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45649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45649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45649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45649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45649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45649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45649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45649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45649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45649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45649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45649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45649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45649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45649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45649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45649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45649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45649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45649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45649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45649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45649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45649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45649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45649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45649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45649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45649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45649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45649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45649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45649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45649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45649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45649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45649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45649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45649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45649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45649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45649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45649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45649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45649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45649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45649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45649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45649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45649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45649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45649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45649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45649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45649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45649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45649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45649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45649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45649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45649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45649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45649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45649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45649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45649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45649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45649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45649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45649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45649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45649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45649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45649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45649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45649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45649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45649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45649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45649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45649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45649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45649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45649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45649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45649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45649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45649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45649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45649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45649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45649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45649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45649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45649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45649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45649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45649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45649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45649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45649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45649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45649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45649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45649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45649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45649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45649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45649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45649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45649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45649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45649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45649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45649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45649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45649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45649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45649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45649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45649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45649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45649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45649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45649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45649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45649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45649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45649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45649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45649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45649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45649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45649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45649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45649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45649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45649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45649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45649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45649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45649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45649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45649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45649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45649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45649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45649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45649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45649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45649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45649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45649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45649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45649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45649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45649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45649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45649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45649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45649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45649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45649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45649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45649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45649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45649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45649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45649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45649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45649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45649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45649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45649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45649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45649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45649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45649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45649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45649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45649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45649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45649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45649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45649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45649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45649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45649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45649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45649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45649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45649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45649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45649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45649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45649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45649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45649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45649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45649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45649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45649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45649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45649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45649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45649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45649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45649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45649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45649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45649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45649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45649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45649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45649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45649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45649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45649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45649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45649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45649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45649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45649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45649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45649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45649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45649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45649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45649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45649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45649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45649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45649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45649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45649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45649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45649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45649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45649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45649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45649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45649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45649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45649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45649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45649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45649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45649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45649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45649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45649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45649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45649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45649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45649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45649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45649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45649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45649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45649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45649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45649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45649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45649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45649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45649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45649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45649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45649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45649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45649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45649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45649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45649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45649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45649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45649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45649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45649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45649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45649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45649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45649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45649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45649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45649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45649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45649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45649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45649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45649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45649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45649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45649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45649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45649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45649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45649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45649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45649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45649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45649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45649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45649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45649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45649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45649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45649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45649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45649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45649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45649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45649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45649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45649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45649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45649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45649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45649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45649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45649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45649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45649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45649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45649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45649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45649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45649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45649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45649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45649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45649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45649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45649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45649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45649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45649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45649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45649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45649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45649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45649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45649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45649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45649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45649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45649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45649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45649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45649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45649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45649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45649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45649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45649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45649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45649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45649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45649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45649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45649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45649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45649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45649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45649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45649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45649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45649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45649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45649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45649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45649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45649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45649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45649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45649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45649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45649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45649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45649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45649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45649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45649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45649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45649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45649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45649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45649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45649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45649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45649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45649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45649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45649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45649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45649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45649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45649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45649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45649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45649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45649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45649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45649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45649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45649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45649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45649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45649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45649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45649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45649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45649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45649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45649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45649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45649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45649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45649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45649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45649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45649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45649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45649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45649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45649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45649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45649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45649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45649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45649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45649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45649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45649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45649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45649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45649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45649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45649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45649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45649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45649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45649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45649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45649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45649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45649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45649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45649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45649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45649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45649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45649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45649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45649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45649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45649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45649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45649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45649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45649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45649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45649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45649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45649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45649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45649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45649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45649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45649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45649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45649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45649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45649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45649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45649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45649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45649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45649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45649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45649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45649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45649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45649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45649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45649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45649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45649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45649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45649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45649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45649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45649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45649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45649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45649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45649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45649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45649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45649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45649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45649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45649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45649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45649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45649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45649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45649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45649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45649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45649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45649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45649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45649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45649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45649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45649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45649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45649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45649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45649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45649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45649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45649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45649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45649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45649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45649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45649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45649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45649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45649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45649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45649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45649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45649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45649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45649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45649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45649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45649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45649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45649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45649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45649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45649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45649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45649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45649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45649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45649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45649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45649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45649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45649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45649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45649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45649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45649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45649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45649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45649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45649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45649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45649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45649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45649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45649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45649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45649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45649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45649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45649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45649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45649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45649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45649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45649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45649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45649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45649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45649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45649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45649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45649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45649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45649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45649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45649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45649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45649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45649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45649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45649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45649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45649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45649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45649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45649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45649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45649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45649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45649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45649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45649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45649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45649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45649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45649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45649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45649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45649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45649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45649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45649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45649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45649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45649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45649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45649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45649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45649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45649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45649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45649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45649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45649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45649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45649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45649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45649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45649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45649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45649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45649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45649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45649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45649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45649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45649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45649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45649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45649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45649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45649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45649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45649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45649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45649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45649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45649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45649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45649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45649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45649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45649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45649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45649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45649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45649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45649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45649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45649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45649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45649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45649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45649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45649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45649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45649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45649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45649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45649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45649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45649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45649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45649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45649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45649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45649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45649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45649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45649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45649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45649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45649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45649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45649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45649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45649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45649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45649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45649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45649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45649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45649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45649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45649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45649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45649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45649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45649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45649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45649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45649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45649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45649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45649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45649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45649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45649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45649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45649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45649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45649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45649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45649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45649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45649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45649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45649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45649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45649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45649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45649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45649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45649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45649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45649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45649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45649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45649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45649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45649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45649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45649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45649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45649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45649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45649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45649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45649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45649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45649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45649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45649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45649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45649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45649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45649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45649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45649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45649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45649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45649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45649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45649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45649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45649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45649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45649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45649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45649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45649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45649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45649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45649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45649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45649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45649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45649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45649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45649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45649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45649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45649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45649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45649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45649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45649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45649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45649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45649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45649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45649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45649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45649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45649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45649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45649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45649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45649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45649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45649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45649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45649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45649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45649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45649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45649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45649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45649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45649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45649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45649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45649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45649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45649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45649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45649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45649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45649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45649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45649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45649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45649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45649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45649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45649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45649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45649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45649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45649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45649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45649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45649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45649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45649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45649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45649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45649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45649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45649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45649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45649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45649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45649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45649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45649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45649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55515-2024</t>
        </is>
      </c>
      <c r="B1339" s="1" t="n">
        <v>45622</v>
      </c>
      <c r="C1339" s="1" t="n">
        <v>45649</v>
      </c>
      <c r="D1339" t="inlineStr">
        <is>
          <t>NORRBOTTENS LÄN</t>
        </is>
      </c>
      <c r="E1339" t="inlineStr">
        <is>
          <t>PITEÅ</t>
        </is>
      </c>
      <c r="G1339" t="n">
        <v>8.9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55388-2024</t>
        </is>
      </c>
      <c r="B1340" s="1" t="n">
        <v>45622</v>
      </c>
      <c r="C1340" s="1" t="n">
        <v>45649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55396-2024</t>
        </is>
      </c>
      <c r="B1341" s="1" t="n">
        <v>45622</v>
      </c>
      <c r="C1341" s="1" t="n">
        <v>45649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45649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45649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57648-2024</t>
        </is>
      </c>
      <c r="B1344" s="1" t="n">
        <v>45630</v>
      </c>
      <c r="C1344" s="1" t="n">
        <v>45649</v>
      </c>
      <c r="D1344" t="inlineStr">
        <is>
          <t>NORRBOTTENS LÄN</t>
        </is>
      </c>
      <c r="E1344" t="inlineStr">
        <is>
          <t>PITEÅ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57694-2024</t>
        </is>
      </c>
      <c r="B1345" s="1" t="n">
        <v>45630</v>
      </c>
      <c r="C1345" s="1" t="n">
        <v>45649</v>
      </c>
      <c r="D1345" t="inlineStr">
        <is>
          <t>NORRBOTTENS LÄN</t>
        </is>
      </c>
      <c r="E1345" t="inlineStr">
        <is>
          <t>PITEÅ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57698-2024</t>
        </is>
      </c>
      <c r="B1346" s="1" t="n">
        <v>45630</v>
      </c>
      <c r="C1346" s="1" t="n">
        <v>45649</v>
      </c>
      <c r="D1346" t="inlineStr">
        <is>
          <t>NORRBOTTENS LÄN</t>
        </is>
      </c>
      <c r="E1346" t="inlineStr">
        <is>
          <t>PITEÅ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57654-2024</t>
        </is>
      </c>
      <c r="B1347" s="1" t="n">
        <v>45630</v>
      </c>
      <c r="C1347" s="1" t="n">
        <v>45649</v>
      </c>
      <c r="D1347" t="inlineStr">
        <is>
          <t>NORRBOTTENS LÄN</t>
        </is>
      </c>
      <c r="E1347" t="inlineStr">
        <is>
          <t>PITEÅ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58009-2024</t>
        </is>
      </c>
      <c r="B1348" s="1" t="n">
        <v>45631</v>
      </c>
      <c r="C1348" s="1" t="n">
        <v>45649</v>
      </c>
      <c r="D1348" t="inlineStr">
        <is>
          <t>NORRBOTTENS LÄN</t>
        </is>
      </c>
      <c r="E1348" t="inlineStr">
        <is>
          <t>PITEÅ</t>
        </is>
      </c>
      <c r="G1348" t="n">
        <v>8.6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57811-2024</t>
        </is>
      </c>
      <c r="B1349" s="1" t="n">
        <v>45631</v>
      </c>
      <c r="C1349" s="1" t="n">
        <v>45649</v>
      </c>
      <c r="D1349" t="inlineStr">
        <is>
          <t>NORRBOTTENS LÄN</t>
        </is>
      </c>
      <c r="E1349" t="inlineStr">
        <is>
          <t>PITEÅ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45649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45649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45649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58959-2024</t>
        </is>
      </c>
      <c r="B1353" s="1" t="n">
        <v>45636</v>
      </c>
      <c r="C1353" s="1" t="n">
        <v>45649</v>
      </c>
      <c r="D1353" t="inlineStr">
        <is>
          <t>NORRBOTTENS LÄN</t>
        </is>
      </c>
      <c r="E1353" t="inlineStr">
        <is>
          <t>PITEÅ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45649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59677-2024</t>
        </is>
      </c>
      <c r="B1355" s="1" t="n">
        <v>45639</v>
      </c>
      <c r="C1355" s="1" t="n">
        <v>45649</v>
      </c>
      <c r="D1355" t="inlineStr">
        <is>
          <t>NORRBOTTENS LÄN</t>
        </is>
      </c>
      <c r="E1355" t="inlineStr">
        <is>
          <t>PITEÅ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45649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59919-2024</t>
        </is>
      </c>
      <c r="B1357" s="1" t="n">
        <v>45641</v>
      </c>
      <c r="C1357" s="1" t="n">
        <v>45649</v>
      </c>
      <c r="D1357" t="inlineStr">
        <is>
          <t>NORRBOTTENS LÄN</t>
        </is>
      </c>
      <c r="E1357" t="inlineStr">
        <is>
          <t>PITEÅ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45649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59951-2024</t>
        </is>
      </c>
      <c r="B1359" s="1" t="n">
        <v>45642</v>
      </c>
      <c r="C1359" s="1" t="n">
        <v>45649</v>
      </c>
      <c r="D1359" t="inlineStr">
        <is>
          <t>NORRBOTTENS LÄN</t>
        </is>
      </c>
      <c r="E1359" t="inlineStr">
        <is>
          <t>PITEÅ</t>
        </is>
      </c>
      <c r="G1359" t="n">
        <v>13.3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59961-2024</t>
        </is>
      </c>
      <c r="B1360" s="1" t="n">
        <v>45642</v>
      </c>
      <c r="C1360" s="1" t="n">
        <v>45649</v>
      </c>
      <c r="D1360" t="inlineStr">
        <is>
          <t>NORRBOTTENS LÄN</t>
        </is>
      </c>
      <c r="E1360" t="inlineStr">
        <is>
          <t>PITEÅ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60082-2024</t>
        </is>
      </c>
      <c r="B1361" s="1" t="n">
        <v>45642</v>
      </c>
      <c r="C1361" s="1" t="n">
        <v>45649</v>
      </c>
      <c r="D1361" t="inlineStr">
        <is>
          <t>NORRBOTTENS LÄN</t>
        </is>
      </c>
      <c r="E1361" t="inlineStr">
        <is>
          <t>PITEÅ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60108-2024</t>
        </is>
      </c>
      <c r="B1362" s="1" t="n">
        <v>45642</v>
      </c>
      <c r="C1362" s="1" t="n">
        <v>45649</v>
      </c>
      <c r="D1362" t="inlineStr">
        <is>
          <t>NORRBOTTENS LÄN</t>
        </is>
      </c>
      <c r="E1362" t="inlineStr">
        <is>
          <t>PITEÅ</t>
        </is>
      </c>
      <c r="G1362" t="n">
        <v>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59954-2024</t>
        </is>
      </c>
      <c r="B1363" s="1" t="n">
        <v>45642</v>
      </c>
      <c r="C1363" s="1" t="n">
        <v>45649</v>
      </c>
      <c r="D1363" t="inlineStr">
        <is>
          <t>NORRBOTTENS LÄN</t>
        </is>
      </c>
      <c r="E1363" t="inlineStr">
        <is>
          <t>PITEÅ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59969-2024</t>
        </is>
      </c>
      <c r="B1364" s="1" t="n">
        <v>45642</v>
      </c>
      <c r="C1364" s="1" t="n">
        <v>45649</v>
      </c>
      <c r="D1364" t="inlineStr">
        <is>
          <t>NORRBOTTENS LÄN</t>
        </is>
      </c>
      <c r="E1364" t="inlineStr">
        <is>
          <t>PITEÅ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59973-2024</t>
        </is>
      </c>
      <c r="B1365" s="1" t="n">
        <v>45642</v>
      </c>
      <c r="C1365" s="1" t="n">
        <v>45649</v>
      </c>
      <c r="D1365" t="inlineStr">
        <is>
          <t>NORRBOTTENS LÄN</t>
        </is>
      </c>
      <c r="E1365" t="inlineStr">
        <is>
          <t>PITEÅ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59990-2024</t>
        </is>
      </c>
      <c r="B1366" s="1" t="n">
        <v>45642</v>
      </c>
      <c r="C1366" s="1" t="n">
        <v>45649</v>
      </c>
      <c r="D1366" t="inlineStr">
        <is>
          <t>NORRBOTTENS LÄN</t>
        </is>
      </c>
      <c r="E1366" t="inlineStr">
        <is>
          <t>PITEÅ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60739-2024</t>
        </is>
      </c>
      <c r="B1367" s="1" t="n">
        <v>45644</v>
      </c>
      <c r="C1367" s="1" t="n">
        <v>45649</v>
      </c>
      <c r="D1367" t="inlineStr">
        <is>
          <t>NORRBOTTENS LÄN</t>
        </is>
      </c>
      <c r="E1367" t="inlineStr">
        <is>
          <t>PITEÅ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60883-2024</t>
        </is>
      </c>
      <c r="B1368" s="1" t="n">
        <v>45644</v>
      </c>
      <c r="C1368" s="1" t="n">
        <v>45649</v>
      </c>
      <c r="D1368" t="inlineStr">
        <is>
          <t>NORRBOTTENS LÄN</t>
        </is>
      </c>
      <c r="E1368" t="inlineStr">
        <is>
          <t>PITEÅ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60618-2024</t>
        </is>
      </c>
      <c r="B1369" s="1" t="n">
        <v>45644</v>
      </c>
      <c r="C1369" s="1" t="n">
        <v>45649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60687-2024</t>
        </is>
      </c>
      <c r="B1370" s="1" t="n">
        <v>45644</v>
      </c>
      <c r="C1370" s="1" t="n">
        <v>45649</v>
      </c>
      <c r="D1370" t="inlineStr">
        <is>
          <t>NORRBOTTENS LÄN</t>
        </is>
      </c>
      <c r="E1370" t="inlineStr">
        <is>
          <t>PITEÅ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60881-2024</t>
        </is>
      </c>
      <c r="B1371" s="1" t="n">
        <v>45644</v>
      </c>
      <c r="C1371" s="1" t="n">
        <v>45649</v>
      </c>
      <c r="D1371" t="inlineStr">
        <is>
          <t>NORRBOTTENS LÄN</t>
        </is>
      </c>
      <c r="E1371" t="inlineStr">
        <is>
          <t>PITEÅ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>
      <c r="A1372" t="inlineStr">
        <is>
          <t>A 61462-2024</t>
        </is>
      </c>
      <c r="B1372" s="1" t="n">
        <v>45646</v>
      </c>
      <c r="C1372" s="1" t="n">
        <v>45649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2024-12-23T15:53:51Z</dcterms:created>
  <dcterms:modified xmlns:dcterms="http://purl.org/dc/terms/" xmlns:xsi="http://www.w3.org/2001/XMLSchema-instance" xsi:type="dcterms:W3CDTF">2024-12-23T15:53:52Z</dcterms:modified>
</cp:coreProperties>
</file>